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.rakhmettullayev\Downloads\"/>
    </mc:Choice>
  </mc:AlternateContent>
  <xr:revisionPtr revIDLastSave="0" documentId="13_ncr:1_{088188E5-BC52-4CCD-95C5-BCEFEFAE22AF}" xr6:coauthVersionLast="47" xr6:coauthVersionMax="47" xr10:uidLastSave="{00000000-0000-0000-0000-000000000000}"/>
  <bookViews>
    <workbookView xWindow="-110" yWindow="-110" windowWidth="19420" windowHeight="11620" tabRatio="666" firstSheet="2" activeTab="4" xr2:uid="{B3AE9356-7F3B-4A06-ABC3-2A303E02BC97}"/>
  </bookViews>
  <sheets>
    <sheet name="СравнениеPnl " sheetId="26" state="hidden" r:id="rId1"/>
    <sheet name="Сравнение" sheetId="29" state="hidden" r:id="rId2"/>
    <sheet name="Сравнительная" sheetId="36" r:id="rId3"/>
    <sheet name="Dashboard все" sheetId="2" r:id="rId4"/>
    <sheet name="PnL все" sheetId="1" r:id="rId5"/>
    <sheet name="Dashboard2-8" sheetId="37" r:id="rId6"/>
    <sheet name="PnL2-8" sheetId="38" r:id="rId7"/>
    <sheet name="DCF" sheetId="3" r:id="rId8"/>
    <sheet name="Цена" sheetId="30" r:id="rId9"/>
    <sheet name="Sensitivity" sheetId="4" r:id="rId10"/>
    <sheet name="Dashboard (с перегор)" sheetId="27" state="hidden" r:id="rId11"/>
    <sheet name="PnL (с перегор)" sheetId="28" state="hidden" r:id="rId12"/>
    <sheet name="Credit" sheetId="6" r:id="rId13"/>
    <sheet name="Графики" sheetId="14" r:id="rId14"/>
    <sheet name="НДС расчет" sheetId="5" r:id="rId15"/>
    <sheet name="Sales" sheetId="8" r:id="rId16"/>
    <sheet name="Costs" sheetId="17" r:id="rId17"/>
    <sheet name="шахматка" sheetId="31" r:id="rId18"/>
    <sheet name="коэф" sheetId="33" r:id="rId19"/>
    <sheet name="база офис" sheetId="34" r:id="rId20"/>
    <sheet name="база коммерция" sheetId="35" r:id="rId21"/>
    <sheet name="Лист3" sheetId="32" r:id="rId22"/>
    <sheet name="DCF year" sheetId="10" state="hidden" r:id="rId23"/>
    <sheet name="Dashboard (2)" sheetId="21" state="hidden" r:id="rId24"/>
    <sheet name="PnL (2)" sheetId="20" state="hidden" r:id="rId25"/>
    <sheet name="Сравнение2" sheetId="18" state="hidden" r:id="rId26"/>
    <sheet name="DCF (2)" sheetId="19" state="hidden" r:id="rId27"/>
    <sheet name="Графики (2)" sheetId="22" state="hidden" r:id="rId28"/>
    <sheet name="Costs (2)" sheetId="24" state="hidden" r:id="rId29"/>
    <sheet name="черн" sheetId="25" state="hidden" r:id="rId30"/>
    <sheet name="Итог Сцен." sheetId="23" state="hidden" r:id="rId31"/>
  </sheets>
  <externalReferences>
    <externalReference r:id="rId32"/>
    <externalReference r:id="rId33"/>
    <externalReference r:id="rId34"/>
  </externalReferences>
  <definedNames>
    <definedName name="_xlnm._FilterDatabase" localSheetId="8" hidden="1">Цена!$A$1:$E$24</definedName>
    <definedName name="_xlnm._FilterDatabase" localSheetId="17" hidden="1">шахматка!$A$1:$O$53</definedName>
    <definedName name="adv">[1]Exp.PaymentTerms!$E$12</definedName>
    <definedName name="hand">[1]Exp.PaymentTerms!$G$12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2" l="1"/>
  <c r="P18" i="2"/>
  <c r="P17" i="2"/>
  <c r="O18" i="2"/>
  <c r="O17" i="2"/>
  <c r="N18" i="2"/>
  <c r="N17" i="2"/>
  <c r="F50" i="1"/>
  <c r="F48" i="1"/>
  <c r="F40" i="1"/>
  <c r="C19" i="37"/>
  <c r="C19" i="2"/>
  <c r="B38" i="38"/>
  <c r="B16" i="38"/>
  <c r="B14" i="38"/>
  <c r="B11" i="38"/>
  <c r="B9" i="38"/>
  <c r="C9" i="38" s="1"/>
  <c r="B49" i="38"/>
  <c r="B21" i="38"/>
  <c r="C21" i="38" s="1"/>
  <c r="B19" i="38"/>
  <c r="C19" i="38" s="1"/>
  <c r="B23" i="38"/>
  <c r="I16" i="37"/>
  <c r="I16" i="2"/>
  <c r="C6" i="36"/>
  <c r="C69" i="38"/>
  <c r="B68" i="38"/>
  <c r="C68" i="38" s="1"/>
  <c r="C67" i="38"/>
  <c r="B67" i="38"/>
  <c r="B66" i="38" s="1"/>
  <c r="C66" i="38" s="1"/>
  <c r="B62" i="38"/>
  <c r="C62" i="38" s="1"/>
  <c r="C59" i="38"/>
  <c r="C57" i="38"/>
  <c r="B48" i="38"/>
  <c r="C38" i="38"/>
  <c r="C23" i="38"/>
  <c r="B20" i="38"/>
  <c r="C20" i="38" s="1"/>
  <c r="B18" i="38"/>
  <c r="C18" i="38" s="1"/>
  <c r="C16" i="38"/>
  <c r="C15" i="38"/>
  <c r="B13" i="38"/>
  <c r="C13" i="38" s="1"/>
  <c r="C10" i="38"/>
  <c r="B10" i="38"/>
  <c r="B37" i="38" s="1"/>
  <c r="C37" i="38" s="1"/>
  <c r="B8" i="38"/>
  <c r="C8" i="38" s="1"/>
  <c r="B6" i="38"/>
  <c r="B5" i="38"/>
  <c r="B4" i="38"/>
  <c r="C56" i="38" s="1"/>
  <c r="C25" i="37"/>
  <c r="C26" i="37" s="1"/>
  <c r="L22" i="37"/>
  <c r="L19" i="37"/>
  <c r="F24" i="37"/>
  <c r="L15" i="37"/>
  <c r="I20" i="37" s="1"/>
  <c r="C7" i="37"/>
  <c r="B36" i="38" l="1"/>
  <c r="C36" i="38" s="1"/>
  <c r="B12" i="38"/>
  <c r="C14" i="38"/>
  <c r="B7" i="38"/>
  <c r="C48" i="38"/>
  <c r="B3" i="38"/>
  <c r="C12" i="38"/>
  <c r="C49" i="38"/>
  <c r="C26" i="38"/>
  <c r="B35" i="38"/>
  <c r="C64" i="38"/>
  <c r="C45" i="38"/>
  <c r="C65" i="38"/>
  <c r="C11" i="38"/>
  <c r="C7" i="38" s="1"/>
  <c r="C43" i="38"/>
  <c r="C46" i="38"/>
  <c r="C32" i="38"/>
  <c r="C24" i="38"/>
  <c r="C25" i="38"/>
  <c r="C44" i="38"/>
  <c r="C47" i="38"/>
  <c r="C55" i="38"/>
  <c r="C33" i="38"/>
  <c r="C63" i="38"/>
  <c r="I17" i="37"/>
  <c r="B53" i="38" l="1"/>
  <c r="B51" i="38"/>
  <c r="B41" i="38"/>
  <c r="B29" i="38"/>
  <c r="C29" i="38" s="1"/>
  <c r="B42" i="38"/>
  <c r="C42" i="38" s="1"/>
  <c r="C35" i="38"/>
  <c r="B34" i="38"/>
  <c r="B60" i="38"/>
  <c r="C60" i="38" s="1"/>
  <c r="C53" i="38"/>
  <c r="D53" i="38"/>
  <c r="B22" i="38"/>
  <c r="C22" i="38" s="1"/>
  <c r="B40" i="38"/>
  <c r="C41" i="38"/>
  <c r="B50" i="38" l="1"/>
  <c r="C51" i="38"/>
  <c r="C3" i="36"/>
  <c r="B61" i="38"/>
  <c r="C61" i="38" s="1"/>
  <c r="B58" i="38"/>
  <c r="C50" i="38"/>
  <c r="B30" i="38"/>
  <c r="C30" i="38" s="1"/>
  <c r="B28" i="38"/>
  <c r="B54" i="38"/>
  <c r="C40" i="38"/>
  <c r="C58" i="38"/>
  <c r="B17" i="38"/>
  <c r="C34" i="38"/>
  <c r="C17" i="38" l="1"/>
  <c r="C54" i="38"/>
  <c r="B52" i="38"/>
  <c r="C28" i="38"/>
  <c r="C52" i="38" l="1"/>
  <c r="B31" i="38"/>
  <c r="C31" i="38" l="1"/>
  <c r="B27" i="38"/>
  <c r="C27" i="38" s="1"/>
  <c r="I17" i="2" l="1"/>
  <c r="B6" i="34" l="1"/>
  <c r="B6" i="35"/>
  <c r="L19" i="2"/>
  <c r="P2" i="31"/>
  <c r="A62" i="31"/>
  <c r="P3" i="31"/>
  <c r="J24" i="31"/>
  <c r="N5" i="17"/>
  <c r="L6" i="8" l="1"/>
  <c r="J6" i="8"/>
  <c r="R4" i="31" l="1"/>
  <c r="R3" i="31"/>
  <c r="P4" i="31"/>
  <c r="P5" i="31"/>
  <c r="P6" i="31"/>
  <c r="P7" i="31"/>
  <c r="P8" i="31"/>
  <c r="P9" i="31"/>
  <c r="P10" i="31"/>
  <c r="P11" i="31"/>
  <c r="P12" i="31"/>
  <c r="P13" i="31"/>
  <c r="P14" i="31"/>
  <c r="P15" i="31"/>
  <c r="P16" i="31"/>
  <c r="P17" i="31"/>
  <c r="P18" i="31"/>
  <c r="P19" i="31"/>
  <c r="P20" i="31"/>
  <c r="P21" i="31"/>
  <c r="P22" i="31"/>
  <c r="P23" i="31"/>
  <c r="P24" i="31"/>
  <c r="P25" i="31"/>
  <c r="A61" i="31" l="1"/>
  <c r="B4" i="34" l="1"/>
  <c r="P26" i="31"/>
  <c r="P27" i="31"/>
  <c r="P28" i="31"/>
  <c r="P29" i="31"/>
  <c r="P30" i="31"/>
  <c r="P31" i="31"/>
  <c r="P32" i="31"/>
  <c r="P33" i="31"/>
  <c r="P34" i="31"/>
  <c r="P35" i="31"/>
  <c r="P36" i="31"/>
  <c r="P37" i="31"/>
  <c r="P38" i="31"/>
  <c r="P39" i="31"/>
  <c r="P40" i="31"/>
  <c r="P41" i="31"/>
  <c r="P42" i="31"/>
  <c r="P43" i="31"/>
  <c r="P44" i="31"/>
  <c r="P45" i="31"/>
  <c r="P46" i="31"/>
  <c r="P47" i="31"/>
  <c r="P48" i="31"/>
  <c r="P49" i="31"/>
  <c r="P50" i="31"/>
  <c r="P51" i="31"/>
  <c r="J52" i="31"/>
  <c r="K52" i="31"/>
  <c r="P53" i="31" l="1"/>
  <c r="A58" i="31"/>
  <c r="Q3" i="31"/>
  <c r="Q18" i="31"/>
  <c r="Q19" i="31"/>
  <c r="Q5" i="31"/>
  <c r="Q6" i="31"/>
  <c r="Q22" i="31"/>
  <c r="Q23" i="31"/>
  <c r="Q9" i="31"/>
  <c r="Q11" i="31"/>
  <c r="Q13" i="31"/>
  <c r="Q15" i="31"/>
  <c r="Q16" i="31"/>
  <c r="Q20" i="31"/>
  <c r="Q21" i="31"/>
  <c r="Q7" i="31"/>
  <c r="Q8" i="31"/>
  <c r="Q24" i="31"/>
  <c r="Q10" i="31"/>
  <c r="Q12" i="31"/>
  <c r="Q14" i="31"/>
  <c r="Q17" i="31"/>
  <c r="H10" i="32"/>
  <c r="H11" i="32" s="1"/>
  <c r="A54" i="31" l="1"/>
  <c r="Q4" i="31"/>
  <c r="A63" i="31"/>
  <c r="A57" i="31"/>
  <c r="A55" i="31"/>
  <c r="N4" i="17"/>
  <c r="N3" i="17"/>
  <c r="K8" i="8"/>
  <c r="K7" i="8"/>
  <c r="K6" i="8"/>
  <c r="K5" i="8"/>
  <c r="K4" i="8"/>
  <c r="K3" i="8"/>
  <c r="J4" i="30"/>
  <c r="L4" i="30"/>
  <c r="F3" i="30"/>
  <c r="F24" i="30" s="1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" i="30"/>
  <c r="D24" i="30"/>
  <c r="B24" i="30"/>
  <c r="D22" i="30"/>
  <c r="D23" i="30" l="1"/>
  <c r="D8" i="30"/>
  <c r="D9" i="30" s="1"/>
  <c r="D10" i="30" s="1"/>
  <c r="D11" i="30" s="1"/>
  <c r="D12" i="30" s="1"/>
  <c r="D13" i="30" s="1"/>
  <c r="D14" i="30" s="1"/>
  <c r="J3" i="30"/>
  <c r="L3" i="30" s="1"/>
  <c r="J2" i="30"/>
  <c r="L2" i="30" s="1"/>
  <c r="D2" i="30"/>
  <c r="D15" i="30"/>
  <c r="D16" i="30" s="1"/>
  <c r="D17" i="30" s="1"/>
  <c r="D18" i="30" s="1"/>
  <c r="D19" i="30" s="1"/>
  <c r="D20" i="30" s="1"/>
  <c r="D21" i="30" s="1"/>
  <c r="D3" i="30"/>
  <c r="L22" i="2" l="1"/>
  <c r="F24" i="2" l="1"/>
  <c r="D2" i="6" s="1"/>
  <c r="B4" i="1"/>
  <c r="H22" i="3" l="1"/>
  <c r="C24" i="1"/>
  <c r="C25" i="1"/>
  <c r="C26" i="1"/>
  <c r="C32" i="1"/>
  <c r="C33" i="1"/>
  <c r="C43" i="1"/>
  <c r="C44" i="1"/>
  <c r="C45" i="1"/>
  <c r="C46" i="1"/>
  <c r="C47" i="1"/>
  <c r="C56" i="1"/>
  <c r="C57" i="1"/>
  <c r="C59" i="1"/>
  <c r="C63" i="1"/>
  <c r="C64" i="1"/>
  <c r="C69" i="1"/>
  <c r="C55" i="1"/>
  <c r="C65" i="1"/>
  <c r="D1" i="29"/>
  <c r="C1" i="29"/>
  <c r="D3" i="6"/>
  <c r="B19" i="28"/>
  <c r="B20" i="28"/>
  <c r="B21" i="28"/>
  <c r="B18" i="28"/>
  <c r="D8" i="26"/>
  <c r="D10" i="26"/>
  <c r="D19" i="26"/>
  <c r="D20" i="26"/>
  <c r="D21" i="26"/>
  <c r="C18" i="26"/>
  <c r="C14" i="26"/>
  <c r="C15" i="26"/>
  <c r="C16" i="26"/>
  <c r="C13" i="26"/>
  <c r="C9" i="26"/>
  <c r="C10" i="26"/>
  <c r="C11" i="26"/>
  <c r="C8" i="26"/>
  <c r="B15" i="26"/>
  <c r="B16" i="26"/>
  <c r="B13" i="26"/>
  <c r="B9" i="26"/>
  <c r="D9" i="26" s="1"/>
  <c r="B10" i="26"/>
  <c r="B11" i="26"/>
  <c r="B8" i="26"/>
  <c r="B4" i="26"/>
  <c r="B5" i="26"/>
  <c r="B6" i="26"/>
  <c r="B3" i="26"/>
  <c r="C3" i="26"/>
  <c r="B8" i="28"/>
  <c r="B68" i="28"/>
  <c r="B62" i="28"/>
  <c r="B49" i="28"/>
  <c r="C31" i="26" s="1"/>
  <c r="C30" i="26" s="1"/>
  <c r="B16" i="28"/>
  <c r="C16" i="28" s="1"/>
  <c r="C15" i="28"/>
  <c r="B15" i="28"/>
  <c r="B14" i="28"/>
  <c r="C14" i="28" s="1"/>
  <c r="C13" i="28"/>
  <c r="B13" i="28"/>
  <c r="B11" i="28"/>
  <c r="B10" i="28"/>
  <c r="C10" i="28" s="1"/>
  <c r="B9" i="28"/>
  <c r="B36" i="28" s="1"/>
  <c r="B6" i="28"/>
  <c r="B5" i="28"/>
  <c r="B4" i="28"/>
  <c r="L22" i="27"/>
  <c r="L19" i="27"/>
  <c r="C19" i="27"/>
  <c r="L16" i="27"/>
  <c r="L15" i="27"/>
  <c r="C7" i="27"/>
  <c r="C5" i="26" l="1"/>
  <c r="D5" i="26" s="1"/>
  <c r="C4" i="26"/>
  <c r="D4" i="26" s="1"/>
  <c r="B12" i="28"/>
  <c r="C12" i="28" s="1"/>
  <c r="D15" i="26"/>
  <c r="B48" i="28"/>
  <c r="D4" i="29" s="1"/>
  <c r="D3" i="26"/>
  <c r="C18" i="28"/>
  <c r="C68" i="28"/>
  <c r="C49" i="28"/>
  <c r="C36" i="28"/>
  <c r="C55" i="28"/>
  <c r="C56" i="28"/>
  <c r="C24" i="28"/>
  <c r="C19" i="28"/>
  <c r="C59" i="28"/>
  <c r="C57" i="28"/>
  <c r="C26" i="28"/>
  <c r="C25" i="28"/>
  <c r="C11" i="28"/>
  <c r="B7" i="28"/>
  <c r="B42" i="28" s="1"/>
  <c r="C42" i="28" s="1"/>
  <c r="C6" i="26"/>
  <c r="D11" i="26"/>
  <c r="D13" i="26"/>
  <c r="D16" i="26"/>
  <c r="B7" i="26"/>
  <c r="B2" i="26"/>
  <c r="C7" i="26"/>
  <c r="B25" i="26"/>
  <c r="C23" i="26"/>
  <c r="C24" i="26"/>
  <c r="C26" i="26"/>
  <c r="B26" i="26"/>
  <c r="B23" i="26"/>
  <c r="C9" i="28"/>
  <c r="B38" i="28"/>
  <c r="C38" i="28" s="1"/>
  <c r="C20" i="28"/>
  <c r="C62" i="28"/>
  <c r="C63" i="28"/>
  <c r="B37" i="28"/>
  <c r="C37" i="28" s="1"/>
  <c r="C21" i="28"/>
  <c r="C64" i="28"/>
  <c r="B35" i="28"/>
  <c r="C65" i="28"/>
  <c r="C8" i="28"/>
  <c r="C32" i="28"/>
  <c r="C33" i="28"/>
  <c r="B3" i="28" l="1"/>
  <c r="C25" i="26"/>
  <c r="D25" i="26" s="1"/>
  <c r="C48" i="28"/>
  <c r="D7" i="26"/>
  <c r="B29" i="28"/>
  <c r="C29" i="28" s="1"/>
  <c r="C7" i="28"/>
  <c r="D6" i="26"/>
  <c r="C2" i="26"/>
  <c r="D2" i="26" s="1"/>
  <c r="C51" i="28"/>
  <c r="D23" i="26"/>
  <c r="D26" i="26"/>
  <c r="B60" i="28"/>
  <c r="C35" i="28"/>
  <c r="B34" i="28"/>
  <c r="C22" i="26" l="1"/>
  <c r="C12" i="26" s="1"/>
  <c r="D3" i="29"/>
  <c r="C60" i="28"/>
  <c r="B61" i="28"/>
  <c r="D7" i="29" s="1"/>
  <c r="C34" i="28"/>
  <c r="B17" i="28"/>
  <c r="B58" i="28"/>
  <c r="D8" i="29" s="1"/>
  <c r="C58" i="28" l="1"/>
  <c r="C37" i="26"/>
  <c r="C61" i="28"/>
  <c r="C38" i="26"/>
  <c r="B71" i="28"/>
  <c r="C17" i="28"/>
  <c r="B49" i="1" l="1"/>
  <c r="C49" i="1" l="1"/>
  <c r="B31" i="26"/>
  <c r="K10" i="8"/>
  <c r="F15" i="17"/>
  <c r="N7" i="17"/>
  <c r="N8" i="17" s="1"/>
  <c r="N6" i="17"/>
  <c r="B6" i="1"/>
  <c r="B21" i="1"/>
  <c r="C21" i="1" s="1"/>
  <c r="B20" i="1"/>
  <c r="B18" i="1"/>
  <c r="C20" i="1" l="1"/>
  <c r="D31" i="26"/>
  <c r="B30" i="26"/>
  <c r="D30" i="26" s="1"/>
  <c r="C18" i="1"/>
  <c r="B16" i="1"/>
  <c r="C15" i="1"/>
  <c r="B14" i="1"/>
  <c r="C14" i="1" s="1"/>
  <c r="B13" i="1"/>
  <c r="C13" i="1" s="1"/>
  <c r="B11" i="1"/>
  <c r="B10" i="1"/>
  <c r="C10" i="1" s="1"/>
  <c r="B9" i="1"/>
  <c r="B8" i="1"/>
  <c r="C8" i="1" s="1"/>
  <c r="L15" i="2"/>
  <c r="B37" i="1" l="1"/>
  <c r="B23" i="1"/>
  <c r="C23" i="1" s="1"/>
  <c r="B53" i="28"/>
  <c r="I20" i="2"/>
  <c r="B51" i="28" s="1"/>
  <c r="B23" i="28"/>
  <c r="C23" i="28" s="1"/>
  <c r="B41" i="28"/>
  <c r="C9" i="1"/>
  <c r="B35" i="1"/>
  <c r="C35" i="1" s="1"/>
  <c r="B12" i="1"/>
  <c r="B38" i="1"/>
  <c r="C38" i="1" s="1"/>
  <c r="C16" i="1"/>
  <c r="C12" i="1" s="1"/>
  <c r="C11" i="1"/>
  <c r="C7" i="1" s="1"/>
  <c r="B7" i="1"/>
  <c r="B41" i="1" s="1"/>
  <c r="L3" i="8"/>
  <c r="L15" i="25"/>
  <c r="J15" i="25"/>
  <c r="ED29" i="25"/>
  <c r="EE29" i="25"/>
  <c r="EF29" i="25"/>
  <c r="EG29" i="25"/>
  <c r="EH29" i="25"/>
  <c r="EI29" i="25"/>
  <c r="EJ29" i="25"/>
  <c r="EK29" i="25"/>
  <c r="EL29" i="25"/>
  <c r="EM29" i="25"/>
  <c r="EN29" i="25"/>
  <c r="EO29" i="25"/>
  <c r="EP29" i="25"/>
  <c r="DY28" i="25"/>
  <c r="DZ28" i="25"/>
  <c r="EA28" i="25"/>
  <c r="EB28" i="25"/>
  <c r="EC28" i="25"/>
  <c r="ED28" i="25"/>
  <c r="DR27" i="25"/>
  <c r="DS27" i="25"/>
  <c r="DL26" i="25"/>
  <c r="DM26" i="25"/>
  <c r="DN26" i="25"/>
  <c r="DO26" i="25"/>
  <c r="DP26" i="25"/>
  <c r="DQ26" i="25"/>
  <c r="DR26" i="25"/>
  <c r="DS26" i="25"/>
  <c r="DT26" i="25"/>
  <c r="DU26" i="25"/>
  <c r="DV26" i="25"/>
  <c r="DW26" i="25"/>
  <c r="DX26" i="25"/>
  <c r="DF25" i="25"/>
  <c r="DG25" i="25"/>
  <c r="DH25" i="25"/>
  <c r="DI25" i="25"/>
  <c r="K2" i="25"/>
  <c r="K17" i="25"/>
  <c r="L7" i="25"/>
  <c r="L8" i="25"/>
  <c r="L9" i="25"/>
  <c r="L10" i="25"/>
  <c r="L11" i="25"/>
  <c r="L12" i="25"/>
  <c r="L13" i="25"/>
  <c r="L14" i="25"/>
  <c r="K15" i="25"/>
  <c r="K14" i="25"/>
  <c r="K13" i="25"/>
  <c r="K12" i="25"/>
  <c r="K11" i="25"/>
  <c r="K10" i="25"/>
  <c r="K9" i="25"/>
  <c r="K3" i="25"/>
  <c r="DX28" i="25"/>
  <c r="AU30" i="25"/>
  <c r="EM44" i="25"/>
  <c r="EN44" i="25"/>
  <c r="EO44" i="25"/>
  <c r="EP44" i="25"/>
  <c r="EQ44" i="25"/>
  <c r="J19" i="25"/>
  <c r="F22" i="25"/>
  <c r="G22" i="25"/>
  <c r="H22" i="25"/>
  <c r="I22" i="25"/>
  <c r="J22" i="25"/>
  <c r="K22" i="25"/>
  <c r="L22" i="25"/>
  <c r="M22" i="25"/>
  <c r="N22" i="25"/>
  <c r="O22" i="25"/>
  <c r="P22" i="25"/>
  <c r="Q22" i="25"/>
  <c r="R22" i="25"/>
  <c r="S22" i="25"/>
  <c r="T22" i="25"/>
  <c r="U22" i="25"/>
  <c r="V22" i="25"/>
  <c r="W22" i="25"/>
  <c r="X22" i="25"/>
  <c r="Y22" i="25"/>
  <c r="Z22" i="25"/>
  <c r="AA22" i="25"/>
  <c r="AB22" i="25"/>
  <c r="AC22" i="25"/>
  <c r="AD22" i="25"/>
  <c r="AE22" i="25"/>
  <c r="AF22" i="25"/>
  <c r="AG22" i="25"/>
  <c r="AH22" i="25"/>
  <c r="AI22" i="25"/>
  <c r="AJ22" i="25"/>
  <c r="AK22" i="25"/>
  <c r="AL22" i="25"/>
  <c r="AM22" i="25"/>
  <c r="AN22" i="25"/>
  <c r="AO22" i="25"/>
  <c r="AP22" i="25"/>
  <c r="AQ22" i="25"/>
  <c r="AR22" i="25"/>
  <c r="AS22" i="25"/>
  <c r="AT22" i="25"/>
  <c r="AU22" i="25"/>
  <c r="AV22" i="25"/>
  <c r="AW22" i="25"/>
  <c r="AX22" i="25"/>
  <c r="AY22" i="25"/>
  <c r="AZ22" i="25"/>
  <c r="BA22" i="25"/>
  <c r="BB22" i="25"/>
  <c r="BC22" i="25"/>
  <c r="BD22" i="25"/>
  <c r="BE22" i="25"/>
  <c r="BF22" i="25"/>
  <c r="BG22" i="25"/>
  <c r="BH22" i="25"/>
  <c r="BI22" i="25"/>
  <c r="BJ22" i="25"/>
  <c r="BK22" i="25"/>
  <c r="BL22" i="25"/>
  <c r="BM22" i="25"/>
  <c r="BN22" i="25"/>
  <c r="BO22" i="25"/>
  <c r="BP22" i="25"/>
  <c r="BQ22" i="25"/>
  <c r="BR22" i="25"/>
  <c r="BS22" i="25"/>
  <c r="BT22" i="25"/>
  <c r="BU22" i="25"/>
  <c r="BV22" i="25"/>
  <c r="BW22" i="25"/>
  <c r="BX22" i="25"/>
  <c r="BY22" i="25"/>
  <c r="BZ22" i="25"/>
  <c r="CA22" i="25"/>
  <c r="CB22" i="25"/>
  <c r="CC22" i="25"/>
  <c r="CD22" i="25"/>
  <c r="CE22" i="25"/>
  <c r="CF22" i="25"/>
  <c r="CG22" i="25"/>
  <c r="CH22" i="25"/>
  <c r="CI22" i="25"/>
  <c r="CJ22" i="25"/>
  <c r="CK22" i="25"/>
  <c r="CL22" i="25"/>
  <c r="CM22" i="25"/>
  <c r="CN22" i="25"/>
  <c r="CO22" i="25"/>
  <c r="CP22" i="25"/>
  <c r="CQ22" i="25"/>
  <c r="CR22" i="25"/>
  <c r="CS22" i="25"/>
  <c r="CT22" i="25"/>
  <c r="CU22" i="25"/>
  <c r="CV22" i="25"/>
  <c r="CW22" i="25"/>
  <c r="CX22" i="25"/>
  <c r="CY22" i="25"/>
  <c r="CZ22" i="25"/>
  <c r="DA22" i="25"/>
  <c r="DB22" i="25"/>
  <c r="DC22" i="25"/>
  <c r="DD22" i="25"/>
  <c r="DE22" i="25"/>
  <c r="DF22" i="25"/>
  <c r="DG22" i="25"/>
  <c r="DH22" i="25"/>
  <c r="DI22" i="25"/>
  <c r="DJ22" i="25"/>
  <c r="DK22" i="25"/>
  <c r="DL22" i="25"/>
  <c r="DM22" i="25"/>
  <c r="DN22" i="25"/>
  <c r="DO22" i="25"/>
  <c r="DP22" i="25"/>
  <c r="DQ22" i="25"/>
  <c r="DR22" i="25"/>
  <c r="DS22" i="25"/>
  <c r="DT22" i="25"/>
  <c r="DU22" i="25"/>
  <c r="DV22" i="25"/>
  <c r="DW22" i="25"/>
  <c r="DX22" i="25"/>
  <c r="DY22" i="25"/>
  <c r="DZ22" i="25"/>
  <c r="EA22" i="25"/>
  <c r="EB22" i="25"/>
  <c r="EC22" i="25"/>
  <c r="ED22" i="25"/>
  <c r="EE22" i="25"/>
  <c r="EF22" i="25"/>
  <c r="EG22" i="25"/>
  <c r="EH22" i="25"/>
  <c r="EI22" i="25"/>
  <c r="EJ22" i="25"/>
  <c r="EK22" i="25"/>
  <c r="EL22" i="25"/>
  <c r="EM22" i="25"/>
  <c r="EN22" i="25"/>
  <c r="EO22" i="25"/>
  <c r="EP22" i="25"/>
  <c r="EQ22" i="25"/>
  <c r="C23" i="25"/>
  <c r="D24" i="25"/>
  <c r="C24" i="25" s="1"/>
  <c r="C25" i="25"/>
  <c r="C26" i="25"/>
  <c r="C27" i="25"/>
  <c r="C28" i="25"/>
  <c r="C29" i="25"/>
  <c r="C30" i="25"/>
  <c r="AV30" i="25"/>
  <c r="AW30" i="25"/>
  <c r="AX30" i="25"/>
  <c r="AY30" i="25"/>
  <c r="AZ30" i="25"/>
  <c r="BA30" i="25"/>
  <c r="BB30" i="25"/>
  <c r="BC30" i="25"/>
  <c r="BD30" i="25"/>
  <c r="BE30" i="25"/>
  <c r="BF30" i="25"/>
  <c r="BG30" i="25"/>
  <c r="BH30" i="25"/>
  <c r="BI30" i="25"/>
  <c r="BJ30" i="25"/>
  <c r="BK30" i="25"/>
  <c r="BL30" i="25"/>
  <c r="BM30" i="25"/>
  <c r="BN30" i="25"/>
  <c r="BO30" i="25"/>
  <c r="BP30" i="25"/>
  <c r="BQ30" i="25"/>
  <c r="BR30" i="25"/>
  <c r="C31" i="25"/>
  <c r="BA31" i="25"/>
  <c r="BB31" i="25"/>
  <c r="BC31" i="25"/>
  <c r="BD31" i="25"/>
  <c r="BE31" i="25"/>
  <c r="BF31" i="25"/>
  <c r="BG31" i="25"/>
  <c r="BH31" i="25"/>
  <c r="BI31" i="25"/>
  <c r="BJ31" i="25"/>
  <c r="BK31" i="25"/>
  <c r="BL31" i="25"/>
  <c r="BM31" i="25"/>
  <c r="BN31" i="25"/>
  <c r="BO31" i="25"/>
  <c r="BP31" i="25"/>
  <c r="BQ31" i="25"/>
  <c r="BR31" i="25"/>
  <c r="BS31" i="25"/>
  <c r="BT31" i="25"/>
  <c r="BU31" i="25"/>
  <c r="BV31" i="25"/>
  <c r="BW31" i="25"/>
  <c r="BX31" i="25"/>
  <c r="C32" i="25"/>
  <c r="BG32" i="25"/>
  <c r="BH32" i="25"/>
  <c r="BI32" i="25"/>
  <c r="BJ32" i="25"/>
  <c r="BK32" i="25"/>
  <c r="BL32" i="25"/>
  <c r="BM32" i="25"/>
  <c r="BN32" i="25"/>
  <c r="BO32" i="25"/>
  <c r="BP32" i="25"/>
  <c r="BQ32" i="25"/>
  <c r="BR32" i="25"/>
  <c r="BS32" i="25"/>
  <c r="BT32" i="25"/>
  <c r="BU32" i="25"/>
  <c r="BV32" i="25"/>
  <c r="BW32" i="25"/>
  <c r="BX32" i="25"/>
  <c r="BY32" i="25"/>
  <c r="BZ32" i="25"/>
  <c r="CA32" i="25"/>
  <c r="CB32" i="25"/>
  <c r="CC32" i="25"/>
  <c r="CD32" i="25"/>
  <c r="C33" i="25"/>
  <c r="BM33" i="25"/>
  <c r="BN33" i="25"/>
  <c r="BO33" i="25"/>
  <c r="BP33" i="25"/>
  <c r="BQ33" i="25"/>
  <c r="BR33" i="25"/>
  <c r="BS33" i="25"/>
  <c r="BT33" i="25"/>
  <c r="BU33" i="25"/>
  <c r="BV33" i="25"/>
  <c r="BW33" i="25"/>
  <c r="BX33" i="25"/>
  <c r="BY33" i="25"/>
  <c r="BZ33" i="25"/>
  <c r="CA33" i="25"/>
  <c r="CB33" i="25"/>
  <c r="CC33" i="25"/>
  <c r="CD33" i="25"/>
  <c r="CE33" i="25"/>
  <c r="CF33" i="25"/>
  <c r="CG33" i="25"/>
  <c r="CH33" i="25"/>
  <c r="CI33" i="25"/>
  <c r="CJ33" i="25"/>
  <c r="C34" i="25"/>
  <c r="BS34" i="25"/>
  <c r="BT34" i="25"/>
  <c r="BU34" i="25"/>
  <c r="BV34" i="25"/>
  <c r="BW34" i="25"/>
  <c r="BX34" i="25"/>
  <c r="BY34" i="25"/>
  <c r="BZ34" i="25"/>
  <c r="CA34" i="25"/>
  <c r="CB34" i="25"/>
  <c r="CC34" i="25"/>
  <c r="CD34" i="25"/>
  <c r="CE34" i="25"/>
  <c r="CF34" i="25"/>
  <c r="CG34" i="25"/>
  <c r="CH34" i="25"/>
  <c r="CI34" i="25"/>
  <c r="CJ34" i="25"/>
  <c r="CK34" i="25"/>
  <c r="CL34" i="25"/>
  <c r="CM34" i="25"/>
  <c r="CN34" i="25"/>
  <c r="CO34" i="25"/>
  <c r="CP34" i="25"/>
  <c r="C35" i="25"/>
  <c r="BY35" i="25"/>
  <c r="BZ35" i="25"/>
  <c r="CA35" i="25"/>
  <c r="CB35" i="25"/>
  <c r="CC35" i="25"/>
  <c r="CD35" i="25"/>
  <c r="CE35" i="25"/>
  <c r="CF35" i="25"/>
  <c r="CG35" i="25"/>
  <c r="CH35" i="25"/>
  <c r="CI35" i="25"/>
  <c r="CJ35" i="25"/>
  <c r="CK35" i="25"/>
  <c r="CL35" i="25"/>
  <c r="CM35" i="25"/>
  <c r="CN35" i="25"/>
  <c r="CO35" i="25"/>
  <c r="CP35" i="25"/>
  <c r="CQ35" i="25"/>
  <c r="CR35" i="25"/>
  <c r="CS35" i="25"/>
  <c r="CT35" i="25"/>
  <c r="CU35" i="25"/>
  <c r="CV35" i="25"/>
  <c r="C36" i="25"/>
  <c r="CE36" i="25"/>
  <c r="CF36" i="25"/>
  <c r="CG36" i="25"/>
  <c r="CH36" i="25"/>
  <c r="CI36" i="25"/>
  <c r="CJ36" i="25"/>
  <c r="CK36" i="25"/>
  <c r="CL36" i="25"/>
  <c r="CM36" i="25"/>
  <c r="CN36" i="25"/>
  <c r="CO36" i="25"/>
  <c r="CP36" i="25"/>
  <c r="CQ36" i="25"/>
  <c r="CR36" i="25"/>
  <c r="CS36" i="25"/>
  <c r="CT36" i="25"/>
  <c r="CU36" i="25"/>
  <c r="CV36" i="25"/>
  <c r="CW36" i="25"/>
  <c r="CX36" i="25"/>
  <c r="CY36" i="25"/>
  <c r="CZ36" i="25"/>
  <c r="DA36" i="25"/>
  <c r="DB36" i="25"/>
  <c r="C37" i="25"/>
  <c r="CK37" i="25"/>
  <c r="CL37" i="25"/>
  <c r="CM37" i="25"/>
  <c r="CN37" i="25"/>
  <c r="CO37" i="25"/>
  <c r="CP37" i="25"/>
  <c r="CQ37" i="25"/>
  <c r="CR37" i="25"/>
  <c r="CS37" i="25"/>
  <c r="CT37" i="25"/>
  <c r="CU37" i="25"/>
  <c r="CV37" i="25"/>
  <c r="CW37" i="25"/>
  <c r="CX37" i="25"/>
  <c r="CY37" i="25"/>
  <c r="CZ37" i="25"/>
  <c r="DA37" i="25"/>
  <c r="DB37" i="25"/>
  <c r="DC37" i="25"/>
  <c r="DD37" i="25"/>
  <c r="DE37" i="25"/>
  <c r="DF37" i="25"/>
  <c r="DG37" i="25"/>
  <c r="DH37" i="25"/>
  <c r="C38" i="25"/>
  <c r="CQ38" i="25"/>
  <c r="CR38" i="25"/>
  <c r="CS38" i="25"/>
  <c r="CT38" i="25"/>
  <c r="CU38" i="25"/>
  <c r="CV38" i="25"/>
  <c r="CW38" i="25"/>
  <c r="CX38" i="25"/>
  <c r="CY38" i="25"/>
  <c r="CZ38" i="25"/>
  <c r="DA38" i="25"/>
  <c r="DB38" i="25"/>
  <c r="DC38" i="25"/>
  <c r="DD38" i="25"/>
  <c r="DE38" i="25"/>
  <c r="DF38" i="25"/>
  <c r="DG38" i="25"/>
  <c r="DH38" i="25"/>
  <c r="DI38" i="25"/>
  <c r="DJ38" i="25"/>
  <c r="DK38" i="25"/>
  <c r="DL38" i="25"/>
  <c r="DM38" i="25"/>
  <c r="DN38" i="25"/>
  <c r="C39" i="25"/>
  <c r="CW39" i="25"/>
  <c r="CX39" i="25"/>
  <c r="CY39" i="25"/>
  <c r="CZ39" i="25"/>
  <c r="DA39" i="25"/>
  <c r="DB39" i="25"/>
  <c r="DC39" i="25"/>
  <c r="DD39" i="25"/>
  <c r="DE39" i="25"/>
  <c r="DF39" i="25"/>
  <c r="DG39" i="25"/>
  <c r="DH39" i="25"/>
  <c r="DI39" i="25"/>
  <c r="DJ39" i="25"/>
  <c r="DK39" i="25"/>
  <c r="DL39" i="25"/>
  <c r="DM39" i="25"/>
  <c r="DN39" i="25"/>
  <c r="DO39" i="25"/>
  <c r="DP39" i="25"/>
  <c r="DQ39" i="25"/>
  <c r="DR39" i="25"/>
  <c r="DS39" i="25"/>
  <c r="DT39" i="25"/>
  <c r="C40" i="25"/>
  <c r="DC40" i="25"/>
  <c r="DD40" i="25"/>
  <c r="DE40" i="25"/>
  <c r="DF40" i="25"/>
  <c r="DG40" i="25"/>
  <c r="DH40" i="25"/>
  <c r="DI40" i="25"/>
  <c r="DJ40" i="25"/>
  <c r="DK40" i="25"/>
  <c r="DL40" i="25"/>
  <c r="DM40" i="25"/>
  <c r="DN40" i="25"/>
  <c r="DO40" i="25"/>
  <c r="DP40" i="25"/>
  <c r="DQ40" i="25"/>
  <c r="DR40" i="25"/>
  <c r="DS40" i="25"/>
  <c r="DT40" i="25"/>
  <c r="DU40" i="25"/>
  <c r="DV40" i="25"/>
  <c r="DW40" i="25"/>
  <c r="DX40" i="25"/>
  <c r="DY40" i="25"/>
  <c r="DZ40" i="25"/>
  <c r="C41" i="25"/>
  <c r="DI41" i="25"/>
  <c r="DJ41" i="25"/>
  <c r="DK41" i="25"/>
  <c r="DL41" i="25"/>
  <c r="DM41" i="25"/>
  <c r="DN41" i="25"/>
  <c r="DO41" i="25"/>
  <c r="DP41" i="25"/>
  <c r="DQ41" i="25"/>
  <c r="DR41" i="25"/>
  <c r="DS41" i="25"/>
  <c r="DT41" i="25"/>
  <c r="DU41" i="25"/>
  <c r="DV41" i="25"/>
  <c r="DW41" i="25"/>
  <c r="DX41" i="25"/>
  <c r="DY41" i="25"/>
  <c r="DZ41" i="25"/>
  <c r="EA41" i="25"/>
  <c r="EB41" i="25"/>
  <c r="EC41" i="25"/>
  <c r="ED41" i="25"/>
  <c r="EE41" i="25"/>
  <c r="EF41" i="25"/>
  <c r="C42" i="25"/>
  <c r="DO42" i="25"/>
  <c r="DP42" i="25"/>
  <c r="DQ42" i="25"/>
  <c r="DR42" i="25"/>
  <c r="DS42" i="25"/>
  <c r="DT42" i="25"/>
  <c r="DU42" i="25"/>
  <c r="DV42" i="25"/>
  <c r="DW42" i="25"/>
  <c r="DX42" i="25"/>
  <c r="DY42" i="25"/>
  <c r="DZ42" i="25"/>
  <c r="EA42" i="25"/>
  <c r="EB42" i="25"/>
  <c r="EC42" i="25"/>
  <c r="ED42" i="25"/>
  <c r="EE42" i="25"/>
  <c r="EF42" i="25"/>
  <c r="EG42" i="25"/>
  <c r="EG44" i="25" s="1"/>
  <c r="EH42" i="25"/>
  <c r="EH44" i="25" s="1"/>
  <c r="EI42" i="25"/>
  <c r="EI44" i="25" s="1"/>
  <c r="EJ42" i="25"/>
  <c r="EJ44" i="25" s="1"/>
  <c r="EK42" i="25"/>
  <c r="EK44" i="25" s="1"/>
  <c r="EL42" i="25"/>
  <c r="EL44" i="25" s="1"/>
  <c r="L2" i="25"/>
  <c r="L3" i="25"/>
  <c r="K4" i="25"/>
  <c r="L4" i="25"/>
  <c r="K5" i="25"/>
  <c r="L5" i="25"/>
  <c r="K6" i="25"/>
  <c r="L6" i="25"/>
  <c r="K7" i="25"/>
  <c r="K8" i="25"/>
  <c r="BI19" i="24"/>
  <c r="BJ19" i="24"/>
  <c r="BK19" i="24"/>
  <c r="BL19" i="24"/>
  <c r="BM19" i="24"/>
  <c r="BN19" i="24"/>
  <c r="BO19" i="24"/>
  <c r="BP19" i="24"/>
  <c r="BQ19" i="24"/>
  <c r="BR19" i="24"/>
  <c r="BS19" i="24"/>
  <c r="BT19" i="24"/>
  <c r="BU19" i="24"/>
  <c r="BV19" i="24"/>
  <c r="BW19" i="24"/>
  <c r="BX19" i="24"/>
  <c r="BY19" i="24"/>
  <c r="BZ19" i="24"/>
  <c r="CA19" i="24"/>
  <c r="CB19" i="24"/>
  <c r="CC19" i="24"/>
  <c r="CD19" i="24"/>
  <c r="AM19" i="24"/>
  <c r="AN19" i="24"/>
  <c r="AO19" i="24"/>
  <c r="AP19" i="24"/>
  <c r="AQ19" i="24"/>
  <c r="AR19" i="24"/>
  <c r="AL19" i="24"/>
  <c r="AI19" i="24"/>
  <c r="AH19" i="24"/>
  <c r="Q19" i="24"/>
  <c r="R19" i="24"/>
  <c r="S19" i="24"/>
  <c r="T19" i="24"/>
  <c r="U19" i="24"/>
  <c r="V19" i="24"/>
  <c r="W19" i="24"/>
  <c r="X19" i="24"/>
  <c r="Y19" i="24"/>
  <c r="Z19" i="24"/>
  <c r="AA19" i="24"/>
  <c r="AB19" i="24"/>
  <c r="AC19" i="24"/>
  <c r="AD19" i="24"/>
  <c r="AE19" i="24"/>
  <c r="AF19" i="24"/>
  <c r="AG19" i="24"/>
  <c r="P19" i="24"/>
  <c r="I19" i="24"/>
  <c r="N4" i="24"/>
  <c r="N5" i="24"/>
  <c r="N6" i="24"/>
  <c r="N7" i="24"/>
  <c r="N10" i="24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C47" i="3"/>
  <c r="C40" i="3"/>
  <c r="C42" i="19"/>
  <c r="CI28" i="19"/>
  <c r="D25" i="19"/>
  <c r="D5" i="6"/>
  <c r="D6" i="6"/>
  <c r="CK10" i="19"/>
  <c r="CL10" i="19"/>
  <c r="CM10" i="19"/>
  <c r="CN10" i="19"/>
  <c r="CO10" i="19"/>
  <c r="CP10" i="19"/>
  <c r="CQ10" i="19"/>
  <c r="CR10" i="19"/>
  <c r="CS10" i="19"/>
  <c r="CT10" i="19"/>
  <c r="CU10" i="19"/>
  <c r="CV10" i="19"/>
  <c r="CW10" i="19"/>
  <c r="CX10" i="19"/>
  <c r="CY10" i="19"/>
  <c r="CZ10" i="19"/>
  <c r="DA10" i="19"/>
  <c r="DB10" i="19"/>
  <c r="DC10" i="19"/>
  <c r="DD10" i="19"/>
  <c r="DE10" i="19"/>
  <c r="DF10" i="19"/>
  <c r="DG10" i="19"/>
  <c r="DH10" i="19"/>
  <c r="DI10" i="19"/>
  <c r="DJ10" i="19"/>
  <c r="DK10" i="19"/>
  <c r="DL10" i="19"/>
  <c r="DM10" i="19"/>
  <c r="DN10" i="19"/>
  <c r="DO10" i="19"/>
  <c r="DP10" i="19"/>
  <c r="DQ10" i="19"/>
  <c r="DR10" i="19"/>
  <c r="DS10" i="19"/>
  <c r="DT10" i="19"/>
  <c r="DU10" i="19"/>
  <c r="DV10" i="19"/>
  <c r="DW10" i="19"/>
  <c r="DX10" i="19"/>
  <c r="DY10" i="19"/>
  <c r="DZ10" i="19"/>
  <c r="D10" i="19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FT10" i="3"/>
  <c r="FU10" i="3"/>
  <c r="EA10" i="19"/>
  <c r="EB10" i="19"/>
  <c r="EC10" i="19"/>
  <c r="ED10" i="19"/>
  <c r="EE10" i="19"/>
  <c r="EF10" i="19"/>
  <c r="EG10" i="19"/>
  <c r="EH10" i="19"/>
  <c r="EI10" i="19"/>
  <c r="EJ10" i="19"/>
  <c r="EK10" i="19"/>
  <c r="EL10" i="19"/>
  <c r="EM10" i="19"/>
  <c r="EN10" i="19"/>
  <c r="EO10" i="19"/>
  <c r="EP10" i="19"/>
  <c r="EQ10" i="19"/>
  <c r="ER10" i="19"/>
  <c r="ES10" i="19"/>
  <c r="ET10" i="19"/>
  <c r="EU10" i="19"/>
  <c r="D5" i="24"/>
  <c r="EP40" i="24"/>
  <c r="EQ40" i="24"/>
  <c r="ER40" i="24"/>
  <c r="ES40" i="24"/>
  <c r="ET40" i="24"/>
  <c r="G18" i="24"/>
  <c r="H18" i="24"/>
  <c r="I18" i="24"/>
  <c r="J18" i="24"/>
  <c r="K18" i="24"/>
  <c r="L18" i="24"/>
  <c r="M18" i="24"/>
  <c r="N18" i="24"/>
  <c r="O18" i="24"/>
  <c r="P18" i="24"/>
  <c r="Q18" i="24"/>
  <c r="R18" i="24"/>
  <c r="S18" i="24"/>
  <c r="T18" i="24"/>
  <c r="U18" i="24"/>
  <c r="V18" i="24"/>
  <c r="W18" i="24"/>
  <c r="X18" i="24"/>
  <c r="Y18" i="24"/>
  <c r="Z18" i="24"/>
  <c r="AA18" i="24"/>
  <c r="AB18" i="24"/>
  <c r="AC18" i="24"/>
  <c r="AD18" i="24"/>
  <c r="AE18" i="24"/>
  <c r="AF18" i="24"/>
  <c r="AG18" i="24"/>
  <c r="AH18" i="24"/>
  <c r="AI18" i="24"/>
  <c r="AJ18" i="24"/>
  <c r="AK18" i="24"/>
  <c r="AL18" i="24"/>
  <c r="AM18" i="24"/>
  <c r="AN18" i="24"/>
  <c r="AO18" i="24"/>
  <c r="AP18" i="24"/>
  <c r="AQ18" i="24"/>
  <c r="AR18" i="24"/>
  <c r="AS18" i="24"/>
  <c r="AT18" i="24"/>
  <c r="AU18" i="24"/>
  <c r="AV18" i="24"/>
  <c r="AW18" i="24"/>
  <c r="AX18" i="24"/>
  <c r="AY18" i="24"/>
  <c r="AZ18" i="24"/>
  <c r="BA18" i="24"/>
  <c r="BB18" i="24"/>
  <c r="BC18" i="24"/>
  <c r="BD18" i="24"/>
  <c r="BE18" i="24"/>
  <c r="BF18" i="24"/>
  <c r="BG18" i="24"/>
  <c r="BH18" i="24"/>
  <c r="BI18" i="24"/>
  <c r="BJ18" i="24"/>
  <c r="BK18" i="24"/>
  <c r="BL18" i="24"/>
  <c r="BM18" i="24"/>
  <c r="BN18" i="24"/>
  <c r="BO18" i="24"/>
  <c r="BP18" i="24"/>
  <c r="BQ18" i="24"/>
  <c r="BR18" i="24"/>
  <c r="BS18" i="24"/>
  <c r="BT18" i="24"/>
  <c r="BU18" i="24"/>
  <c r="BV18" i="24"/>
  <c r="BW18" i="24"/>
  <c r="BX18" i="24"/>
  <c r="BY18" i="24"/>
  <c r="BZ18" i="24"/>
  <c r="CA18" i="24"/>
  <c r="CB18" i="24"/>
  <c r="CC18" i="24"/>
  <c r="CD18" i="24"/>
  <c r="CE18" i="24"/>
  <c r="CF18" i="24"/>
  <c r="CG18" i="24"/>
  <c r="CH18" i="24"/>
  <c r="CI18" i="24"/>
  <c r="CJ18" i="24"/>
  <c r="CK18" i="24"/>
  <c r="CL18" i="24"/>
  <c r="CM18" i="24"/>
  <c r="CN18" i="24"/>
  <c r="CO18" i="24"/>
  <c r="CP18" i="24"/>
  <c r="CQ18" i="24"/>
  <c r="CR18" i="24"/>
  <c r="CS18" i="24"/>
  <c r="CT18" i="24"/>
  <c r="CU18" i="24"/>
  <c r="CV18" i="24"/>
  <c r="CW18" i="24"/>
  <c r="CX18" i="24"/>
  <c r="CY18" i="24"/>
  <c r="CZ18" i="24"/>
  <c r="DA18" i="24"/>
  <c r="DB18" i="24"/>
  <c r="DC18" i="24"/>
  <c r="DD18" i="24"/>
  <c r="DE18" i="24"/>
  <c r="DF18" i="24"/>
  <c r="DG18" i="24"/>
  <c r="DH18" i="24"/>
  <c r="DI18" i="24"/>
  <c r="DJ18" i="24"/>
  <c r="DK18" i="24"/>
  <c r="DL18" i="24"/>
  <c r="DM18" i="24"/>
  <c r="DN18" i="24"/>
  <c r="DO18" i="24"/>
  <c r="DP18" i="24"/>
  <c r="DQ18" i="24"/>
  <c r="DR18" i="24"/>
  <c r="DS18" i="24"/>
  <c r="DT18" i="24"/>
  <c r="DU18" i="24"/>
  <c r="DV18" i="24"/>
  <c r="DW18" i="24"/>
  <c r="DX18" i="24"/>
  <c r="DY18" i="24"/>
  <c r="DZ18" i="24"/>
  <c r="EA18" i="24"/>
  <c r="EB18" i="24"/>
  <c r="EC18" i="24"/>
  <c r="ED18" i="24"/>
  <c r="EE18" i="24"/>
  <c r="EF18" i="24"/>
  <c r="EG18" i="24"/>
  <c r="EH18" i="24"/>
  <c r="EI18" i="24"/>
  <c r="EJ18" i="24"/>
  <c r="EK18" i="24"/>
  <c r="EL18" i="24"/>
  <c r="EM18" i="24"/>
  <c r="EN18" i="24"/>
  <c r="EO18" i="24"/>
  <c r="EP18" i="24"/>
  <c r="EQ18" i="24"/>
  <c r="ER18" i="24"/>
  <c r="ES18" i="24"/>
  <c r="ET18" i="24"/>
  <c r="C19" i="24"/>
  <c r="D20" i="24"/>
  <c r="C20" i="24" s="1"/>
  <c r="N20" i="24"/>
  <c r="O20" i="24"/>
  <c r="P20" i="24"/>
  <c r="Q20" i="24"/>
  <c r="R20" i="24"/>
  <c r="S20" i="24"/>
  <c r="T20" i="24"/>
  <c r="U20" i="24"/>
  <c r="V20" i="24"/>
  <c r="W20" i="24"/>
  <c r="X20" i="24"/>
  <c r="Y20" i="24"/>
  <c r="Z20" i="24"/>
  <c r="AA20" i="24"/>
  <c r="AB20" i="24"/>
  <c r="AC20" i="24"/>
  <c r="AD20" i="24"/>
  <c r="AE20" i="24"/>
  <c r="AF20" i="24"/>
  <c r="AG20" i="24"/>
  <c r="AH20" i="24"/>
  <c r="AI20" i="24"/>
  <c r="AJ20" i="24"/>
  <c r="AK20" i="24"/>
  <c r="C21" i="24"/>
  <c r="T21" i="24"/>
  <c r="U21" i="24"/>
  <c r="V21" i="24"/>
  <c r="W21" i="24"/>
  <c r="X21" i="24"/>
  <c r="Y21" i="24"/>
  <c r="Z21" i="24"/>
  <c r="AA21" i="24"/>
  <c r="AB21" i="24"/>
  <c r="AC21" i="24"/>
  <c r="AD21" i="24"/>
  <c r="AE21" i="24"/>
  <c r="AF21" i="24"/>
  <c r="AG21" i="24"/>
  <c r="AH21" i="24"/>
  <c r="AI21" i="24"/>
  <c r="AJ21" i="24"/>
  <c r="AK21" i="24"/>
  <c r="AL21" i="24"/>
  <c r="AM21" i="24"/>
  <c r="AN21" i="24"/>
  <c r="AO21" i="24"/>
  <c r="AP21" i="24"/>
  <c r="AQ21" i="24"/>
  <c r="C22" i="24"/>
  <c r="Z22" i="24"/>
  <c r="AA22" i="24"/>
  <c r="AB22" i="24"/>
  <c r="AC22" i="24"/>
  <c r="AD22" i="24"/>
  <c r="AE22" i="24"/>
  <c r="AF22" i="24"/>
  <c r="AG22" i="24"/>
  <c r="AH22" i="24"/>
  <c r="AI22" i="24"/>
  <c r="AJ22" i="24"/>
  <c r="AK22" i="24"/>
  <c r="AL22" i="24"/>
  <c r="AM22" i="24"/>
  <c r="AN22" i="24"/>
  <c r="AO22" i="24"/>
  <c r="AP22" i="24"/>
  <c r="AQ22" i="24"/>
  <c r="AR22" i="24"/>
  <c r="AS22" i="24"/>
  <c r="AT22" i="24"/>
  <c r="AU22" i="24"/>
  <c r="AV22" i="24"/>
  <c r="AW22" i="24"/>
  <c r="C23" i="24"/>
  <c r="AF23" i="24"/>
  <c r="AG23" i="24"/>
  <c r="AH23" i="24"/>
  <c r="AI23" i="24"/>
  <c r="AJ23" i="24"/>
  <c r="AK23" i="24"/>
  <c r="AL23" i="24"/>
  <c r="AM23" i="24"/>
  <c r="AN23" i="24"/>
  <c r="AO23" i="24"/>
  <c r="AP23" i="24"/>
  <c r="AQ23" i="24"/>
  <c r="AR23" i="24"/>
  <c r="AS23" i="24"/>
  <c r="AT23" i="24"/>
  <c r="AU23" i="24"/>
  <c r="AV23" i="24"/>
  <c r="AW23" i="24"/>
  <c r="AX23" i="24"/>
  <c r="AY23" i="24"/>
  <c r="AZ23" i="24"/>
  <c r="BA23" i="24"/>
  <c r="BB23" i="24"/>
  <c r="BC23" i="24"/>
  <c r="C24" i="24"/>
  <c r="AL24" i="24"/>
  <c r="AM24" i="24"/>
  <c r="AN24" i="24"/>
  <c r="AO24" i="24"/>
  <c r="AP24" i="24"/>
  <c r="AQ24" i="24"/>
  <c r="AR24" i="24"/>
  <c r="AS24" i="24"/>
  <c r="AT24" i="24"/>
  <c r="AU24" i="24"/>
  <c r="AV24" i="24"/>
  <c r="AW24" i="24"/>
  <c r="AX24" i="24"/>
  <c r="AY24" i="24"/>
  <c r="AZ24" i="24"/>
  <c r="BA24" i="24"/>
  <c r="BB24" i="24"/>
  <c r="BC24" i="24"/>
  <c r="BD24" i="24"/>
  <c r="BE24" i="24"/>
  <c r="BF24" i="24"/>
  <c r="BG24" i="24"/>
  <c r="BH24" i="24"/>
  <c r="BI24" i="24"/>
  <c r="C25" i="24"/>
  <c r="AR25" i="24"/>
  <c r="AS25" i="24"/>
  <c r="AT25" i="24"/>
  <c r="AU25" i="24"/>
  <c r="AV25" i="24"/>
  <c r="AW25" i="24"/>
  <c r="AX25" i="24"/>
  <c r="AY25" i="24"/>
  <c r="AZ25" i="24"/>
  <c r="BA25" i="24"/>
  <c r="BB25" i="24"/>
  <c r="BC25" i="24"/>
  <c r="BD25" i="24"/>
  <c r="BE25" i="24"/>
  <c r="BF25" i="24"/>
  <c r="BG25" i="24"/>
  <c r="BH25" i="24"/>
  <c r="BI25" i="24"/>
  <c r="BJ25" i="24"/>
  <c r="BK25" i="24"/>
  <c r="BL25" i="24"/>
  <c r="BM25" i="24"/>
  <c r="BN25" i="24"/>
  <c r="BO25" i="24"/>
  <c r="C26" i="24"/>
  <c r="AX26" i="24"/>
  <c r="AY26" i="24"/>
  <c r="AZ26" i="24"/>
  <c r="BA26" i="24"/>
  <c r="BB26" i="24"/>
  <c r="BC26" i="24"/>
  <c r="BD26" i="24"/>
  <c r="BE26" i="24"/>
  <c r="BF26" i="24"/>
  <c r="BG26" i="24"/>
  <c r="BH26" i="24"/>
  <c r="BI26" i="24"/>
  <c r="BJ26" i="24"/>
  <c r="BK26" i="24"/>
  <c r="BL26" i="24"/>
  <c r="BM26" i="24"/>
  <c r="BN26" i="24"/>
  <c r="BO26" i="24"/>
  <c r="BP26" i="24"/>
  <c r="BQ26" i="24"/>
  <c r="BR26" i="24"/>
  <c r="BS26" i="24"/>
  <c r="BT26" i="24"/>
  <c r="BU26" i="24"/>
  <c r="C27" i="24"/>
  <c r="BD27" i="24"/>
  <c r="BE27" i="24"/>
  <c r="BF27" i="24"/>
  <c r="BG27" i="24"/>
  <c r="BH27" i="24"/>
  <c r="BI27" i="24"/>
  <c r="BJ27" i="24"/>
  <c r="BK27" i="24"/>
  <c r="BL27" i="24"/>
  <c r="BM27" i="24"/>
  <c r="BN27" i="24"/>
  <c r="BO27" i="24"/>
  <c r="BP27" i="24"/>
  <c r="BQ27" i="24"/>
  <c r="BR27" i="24"/>
  <c r="BS27" i="24"/>
  <c r="BT27" i="24"/>
  <c r="BU27" i="24"/>
  <c r="BV27" i="24"/>
  <c r="BW27" i="24"/>
  <c r="BX27" i="24"/>
  <c r="BY27" i="24"/>
  <c r="BZ27" i="24"/>
  <c r="CA27" i="24"/>
  <c r="C28" i="24"/>
  <c r="BJ28" i="24"/>
  <c r="BK28" i="24"/>
  <c r="BL28" i="24"/>
  <c r="BM28" i="24"/>
  <c r="BN28" i="24"/>
  <c r="BO28" i="24"/>
  <c r="BP28" i="24"/>
  <c r="BQ28" i="24"/>
  <c r="BR28" i="24"/>
  <c r="BS28" i="24"/>
  <c r="BT28" i="24"/>
  <c r="BU28" i="24"/>
  <c r="BV28" i="24"/>
  <c r="BW28" i="24"/>
  <c r="BX28" i="24"/>
  <c r="BY28" i="24"/>
  <c r="BZ28" i="24"/>
  <c r="CA28" i="24"/>
  <c r="CB28" i="24"/>
  <c r="CC28" i="24"/>
  <c r="CD28" i="24"/>
  <c r="CE28" i="24"/>
  <c r="CF28" i="24"/>
  <c r="CG28" i="24"/>
  <c r="C29" i="24"/>
  <c r="BP29" i="24"/>
  <c r="BQ29" i="24"/>
  <c r="BR29" i="24"/>
  <c r="BS29" i="24"/>
  <c r="BT29" i="24"/>
  <c r="BU29" i="24"/>
  <c r="BV29" i="24"/>
  <c r="BW29" i="24"/>
  <c r="BX29" i="24"/>
  <c r="BY29" i="24"/>
  <c r="BZ29" i="24"/>
  <c r="CA29" i="24"/>
  <c r="CB29" i="24"/>
  <c r="CC29" i="24"/>
  <c r="CD29" i="24"/>
  <c r="CE29" i="24"/>
  <c r="CF29" i="24"/>
  <c r="CG29" i="24"/>
  <c r="CH29" i="24"/>
  <c r="CI29" i="24"/>
  <c r="CJ29" i="24"/>
  <c r="CK29" i="24"/>
  <c r="CL29" i="24"/>
  <c r="CM29" i="24"/>
  <c r="C30" i="24"/>
  <c r="BV30" i="24"/>
  <c r="BW30" i="24"/>
  <c r="BX30" i="24"/>
  <c r="BY30" i="24"/>
  <c r="BZ30" i="24"/>
  <c r="CA30" i="24"/>
  <c r="CB30" i="24"/>
  <c r="CC30" i="24"/>
  <c r="CD30" i="24"/>
  <c r="CE30" i="24"/>
  <c r="CF30" i="24"/>
  <c r="CG30" i="24"/>
  <c r="CH30" i="24"/>
  <c r="CI30" i="24"/>
  <c r="CJ30" i="24"/>
  <c r="CK30" i="24"/>
  <c r="CL30" i="24"/>
  <c r="CM30" i="24"/>
  <c r="CN30" i="24"/>
  <c r="CO30" i="24"/>
  <c r="CP30" i="24"/>
  <c r="CQ30" i="24"/>
  <c r="CR30" i="24"/>
  <c r="CS30" i="24"/>
  <c r="C31" i="24"/>
  <c r="CB31" i="24"/>
  <c r="CC31" i="24"/>
  <c r="CD31" i="24"/>
  <c r="CE31" i="24"/>
  <c r="CF31" i="24"/>
  <c r="CG31" i="24"/>
  <c r="CH31" i="24"/>
  <c r="CI31" i="24"/>
  <c r="CJ31" i="24"/>
  <c r="CK31" i="24"/>
  <c r="CL31" i="24"/>
  <c r="CM31" i="24"/>
  <c r="CN31" i="24"/>
  <c r="CO31" i="24"/>
  <c r="CP31" i="24"/>
  <c r="CQ31" i="24"/>
  <c r="CR31" i="24"/>
  <c r="CS31" i="24"/>
  <c r="CT31" i="24"/>
  <c r="CU31" i="24"/>
  <c r="CV31" i="24"/>
  <c r="CW31" i="24"/>
  <c r="CX31" i="24"/>
  <c r="CY31" i="24"/>
  <c r="C32" i="24"/>
  <c r="CH32" i="24"/>
  <c r="CI32" i="24"/>
  <c r="CJ32" i="24"/>
  <c r="CK32" i="24"/>
  <c r="CL32" i="24"/>
  <c r="CM32" i="24"/>
  <c r="CN32" i="24"/>
  <c r="CO32" i="24"/>
  <c r="CP32" i="24"/>
  <c r="CQ32" i="24"/>
  <c r="CR32" i="24"/>
  <c r="CS32" i="24"/>
  <c r="CT32" i="24"/>
  <c r="CU32" i="24"/>
  <c r="CV32" i="24"/>
  <c r="CW32" i="24"/>
  <c r="CX32" i="24"/>
  <c r="CY32" i="24"/>
  <c r="CZ32" i="24"/>
  <c r="DA32" i="24"/>
  <c r="DB32" i="24"/>
  <c r="DC32" i="24"/>
  <c r="DD32" i="24"/>
  <c r="DE32" i="24"/>
  <c r="C33" i="24"/>
  <c r="CN33" i="24"/>
  <c r="CO33" i="24"/>
  <c r="CP33" i="24"/>
  <c r="CQ33" i="24"/>
  <c r="CR33" i="24"/>
  <c r="CS33" i="24"/>
  <c r="CT33" i="24"/>
  <c r="CU33" i="24"/>
  <c r="CV33" i="24"/>
  <c r="CW33" i="24"/>
  <c r="CX33" i="24"/>
  <c r="CY33" i="24"/>
  <c r="CZ33" i="24"/>
  <c r="DA33" i="24"/>
  <c r="DB33" i="24"/>
  <c r="DC33" i="24"/>
  <c r="DD33" i="24"/>
  <c r="DE33" i="24"/>
  <c r="DF33" i="24"/>
  <c r="DG33" i="24"/>
  <c r="DH33" i="24"/>
  <c r="DI33" i="24"/>
  <c r="DJ33" i="24"/>
  <c r="DK33" i="24"/>
  <c r="C34" i="24"/>
  <c r="CT34" i="24"/>
  <c r="CU34" i="24"/>
  <c r="CV34" i="24"/>
  <c r="CW34" i="24"/>
  <c r="CX34" i="24"/>
  <c r="CY34" i="24"/>
  <c r="CZ34" i="24"/>
  <c r="DA34" i="24"/>
  <c r="DB34" i="24"/>
  <c r="DC34" i="24"/>
  <c r="DD34" i="24"/>
  <c r="DE34" i="24"/>
  <c r="DF34" i="24"/>
  <c r="DG34" i="24"/>
  <c r="DH34" i="24"/>
  <c r="DI34" i="24"/>
  <c r="DJ34" i="24"/>
  <c r="DK34" i="24"/>
  <c r="DL34" i="24"/>
  <c r="DM34" i="24"/>
  <c r="DN34" i="24"/>
  <c r="DO34" i="24"/>
  <c r="DP34" i="24"/>
  <c r="DQ34" i="24"/>
  <c r="C35" i="24"/>
  <c r="CZ35" i="24"/>
  <c r="DA35" i="24"/>
  <c r="DB35" i="24"/>
  <c r="DC35" i="24"/>
  <c r="DD35" i="24"/>
  <c r="DE35" i="24"/>
  <c r="DF35" i="24"/>
  <c r="DG35" i="24"/>
  <c r="DH35" i="24"/>
  <c r="DI35" i="24"/>
  <c r="DJ35" i="24"/>
  <c r="DK35" i="24"/>
  <c r="DL35" i="24"/>
  <c r="DM35" i="24"/>
  <c r="DN35" i="24"/>
  <c r="DO35" i="24"/>
  <c r="DP35" i="24"/>
  <c r="DQ35" i="24"/>
  <c r="DR35" i="24"/>
  <c r="DS35" i="24"/>
  <c r="DT35" i="24"/>
  <c r="DU35" i="24"/>
  <c r="DV35" i="24"/>
  <c r="DW35" i="24"/>
  <c r="C36" i="24"/>
  <c r="DF36" i="24"/>
  <c r="DG36" i="24"/>
  <c r="DH36" i="24"/>
  <c r="DI36" i="24"/>
  <c r="DJ36" i="24"/>
  <c r="DK36" i="24"/>
  <c r="DL36" i="24"/>
  <c r="DM36" i="24"/>
  <c r="DN36" i="24"/>
  <c r="DO36" i="24"/>
  <c r="DP36" i="24"/>
  <c r="DQ36" i="24"/>
  <c r="DR36" i="24"/>
  <c r="DS36" i="24"/>
  <c r="DT36" i="24"/>
  <c r="DU36" i="24"/>
  <c r="DV36" i="24"/>
  <c r="DW36" i="24"/>
  <c r="DX36" i="24"/>
  <c r="DY36" i="24"/>
  <c r="DZ36" i="24"/>
  <c r="EA36" i="24"/>
  <c r="EB36" i="24"/>
  <c r="EC36" i="24"/>
  <c r="C37" i="24"/>
  <c r="DL37" i="24"/>
  <c r="DM37" i="24"/>
  <c r="DN37" i="24"/>
  <c r="DO37" i="24"/>
  <c r="DP37" i="24"/>
  <c r="DQ37" i="24"/>
  <c r="DR37" i="24"/>
  <c r="DS37" i="24"/>
  <c r="DT37" i="24"/>
  <c r="DU37" i="24"/>
  <c r="DV37" i="24"/>
  <c r="DW37" i="24"/>
  <c r="DX37" i="24"/>
  <c r="DY37" i="24"/>
  <c r="DZ37" i="24"/>
  <c r="EA37" i="24"/>
  <c r="EB37" i="24"/>
  <c r="EC37" i="24"/>
  <c r="ED37" i="24"/>
  <c r="EE37" i="24"/>
  <c r="EF37" i="24"/>
  <c r="EG37" i="24"/>
  <c r="EH37" i="24"/>
  <c r="EI37" i="24"/>
  <c r="C38" i="24"/>
  <c r="DR38" i="24"/>
  <c r="DS38" i="24"/>
  <c r="DT38" i="24"/>
  <c r="DU38" i="24"/>
  <c r="DV38" i="24"/>
  <c r="DW38" i="24"/>
  <c r="DX38" i="24"/>
  <c r="DY38" i="24"/>
  <c r="DZ38" i="24"/>
  <c r="EA38" i="24"/>
  <c r="EB38" i="24"/>
  <c r="EC38" i="24"/>
  <c r="ED38" i="24"/>
  <c r="EE38" i="24"/>
  <c r="EF38" i="24"/>
  <c r="EG38" i="24"/>
  <c r="EH38" i="24"/>
  <c r="EI38" i="24"/>
  <c r="EJ38" i="24"/>
  <c r="EJ40" i="24" s="1"/>
  <c r="EK38" i="24"/>
  <c r="EK40" i="24" s="1"/>
  <c r="EL38" i="24"/>
  <c r="EL40" i="24" s="1"/>
  <c r="EM38" i="24"/>
  <c r="EM40" i="24" s="1"/>
  <c r="EN38" i="24"/>
  <c r="EN40" i="24" s="1"/>
  <c r="EO38" i="24"/>
  <c r="EO40" i="24" s="1"/>
  <c r="O2" i="24"/>
  <c r="O3" i="24"/>
  <c r="O4" i="24"/>
  <c r="O5" i="24"/>
  <c r="D6" i="24"/>
  <c r="O6" i="24"/>
  <c r="O7" i="24"/>
  <c r="O10" i="24"/>
  <c r="M10" i="24" s="1"/>
  <c r="N11" i="24"/>
  <c r="C7" i="23"/>
  <c r="C7" i="21"/>
  <c r="B8" i="22"/>
  <c r="B9" i="22"/>
  <c r="B10" i="22"/>
  <c r="B11" i="22"/>
  <c r="B12" i="22"/>
  <c r="B13" i="22"/>
  <c r="B14" i="22"/>
  <c r="B15" i="22"/>
  <c r="M15" i="22"/>
  <c r="B16" i="22"/>
  <c r="B17" i="22"/>
  <c r="M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M36" i="22"/>
  <c r="B37" i="22"/>
  <c r="B38" i="22"/>
  <c r="B39" i="22"/>
  <c r="B40" i="22"/>
  <c r="M40" i="22"/>
  <c r="B41" i="22"/>
  <c r="B42" i="22"/>
  <c r="B43" i="22"/>
  <c r="B44" i="22"/>
  <c r="B45" i="22"/>
  <c r="O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151" i="22"/>
  <c r="B152" i="22"/>
  <c r="B153" i="22"/>
  <c r="B154" i="22"/>
  <c r="B155" i="22"/>
  <c r="B156" i="22"/>
  <c r="B157" i="22"/>
  <c r="B158" i="22"/>
  <c r="B159" i="22"/>
  <c r="B160" i="22"/>
  <c r="B161" i="22"/>
  <c r="B162" i="22"/>
  <c r="B163" i="22"/>
  <c r="B164" i="22"/>
  <c r="B165" i="22"/>
  <c r="B166" i="22"/>
  <c r="B167" i="22"/>
  <c r="B168" i="22"/>
  <c r="B169" i="22"/>
  <c r="B170" i="22"/>
  <c r="B171" i="22"/>
  <c r="B172" i="22"/>
  <c r="B173" i="22"/>
  <c r="B174" i="22"/>
  <c r="B175" i="22"/>
  <c r="B176" i="22"/>
  <c r="B177" i="22"/>
  <c r="B178" i="22"/>
  <c r="B179" i="22"/>
  <c r="B180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207" i="22"/>
  <c r="B208" i="22"/>
  <c r="B209" i="22"/>
  <c r="B210" i="22"/>
  <c r="B211" i="22"/>
  <c r="B212" i="22"/>
  <c r="B213" i="22"/>
  <c r="B214" i="22"/>
  <c r="B215" i="22"/>
  <c r="B216" i="22"/>
  <c r="B217" i="22"/>
  <c r="B218" i="22"/>
  <c r="B219" i="22"/>
  <c r="B220" i="22"/>
  <c r="B221" i="22"/>
  <c r="B222" i="22"/>
  <c r="B223" i="22"/>
  <c r="B224" i="22"/>
  <c r="B225" i="22"/>
  <c r="B226" i="22"/>
  <c r="B227" i="22"/>
  <c r="B228" i="22"/>
  <c r="B229" i="22"/>
  <c r="B230" i="22"/>
  <c r="B231" i="22"/>
  <c r="B232" i="22"/>
  <c r="B233" i="22"/>
  <c r="B234" i="22"/>
  <c r="B235" i="22"/>
  <c r="B236" i="22"/>
  <c r="B237" i="22"/>
  <c r="B238" i="22"/>
  <c r="B239" i="22"/>
  <c r="B240" i="22"/>
  <c r="B241" i="22"/>
  <c r="B242" i="22"/>
  <c r="B243" i="22"/>
  <c r="B244" i="22"/>
  <c r="B245" i="22"/>
  <c r="B246" i="22"/>
  <c r="B247" i="22"/>
  <c r="B248" i="22"/>
  <c r="B249" i="22"/>
  <c r="B250" i="22"/>
  <c r="B251" i="22"/>
  <c r="B252" i="22"/>
  <c r="B253" i="22"/>
  <c r="B254" i="22"/>
  <c r="B255" i="22"/>
  <c r="B256" i="22"/>
  <c r="B257" i="22"/>
  <c r="B258" i="22"/>
  <c r="B259" i="22"/>
  <c r="B260" i="22"/>
  <c r="B261" i="22"/>
  <c r="B262" i="22"/>
  <c r="B263" i="22"/>
  <c r="B264" i="22"/>
  <c r="B265" i="22"/>
  <c r="B266" i="22"/>
  <c r="B267" i="22"/>
  <c r="B268" i="22"/>
  <c r="B269" i="22"/>
  <c r="B270" i="22"/>
  <c r="B271" i="22"/>
  <c r="B272" i="22"/>
  <c r="B273" i="22"/>
  <c r="B274" i="22"/>
  <c r="B275" i="22"/>
  <c r="B276" i="22"/>
  <c r="B277" i="22"/>
  <c r="B278" i="22"/>
  <c r="B279" i="22"/>
  <c r="B280" i="22"/>
  <c r="B281" i="22"/>
  <c r="B282" i="22"/>
  <c r="B283" i="22"/>
  <c r="B284" i="22"/>
  <c r="B285" i="22"/>
  <c r="B286" i="22"/>
  <c r="B287" i="22"/>
  <c r="B288" i="22"/>
  <c r="B289" i="22"/>
  <c r="B290" i="22"/>
  <c r="B291" i="22"/>
  <c r="B292" i="22"/>
  <c r="B293" i="22"/>
  <c r="B294" i="22"/>
  <c r="B295" i="22"/>
  <c r="B296" i="22"/>
  <c r="B297" i="22"/>
  <c r="B298" i="22"/>
  <c r="B299" i="22"/>
  <c r="B300" i="22"/>
  <c r="B301" i="22"/>
  <c r="B302" i="22"/>
  <c r="B303" i="22"/>
  <c r="B304" i="22"/>
  <c r="B305" i="22"/>
  <c r="B306" i="22"/>
  <c r="B53" i="20"/>
  <c r="B23" i="20"/>
  <c r="B41" i="20"/>
  <c r="B21" i="20"/>
  <c r="B20" i="20"/>
  <c r="B19" i="20"/>
  <c r="B18" i="20"/>
  <c r="D24" i="19"/>
  <c r="C19" i="21"/>
  <c r="B49" i="20" s="1"/>
  <c r="E3" i="22" s="1"/>
  <c r="B68" i="20"/>
  <c r="B62" i="20"/>
  <c r="B48" i="20"/>
  <c r="C16" i="20"/>
  <c r="C15" i="20"/>
  <c r="C14" i="20"/>
  <c r="C13" i="20"/>
  <c r="B12" i="20"/>
  <c r="C12" i="20" s="1"/>
  <c r="B11" i="20"/>
  <c r="C11" i="20" s="1"/>
  <c r="C10" i="20"/>
  <c r="C9" i="20"/>
  <c r="C8" i="20"/>
  <c r="B7" i="20"/>
  <c r="B5" i="20"/>
  <c r="B4" i="20"/>
  <c r="B3" i="20" s="1"/>
  <c r="C49" i="19"/>
  <c r="C24" i="19"/>
  <c r="C25" i="19"/>
  <c r="C26" i="19"/>
  <c r="C28" i="19"/>
  <c r="C29" i="19"/>
  <c r="C30" i="19"/>
  <c r="E4" i="19"/>
  <c r="F4" i="19"/>
  <c r="G4" i="19"/>
  <c r="H4" i="19"/>
  <c r="I4" i="19"/>
  <c r="J4" i="19"/>
  <c r="K4" i="19"/>
  <c r="L4" i="19"/>
  <c r="M4" i="19"/>
  <c r="N4" i="19"/>
  <c r="O4" i="19"/>
  <c r="P4" i="19"/>
  <c r="Q4" i="19"/>
  <c r="R4" i="19"/>
  <c r="S4" i="19"/>
  <c r="T4" i="19"/>
  <c r="U4" i="19"/>
  <c r="V4" i="19"/>
  <c r="W4" i="19"/>
  <c r="X4" i="19"/>
  <c r="Y4" i="19"/>
  <c r="Z4" i="19"/>
  <c r="AA4" i="19"/>
  <c r="AB4" i="19"/>
  <c r="AC4" i="19"/>
  <c r="AD4" i="19"/>
  <c r="AE4" i="19"/>
  <c r="AF4" i="19"/>
  <c r="AG4" i="19"/>
  <c r="AH4" i="19"/>
  <c r="AI4" i="19"/>
  <c r="AJ4" i="19"/>
  <c r="AK4" i="19"/>
  <c r="AL4" i="19"/>
  <c r="AM4" i="19"/>
  <c r="AN4" i="19"/>
  <c r="AO4" i="19"/>
  <c r="AP4" i="19"/>
  <c r="AQ4" i="19"/>
  <c r="AR4" i="19"/>
  <c r="AS4" i="19"/>
  <c r="AT4" i="19"/>
  <c r="AU4" i="19"/>
  <c r="AV4" i="19"/>
  <c r="AW4" i="19"/>
  <c r="AX4" i="19"/>
  <c r="AY4" i="19"/>
  <c r="AZ4" i="19"/>
  <c r="BA4" i="19"/>
  <c r="BB4" i="19"/>
  <c r="BC4" i="19"/>
  <c r="BD4" i="19"/>
  <c r="BE4" i="19"/>
  <c r="BF4" i="19"/>
  <c r="BG4" i="19"/>
  <c r="BH4" i="19"/>
  <c r="BI4" i="19"/>
  <c r="BJ4" i="19"/>
  <c r="BK4" i="19"/>
  <c r="BL4" i="19"/>
  <c r="BM4" i="19"/>
  <c r="BN4" i="19"/>
  <c r="BO4" i="19"/>
  <c r="BP4" i="19"/>
  <c r="BQ4" i="19"/>
  <c r="BR4" i="19"/>
  <c r="BS4" i="19"/>
  <c r="BT4" i="19"/>
  <c r="BU4" i="19"/>
  <c r="BV4" i="19"/>
  <c r="BW4" i="19"/>
  <c r="BX4" i="19"/>
  <c r="BY4" i="19"/>
  <c r="BZ4" i="19"/>
  <c r="CA4" i="19"/>
  <c r="CB4" i="19"/>
  <c r="CC4" i="19"/>
  <c r="CD4" i="19"/>
  <c r="CE4" i="19"/>
  <c r="CF4" i="19"/>
  <c r="CG4" i="19"/>
  <c r="CH4" i="19"/>
  <c r="CI4" i="19"/>
  <c r="CJ4" i="19"/>
  <c r="CK4" i="19"/>
  <c r="CL4" i="19"/>
  <c r="CM4" i="19"/>
  <c r="CN4" i="19"/>
  <c r="CO4" i="19"/>
  <c r="CP4" i="19"/>
  <c r="CQ4" i="19"/>
  <c r="CR4" i="19"/>
  <c r="CS4" i="19"/>
  <c r="CT4" i="19"/>
  <c r="CU4" i="19"/>
  <c r="CV4" i="19"/>
  <c r="CW4" i="19"/>
  <c r="CX4" i="19"/>
  <c r="CY4" i="19"/>
  <c r="CZ4" i="19"/>
  <c r="DA4" i="19"/>
  <c r="DB4" i="19"/>
  <c r="DC4" i="19"/>
  <c r="DD4" i="19"/>
  <c r="DE4" i="19"/>
  <c r="DF4" i="19"/>
  <c r="DG4" i="19"/>
  <c r="DH4" i="19"/>
  <c r="DI4" i="19"/>
  <c r="DJ4" i="19"/>
  <c r="DK4" i="19"/>
  <c r="DL4" i="19"/>
  <c r="DM4" i="19"/>
  <c r="DN4" i="19"/>
  <c r="DO4" i="19"/>
  <c r="DP4" i="19"/>
  <c r="DQ4" i="19"/>
  <c r="DR4" i="19"/>
  <c r="DS4" i="19"/>
  <c r="DT4" i="19"/>
  <c r="DU4" i="19"/>
  <c r="DV4" i="19"/>
  <c r="DW4" i="19"/>
  <c r="DX4" i="19"/>
  <c r="DY4" i="19"/>
  <c r="DZ4" i="19"/>
  <c r="EA4" i="19"/>
  <c r="EB4" i="19"/>
  <c r="EC4" i="19"/>
  <c r="ED4" i="19"/>
  <c r="EE4" i="19"/>
  <c r="EF4" i="19"/>
  <c r="EG4" i="19"/>
  <c r="EH4" i="19"/>
  <c r="EI4" i="19"/>
  <c r="EJ4" i="19"/>
  <c r="EK4" i="19"/>
  <c r="EL4" i="19"/>
  <c r="EM4" i="19"/>
  <c r="EN4" i="19"/>
  <c r="EO4" i="19"/>
  <c r="EP4" i="19"/>
  <c r="EQ4" i="19"/>
  <c r="ER4" i="19"/>
  <c r="ES4" i="19"/>
  <c r="ET4" i="19"/>
  <c r="EU4" i="19"/>
  <c r="EV4" i="19"/>
  <c r="EW4" i="19"/>
  <c r="EX4" i="19"/>
  <c r="EY4" i="19"/>
  <c r="EZ4" i="19"/>
  <c r="FA4" i="19"/>
  <c r="FB4" i="19"/>
  <c r="FC4" i="19"/>
  <c r="FD4" i="19"/>
  <c r="FE4" i="19"/>
  <c r="FF4" i="19"/>
  <c r="FG4" i="19"/>
  <c r="FH4" i="19"/>
  <c r="FI4" i="19"/>
  <c r="FJ4" i="19"/>
  <c r="FK4" i="19"/>
  <c r="FL4" i="19"/>
  <c r="FM4" i="19"/>
  <c r="FN4" i="19"/>
  <c r="FO4" i="19"/>
  <c r="FP4" i="19"/>
  <c r="FQ4" i="19"/>
  <c r="FR4" i="19"/>
  <c r="FS4" i="19"/>
  <c r="FT4" i="19"/>
  <c r="FU4" i="19"/>
  <c r="FV4" i="19"/>
  <c r="FW4" i="19"/>
  <c r="FX4" i="19"/>
  <c r="FY4" i="19"/>
  <c r="FZ4" i="19"/>
  <c r="GA4" i="19"/>
  <c r="GB4" i="19"/>
  <c r="GC4" i="19"/>
  <c r="GD4" i="19"/>
  <c r="GE4" i="19"/>
  <c r="GF4" i="19"/>
  <c r="GG4" i="19"/>
  <c r="GH4" i="19"/>
  <c r="GI4" i="19"/>
  <c r="GJ4" i="19"/>
  <c r="GK4" i="19"/>
  <c r="GL4" i="19"/>
  <c r="GM4" i="19"/>
  <c r="GN4" i="19"/>
  <c r="GO4" i="19"/>
  <c r="GP4" i="19"/>
  <c r="GQ4" i="19"/>
  <c r="GR4" i="19"/>
  <c r="GS4" i="19"/>
  <c r="GT4" i="19"/>
  <c r="GU4" i="19"/>
  <c r="GV4" i="19"/>
  <c r="GW4" i="19"/>
  <c r="GX4" i="19"/>
  <c r="GY4" i="19"/>
  <c r="GZ4" i="19"/>
  <c r="HA4" i="19"/>
  <c r="HB4" i="19"/>
  <c r="HC4" i="19"/>
  <c r="HD4" i="19"/>
  <c r="HE4" i="19"/>
  <c r="HF4" i="19"/>
  <c r="HG4" i="19"/>
  <c r="HH4" i="19"/>
  <c r="HI4" i="19"/>
  <c r="HJ4" i="19"/>
  <c r="HK4" i="19"/>
  <c r="HL4" i="19"/>
  <c r="HM4" i="19"/>
  <c r="HN4" i="19"/>
  <c r="HO4" i="19"/>
  <c r="HP4" i="19"/>
  <c r="HQ4" i="19"/>
  <c r="HR4" i="19"/>
  <c r="HS4" i="19"/>
  <c r="HT4" i="19"/>
  <c r="HU4" i="19"/>
  <c r="HV4" i="19"/>
  <c r="HW4" i="19"/>
  <c r="HX4" i="19"/>
  <c r="HY4" i="19"/>
  <c r="HZ4" i="19"/>
  <c r="IA4" i="19"/>
  <c r="IB4" i="19"/>
  <c r="IC4" i="19"/>
  <c r="ID4" i="19"/>
  <c r="IE4" i="19"/>
  <c r="IF4" i="19"/>
  <c r="IG4" i="19"/>
  <c r="IH4" i="19"/>
  <c r="II4" i="19"/>
  <c r="IJ4" i="19"/>
  <c r="IK4" i="19"/>
  <c r="IL4" i="19"/>
  <c r="IM4" i="19"/>
  <c r="IN4" i="19"/>
  <c r="IO4" i="19"/>
  <c r="IP4" i="19"/>
  <c r="IQ4" i="19"/>
  <c r="IR4" i="19"/>
  <c r="IS4" i="19"/>
  <c r="IT4" i="19"/>
  <c r="IU4" i="19"/>
  <c r="IV4" i="19"/>
  <c r="IW4" i="19"/>
  <c r="IX4" i="19"/>
  <c r="IY4" i="19"/>
  <c r="IZ4" i="19"/>
  <c r="JA4" i="19"/>
  <c r="JB4" i="19"/>
  <c r="JC4" i="19"/>
  <c r="JD4" i="19"/>
  <c r="JE4" i="19"/>
  <c r="JF4" i="19"/>
  <c r="JG4" i="19"/>
  <c r="JH4" i="19"/>
  <c r="JI4" i="19"/>
  <c r="JJ4" i="19"/>
  <c r="JK4" i="19"/>
  <c r="JL4" i="19"/>
  <c r="JM4" i="19"/>
  <c r="JN4" i="19"/>
  <c r="JO4" i="19"/>
  <c r="JP4" i="19"/>
  <c r="JQ4" i="19"/>
  <c r="JR4" i="19"/>
  <c r="JS4" i="19"/>
  <c r="JT4" i="19"/>
  <c r="JU4" i="19"/>
  <c r="JV4" i="19"/>
  <c r="JW4" i="19"/>
  <c r="JX4" i="19"/>
  <c r="JY4" i="19"/>
  <c r="JZ4" i="19"/>
  <c r="KA4" i="19"/>
  <c r="KB4" i="19"/>
  <c r="KC4" i="19"/>
  <c r="KD4" i="19"/>
  <c r="KE4" i="19"/>
  <c r="KF4" i="19"/>
  <c r="KG4" i="19"/>
  <c r="KH4" i="19"/>
  <c r="KI4" i="19"/>
  <c r="KJ4" i="19"/>
  <c r="KK4" i="19"/>
  <c r="KL4" i="19"/>
  <c r="KM4" i="19"/>
  <c r="KN4" i="19"/>
  <c r="KO4" i="19"/>
  <c r="KP4" i="19"/>
  <c r="KQ4" i="19"/>
  <c r="D6" i="19"/>
  <c r="E17" i="24" s="1"/>
  <c r="E6" i="19"/>
  <c r="F17" i="24" s="1"/>
  <c r="CR8" i="19"/>
  <c r="CR7" i="19" s="1"/>
  <c r="CS8" i="19"/>
  <c r="CS7" i="19" s="1"/>
  <c r="CT8" i="19"/>
  <c r="CT7" i="19" s="1"/>
  <c r="CU8" i="19"/>
  <c r="CU7" i="19" s="1"/>
  <c r="CV8" i="19"/>
  <c r="CV7" i="19" s="1"/>
  <c r="CW8" i="19"/>
  <c r="CW7" i="19" s="1"/>
  <c r="CX8" i="19"/>
  <c r="CX7" i="19" s="1"/>
  <c r="CY8" i="19"/>
  <c r="CY7" i="19" s="1"/>
  <c r="CZ8" i="19"/>
  <c r="CZ7" i="19" s="1"/>
  <c r="DA8" i="19"/>
  <c r="DA7" i="19" s="1"/>
  <c r="DB8" i="19"/>
  <c r="DB7" i="19" s="1"/>
  <c r="DC8" i="19"/>
  <c r="DC7" i="19" s="1"/>
  <c r="DD8" i="19"/>
  <c r="DD7" i="19" s="1"/>
  <c r="DE8" i="19"/>
  <c r="DE7" i="19" s="1"/>
  <c r="DF8" i="19"/>
  <c r="DF7" i="19" s="1"/>
  <c r="DG8" i="19"/>
  <c r="DG7" i="19" s="1"/>
  <c r="DH8" i="19"/>
  <c r="DH7" i="19" s="1"/>
  <c r="DI8" i="19"/>
  <c r="DI7" i="19" s="1"/>
  <c r="DJ8" i="19"/>
  <c r="DJ7" i="19" s="1"/>
  <c r="DK8" i="19"/>
  <c r="DK7" i="19" s="1"/>
  <c r="DL8" i="19"/>
  <c r="DL7" i="19" s="1"/>
  <c r="DM8" i="19"/>
  <c r="DM7" i="19" s="1"/>
  <c r="DN8" i="19"/>
  <c r="DN7" i="19" s="1"/>
  <c r="DO8" i="19"/>
  <c r="DO7" i="19" s="1"/>
  <c r="DP8" i="19"/>
  <c r="DP7" i="19" s="1"/>
  <c r="DQ8" i="19"/>
  <c r="DQ7" i="19" s="1"/>
  <c r="DR8" i="19"/>
  <c r="DR7" i="19" s="1"/>
  <c r="DS8" i="19"/>
  <c r="DS7" i="19" s="1"/>
  <c r="DT8" i="19"/>
  <c r="DT7" i="19" s="1"/>
  <c r="DU8" i="19"/>
  <c r="DU7" i="19" s="1"/>
  <c r="DV8" i="19"/>
  <c r="DV7" i="19" s="1"/>
  <c r="DW8" i="19"/>
  <c r="DW7" i="19" s="1"/>
  <c r="DX8" i="19"/>
  <c r="DX7" i="19" s="1"/>
  <c r="DY8" i="19"/>
  <c r="DY7" i="19" s="1"/>
  <c r="DZ8" i="19"/>
  <c r="DZ7" i="19" s="1"/>
  <c r="EA8" i="19"/>
  <c r="EA7" i="19" s="1"/>
  <c r="EB8" i="19"/>
  <c r="EB7" i="19" s="1"/>
  <c r="EC8" i="19"/>
  <c r="EC7" i="19" s="1"/>
  <c r="ED8" i="19"/>
  <c r="ED7" i="19" s="1"/>
  <c r="EE8" i="19"/>
  <c r="EE7" i="19" s="1"/>
  <c r="EF8" i="19"/>
  <c r="EF7" i="19" s="1"/>
  <c r="EG8" i="19"/>
  <c r="EG7" i="19" s="1"/>
  <c r="EH8" i="19"/>
  <c r="EH7" i="19" s="1"/>
  <c r="EI8" i="19"/>
  <c r="EI7" i="19" s="1"/>
  <c r="EJ8" i="19"/>
  <c r="EJ7" i="19" s="1"/>
  <c r="EK8" i="19"/>
  <c r="EK7" i="19" s="1"/>
  <c r="EL8" i="19"/>
  <c r="EL7" i="19" s="1"/>
  <c r="EM8" i="19"/>
  <c r="EM7" i="19" s="1"/>
  <c r="EN8" i="19"/>
  <c r="EN7" i="19" s="1"/>
  <c r="EO8" i="19"/>
  <c r="EO7" i="19" s="1"/>
  <c r="EP8" i="19"/>
  <c r="EP7" i="19" s="1"/>
  <c r="EQ8" i="19"/>
  <c r="EQ7" i="19" s="1"/>
  <c r="ER8" i="19"/>
  <c r="ER7" i="19" s="1"/>
  <c r="ES8" i="19"/>
  <c r="ES7" i="19" s="1"/>
  <c r="ET8" i="19"/>
  <c r="ET7" i="19" s="1"/>
  <c r="EU8" i="19"/>
  <c r="EU7" i="19" s="1"/>
  <c r="EU11" i="19" s="1"/>
  <c r="EV8" i="19"/>
  <c r="EV7" i="19" s="1"/>
  <c r="EW8" i="19"/>
  <c r="EW7" i="19" s="1"/>
  <c r="EX8" i="19"/>
  <c r="EX7" i="19" s="1"/>
  <c r="EY8" i="19"/>
  <c r="EY7" i="19" s="1"/>
  <c r="EZ8" i="19"/>
  <c r="EZ7" i="19" s="1"/>
  <c r="FA8" i="19"/>
  <c r="FA7" i="19" s="1"/>
  <c r="FB8" i="19"/>
  <c r="FB7" i="19" s="1"/>
  <c r="FC8" i="19"/>
  <c r="FC7" i="19" s="1"/>
  <c r="FD8" i="19"/>
  <c r="FD7" i="19" s="1"/>
  <c r="FE8" i="19"/>
  <c r="FE7" i="19" s="1"/>
  <c r="FE11" i="19" s="1"/>
  <c r="FF8" i="19"/>
  <c r="FF7" i="19" s="1"/>
  <c r="FF11" i="19" s="1"/>
  <c r="FG8" i="19"/>
  <c r="FG7" i="19" s="1"/>
  <c r="FH8" i="19"/>
  <c r="FH7" i="19" s="1"/>
  <c r="FH11" i="19" s="1"/>
  <c r="FI8" i="19"/>
  <c r="FI7" i="19" s="1"/>
  <c r="FI11" i="19" s="1"/>
  <c r="FJ8" i="19"/>
  <c r="FJ7" i="19" s="1"/>
  <c r="FJ11" i="19" s="1"/>
  <c r="FK8" i="19"/>
  <c r="FK7" i="19" s="1"/>
  <c r="FL8" i="19"/>
  <c r="FL7" i="19" s="1"/>
  <c r="FM8" i="19"/>
  <c r="FM7" i="19" s="1"/>
  <c r="FN8" i="19"/>
  <c r="FN7" i="19" s="1"/>
  <c r="FO8" i="19"/>
  <c r="FO7" i="19" s="1"/>
  <c r="FP8" i="19"/>
  <c r="FP7" i="19" s="1"/>
  <c r="FQ8" i="19"/>
  <c r="FQ7" i="19" s="1"/>
  <c r="FR8" i="19"/>
  <c r="FR7" i="19" s="1"/>
  <c r="FS8" i="19"/>
  <c r="FS7" i="19" s="1"/>
  <c r="FT8" i="19"/>
  <c r="FT7" i="19" s="1"/>
  <c r="FU8" i="19"/>
  <c r="FU7" i="19" s="1"/>
  <c r="FV8" i="19"/>
  <c r="FV7" i="19" s="1"/>
  <c r="FW8" i="19"/>
  <c r="FW7" i="19" s="1"/>
  <c r="FX8" i="19"/>
  <c r="FX7" i="19" s="1"/>
  <c r="FX11" i="19" s="1"/>
  <c r="FY8" i="19"/>
  <c r="FY7" i="19" s="1"/>
  <c r="FY11" i="19" s="1"/>
  <c r="FZ8" i="19"/>
  <c r="FZ7" i="19" s="1"/>
  <c r="FZ11" i="19" s="1"/>
  <c r="GA8" i="19"/>
  <c r="GA7" i="19" s="1"/>
  <c r="GB8" i="19"/>
  <c r="GB7" i="19" s="1"/>
  <c r="GC8" i="19"/>
  <c r="GC7" i="19" s="1"/>
  <c r="GD8" i="19"/>
  <c r="GD7" i="19" s="1"/>
  <c r="GE8" i="19"/>
  <c r="GE7" i="19" s="1"/>
  <c r="GF8" i="19"/>
  <c r="GF7" i="19" s="1"/>
  <c r="GG8" i="19"/>
  <c r="GG7" i="19" s="1"/>
  <c r="GH8" i="19"/>
  <c r="GH7" i="19" s="1"/>
  <c r="GI8" i="19"/>
  <c r="GI7" i="19" s="1"/>
  <c r="GJ8" i="19"/>
  <c r="GJ7" i="19" s="1"/>
  <c r="GK8" i="19"/>
  <c r="GK7" i="19" s="1"/>
  <c r="GL8" i="19"/>
  <c r="GL7" i="19" s="1"/>
  <c r="GM8" i="19"/>
  <c r="GM7" i="19" s="1"/>
  <c r="GN8" i="19"/>
  <c r="GN7" i="19" s="1"/>
  <c r="GN11" i="19" s="1"/>
  <c r="GO8" i="19"/>
  <c r="GO7" i="19" s="1"/>
  <c r="GO11" i="19" s="1"/>
  <c r="GP8" i="19"/>
  <c r="GP7" i="19" s="1"/>
  <c r="GP11" i="19" s="1"/>
  <c r="GQ8" i="19"/>
  <c r="GQ7" i="19" s="1"/>
  <c r="GR8" i="19"/>
  <c r="GR7" i="19" s="1"/>
  <c r="GS8" i="19"/>
  <c r="GS7" i="19" s="1"/>
  <c r="GT8" i="19"/>
  <c r="GT7" i="19" s="1"/>
  <c r="GU8" i="19"/>
  <c r="GU7" i="19" s="1"/>
  <c r="GV8" i="19"/>
  <c r="GV7" i="19" s="1"/>
  <c r="GW8" i="19"/>
  <c r="GW7" i="19" s="1"/>
  <c r="GX8" i="19"/>
  <c r="GX7" i="19" s="1"/>
  <c r="GY8" i="19"/>
  <c r="GY7" i="19" s="1"/>
  <c r="GZ8" i="19"/>
  <c r="GZ7" i="19" s="1"/>
  <c r="HA8" i="19"/>
  <c r="HA7" i="19" s="1"/>
  <c r="HB8" i="19"/>
  <c r="HB7" i="19" s="1"/>
  <c r="HC8" i="19"/>
  <c r="HC7" i="19" s="1"/>
  <c r="HD8" i="19"/>
  <c r="HD7" i="19" s="1"/>
  <c r="HD11" i="19" s="1"/>
  <c r="HE8" i="19"/>
  <c r="HE7" i="19" s="1"/>
  <c r="HE11" i="19" s="1"/>
  <c r="HF8" i="19"/>
  <c r="HF7" i="19" s="1"/>
  <c r="HF11" i="19" s="1"/>
  <c r="HG8" i="19"/>
  <c r="HG7" i="19" s="1"/>
  <c r="HH8" i="19"/>
  <c r="HH7" i="19" s="1"/>
  <c r="HI8" i="19"/>
  <c r="HI7" i="19" s="1"/>
  <c r="HJ8" i="19"/>
  <c r="HJ7" i="19" s="1"/>
  <c r="HK8" i="19"/>
  <c r="HK7" i="19" s="1"/>
  <c r="HL8" i="19"/>
  <c r="HL7" i="19" s="1"/>
  <c r="HM8" i="19"/>
  <c r="HM7" i="19" s="1"/>
  <c r="HN8" i="19"/>
  <c r="HN7" i="19" s="1"/>
  <c r="HO8" i="19"/>
  <c r="HO7" i="19" s="1"/>
  <c r="HP8" i="19"/>
  <c r="HP7" i="19" s="1"/>
  <c r="HQ8" i="19"/>
  <c r="HQ7" i="19" s="1"/>
  <c r="HR8" i="19"/>
  <c r="HR7" i="19" s="1"/>
  <c r="HS8" i="19"/>
  <c r="HS7" i="19" s="1"/>
  <c r="HT8" i="19"/>
  <c r="HT7" i="19" s="1"/>
  <c r="HT11" i="19" s="1"/>
  <c r="HU8" i="19"/>
  <c r="HU7" i="19" s="1"/>
  <c r="HU11" i="19" s="1"/>
  <c r="HV8" i="19"/>
  <c r="HV7" i="19" s="1"/>
  <c r="HV11" i="19" s="1"/>
  <c r="HW8" i="19"/>
  <c r="HW7" i="19" s="1"/>
  <c r="HX8" i="19"/>
  <c r="HX7" i="19" s="1"/>
  <c r="HY8" i="19"/>
  <c r="HY7" i="19" s="1"/>
  <c r="HZ8" i="19"/>
  <c r="HZ7" i="19" s="1"/>
  <c r="IA8" i="19"/>
  <c r="IA7" i="19" s="1"/>
  <c r="IB8" i="19"/>
  <c r="IB7" i="19" s="1"/>
  <c r="IC8" i="19"/>
  <c r="IC7" i="19" s="1"/>
  <c r="ID8" i="19"/>
  <c r="ID7" i="19" s="1"/>
  <c r="IE8" i="19"/>
  <c r="IE7" i="19" s="1"/>
  <c r="IF8" i="19"/>
  <c r="IF7" i="19" s="1"/>
  <c r="IG8" i="19"/>
  <c r="IG7" i="19" s="1"/>
  <c r="IH8" i="19"/>
  <c r="IH7" i="19" s="1"/>
  <c r="II8" i="19"/>
  <c r="II7" i="19" s="1"/>
  <c r="IJ8" i="19"/>
  <c r="IJ7" i="19" s="1"/>
  <c r="IJ11" i="19" s="1"/>
  <c r="IK8" i="19"/>
  <c r="IK7" i="19" s="1"/>
  <c r="IK11" i="19" s="1"/>
  <c r="IL8" i="19"/>
  <c r="IL7" i="19" s="1"/>
  <c r="IL11" i="19" s="1"/>
  <c r="IM8" i="19"/>
  <c r="IM7" i="19" s="1"/>
  <c r="IN8" i="19"/>
  <c r="IN7" i="19" s="1"/>
  <c r="IO8" i="19"/>
  <c r="IO7" i="19" s="1"/>
  <c r="IP8" i="19"/>
  <c r="IP7" i="19" s="1"/>
  <c r="IQ8" i="19"/>
  <c r="IQ7" i="19" s="1"/>
  <c r="IR8" i="19"/>
  <c r="IR7" i="19" s="1"/>
  <c r="IS8" i="19"/>
  <c r="IS7" i="19" s="1"/>
  <c r="IT8" i="19"/>
  <c r="IT7" i="19" s="1"/>
  <c r="IU8" i="19"/>
  <c r="IU7" i="19" s="1"/>
  <c r="IV8" i="19"/>
  <c r="IV7" i="19" s="1"/>
  <c r="IW8" i="19"/>
  <c r="IW7" i="19" s="1"/>
  <c r="IX8" i="19"/>
  <c r="IX7" i="19" s="1"/>
  <c r="IY8" i="19"/>
  <c r="IY7" i="19" s="1"/>
  <c r="IZ8" i="19"/>
  <c r="IZ7" i="19" s="1"/>
  <c r="IZ11" i="19" s="1"/>
  <c r="JA8" i="19"/>
  <c r="JA7" i="19" s="1"/>
  <c r="JA11" i="19" s="1"/>
  <c r="JB8" i="19"/>
  <c r="JB7" i="19" s="1"/>
  <c r="JB11" i="19" s="1"/>
  <c r="JC8" i="19"/>
  <c r="JC7" i="19" s="1"/>
  <c r="JD8" i="19"/>
  <c r="JD7" i="19" s="1"/>
  <c r="JE8" i="19"/>
  <c r="JE7" i="19" s="1"/>
  <c r="JF8" i="19"/>
  <c r="JF7" i="19" s="1"/>
  <c r="JG8" i="19"/>
  <c r="JG7" i="19" s="1"/>
  <c r="JH8" i="19"/>
  <c r="JH7" i="19" s="1"/>
  <c r="JI8" i="19"/>
  <c r="JI7" i="19" s="1"/>
  <c r="JJ8" i="19"/>
  <c r="JJ7" i="19" s="1"/>
  <c r="JK8" i="19"/>
  <c r="JK7" i="19" s="1"/>
  <c r="JL8" i="19"/>
  <c r="JL7" i="19" s="1"/>
  <c r="JL11" i="19" s="1"/>
  <c r="JM8" i="19"/>
  <c r="JM7" i="19" s="1"/>
  <c r="JM11" i="19" s="1"/>
  <c r="JN8" i="19"/>
  <c r="JN7" i="19" s="1"/>
  <c r="JO8" i="19"/>
  <c r="JO7" i="19" s="1"/>
  <c r="JP8" i="19"/>
  <c r="JP7" i="19" s="1"/>
  <c r="JP11" i="19" s="1"/>
  <c r="JQ8" i="19"/>
  <c r="JQ7" i="19" s="1"/>
  <c r="JQ11" i="19" s="1"/>
  <c r="JR8" i="19"/>
  <c r="JR7" i="19" s="1"/>
  <c r="JR11" i="19" s="1"/>
  <c r="JS8" i="19"/>
  <c r="JS7" i="19" s="1"/>
  <c r="JT8" i="19"/>
  <c r="JT7" i="19" s="1"/>
  <c r="JU8" i="19"/>
  <c r="JU7" i="19" s="1"/>
  <c r="JV8" i="19"/>
  <c r="JV7" i="19" s="1"/>
  <c r="JW8" i="19"/>
  <c r="JW7" i="19" s="1"/>
  <c r="JX8" i="19"/>
  <c r="JX7" i="19" s="1"/>
  <c r="JY8" i="19"/>
  <c r="JY7" i="19" s="1"/>
  <c r="JZ8" i="19"/>
  <c r="JZ7" i="19" s="1"/>
  <c r="KA8" i="19"/>
  <c r="KA7" i="19" s="1"/>
  <c r="KB8" i="19"/>
  <c r="KB7" i="19" s="1"/>
  <c r="KC8" i="19"/>
  <c r="KC7" i="19" s="1"/>
  <c r="KD8" i="19"/>
  <c r="KD7" i="19" s="1"/>
  <c r="KE8" i="19"/>
  <c r="KE7" i="19" s="1"/>
  <c r="KF8" i="19"/>
  <c r="KF7" i="19" s="1"/>
  <c r="KF11" i="19" s="1"/>
  <c r="KG8" i="19"/>
  <c r="KG7" i="19" s="1"/>
  <c r="KG11" i="19" s="1"/>
  <c r="KH8" i="19"/>
  <c r="KH7" i="19" s="1"/>
  <c r="KH11" i="19" s="1"/>
  <c r="KI8" i="19"/>
  <c r="KI7" i="19" s="1"/>
  <c r="KJ8" i="19"/>
  <c r="KJ7" i="19" s="1"/>
  <c r="KK8" i="19"/>
  <c r="KK7" i="19" s="1"/>
  <c r="KL8" i="19"/>
  <c r="KL7" i="19" s="1"/>
  <c r="KM8" i="19"/>
  <c r="KM7" i="19" s="1"/>
  <c r="KN8" i="19"/>
  <c r="KN7" i="19" s="1"/>
  <c r="KO8" i="19"/>
  <c r="KO7" i="19" s="1"/>
  <c r="KP8" i="19"/>
  <c r="KP7" i="19" s="1"/>
  <c r="KQ8" i="19"/>
  <c r="KQ7" i="19" s="1"/>
  <c r="EU9" i="19"/>
  <c r="EZ10" i="19"/>
  <c r="EZ9" i="19" s="1"/>
  <c r="FA10" i="19"/>
  <c r="FA9" i="19" s="1"/>
  <c r="FB10" i="19"/>
  <c r="FB9" i="19" s="1"/>
  <c r="FC10" i="19"/>
  <c r="FC9" i="19" s="1"/>
  <c r="FD10" i="19"/>
  <c r="FD9" i="19" s="1"/>
  <c r="FE10" i="19"/>
  <c r="FE9" i="19" s="1"/>
  <c r="FF10" i="19"/>
  <c r="FF9" i="19" s="1"/>
  <c r="FG10" i="19"/>
  <c r="FG9" i="19" s="1"/>
  <c r="FH10" i="19"/>
  <c r="FH9" i="19" s="1"/>
  <c r="FI10" i="19"/>
  <c r="FI9" i="19" s="1"/>
  <c r="FJ10" i="19"/>
  <c r="FJ9" i="19" s="1"/>
  <c r="FK10" i="19"/>
  <c r="FK9" i="19" s="1"/>
  <c r="FK11" i="19" s="1"/>
  <c r="FL10" i="19"/>
  <c r="FL9" i="19" s="1"/>
  <c r="FL11" i="19" s="1"/>
  <c r="FM10" i="19"/>
  <c r="FM9" i="19" s="1"/>
  <c r="FN10" i="19"/>
  <c r="FN9" i="19" s="1"/>
  <c r="FO10" i="19"/>
  <c r="FO9" i="19" s="1"/>
  <c r="FP10" i="19"/>
  <c r="FP9" i="19" s="1"/>
  <c r="FQ10" i="19"/>
  <c r="FQ9" i="19" s="1"/>
  <c r="FR10" i="19"/>
  <c r="FR9" i="19" s="1"/>
  <c r="FS10" i="19"/>
  <c r="FS9" i="19" s="1"/>
  <c r="FT10" i="19"/>
  <c r="FT9" i="19" s="1"/>
  <c r="FT11" i="19" s="1"/>
  <c r="FU10" i="19"/>
  <c r="FU9" i="19" s="1"/>
  <c r="FU11" i="19" s="1"/>
  <c r="FV10" i="19"/>
  <c r="FV9" i="19" s="1"/>
  <c r="FW10" i="19"/>
  <c r="FW9" i="19" s="1"/>
  <c r="FX10" i="19"/>
  <c r="FX9" i="19" s="1"/>
  <c r="FY10" i="19"/>
  <c r="FY9" i="19" s="1"/>
  <c r="FZ10" i="19"/>
  <c r="FZ9" i="19" s="1"/>
  <c r="GA10" i="19"/>
  <c r="GA9" i="19" s="1"/>
  <c r="GA11" i="19" s="1"/>
  <c r="GB10" i="19"/>
  <c r="GB9" i="19" s="1"/>
  <c r="GB11" i="19" s="1"/>
  <c r="GC10" i="19"/>
  <c r="GC9" i="19" s="1"/>
  <c r="GD10" i="19"/>
  <c r="GD9" i="19" s="1"/>
  <c r="GE10" i="19"/>
  <c r="GE9" i="19" s="1"/>
  <c r="GF10" i="19"/>
  <c r="GF9" i="19" s="1"/>
  <c r="GG10" i="19"/>
  <c r="GG9" i="19" s="1"/>
  <c r="GH10" i="19"/>
  <c r="GH9" i="19" s="1"/>
  <c r="GI10" i="19"/>
  <c r="GI9" i="19" s="1"/>
  <c r="GJ10" i="19"/>
  <c r="GJ9" i="19" s="1"/>
  <c r="GJ11" i="19" s="1"/>
  <c r="GK10" i="19"/>
  <c r="GK9" i="19" s="1"/>
  <c r="GK11" i="19" s="1"/>
  <c r="GL10" i="19"/>
  <c r="GL9" i="19" s="1"/>
  <c r="GM10" i="19"/>
  <c r="GM9" i="19" s="1"/>
  <c r="GN10" i="19"/>
  <c r="GN9" i="19" s="1"/>
  <c r="GO10" i="19"/>
  <c r="GO9" i="19" s="1"/>
  <c r="GP10" i="19"/>
  <c r="GP9" i="19" s="1"/>
  <c r="GQ10" i="19"/>
  <c r="GQ9" i="19" s="1"/>
  <c r="GQ11" i="19" s="1"/>
  <c r="GR10" i="19"/>
  <c r="GR9" i="19" s="1"/>
  <c r="GR11" i="19" s="1"/>
  <c r="GS10" i="19"/>
  <c r="GS9" i="19" s="1"/>
  <c r="GT10" i="19"/>
  <c r="GT9" i="19" s="1"/>
  <c r="GU10" i="19"/>
  <c r="GU9" i="19" s="1"/>
  <c r="GV10" i="19"/>
  <c r="GV9" i="19" s="1"/>
  <c r="GW10" i="19"/>
  <c r="GW9" i="19" s="1"/>
  <c r="GX10" i="19"/>
  <c r="GX9" i="19" s="1"/>
  <c r="GY10" i="19"/>
  <c r="GY9" i="19" s="1"/>
  <c r="GZ10" i="19"/>
  <c r="GZ9" i="19" s="1"/>
  <c r="GZ11" i="19" s="1"/>
  <c r="HA10" i="19"/>
  <c r="HA9" i="19" s="1"/>
  <c r="HA11" i="19" s="1"/>
  <c r="HB10" i="19"/>
  <c r="HB9" i="19" s="1"/>
  <c r="HC10" i="19"/>
  <c r="HC9" i="19" s="1"/>
  <c r="HD10" i="19"/>
  <c r="HD9" i="19" s="1"/>
  <c r="HE10" i="19"/>
  <c r="HE9" i="19" s="1"/>
  <c r="HF10" i="19"/>
  <c r="HF9" i="19" s="1"/>
  <c r="HG10" i="19"/>
  <c r="HG9" i="19" s="1"/>
  <c r="HG11" i="19" s="1"/>
  <c r="HH10" i="19"/>
  <c r="HH9" i="19" s="1"/>
  <c r="HH11" i="19" s="1"/>
  <c r="HI10" i="19"/>
  <c r="HI9" i="19" s="1"/>
  <c r="HJ10" i="19"/>
  <c r="HJ9" i="19" s="1"/>
  <c r="HK10" i="19"/>
  <c r="HK9" i="19" s="1"/>
  <c r="HL10" i="19"/>
  <c r="HL9" i="19" s="1"/>
  <c r="HM10" i="19"/>
  <c r="HM9" i="19" s="1"/>
  <c r="HN10" i="19"/>
  <c r="HN9" i="19" s="1"/>
  <c r="HO10" i="19"/>
  <c r="HO9" i="19" s="1"/>
  <c r="HP10" i="19"/>
  <c r="HP9" i="19" s="1"/>
  <c r="HP11" i="19" s="1"/>
  <c r="HQ10" i="19"/>
  <c r="HQ9" i="19" s="1"/>
  <c r="HQ11" i="19" s="1"/>
  <c r="HR10" i="19"/>
  <c r="HR9" i="19" s="1"/>
  <c r="HS10" i="19"/>
  <c r="HS9" i="19" s="1"/>
  <c r="HT10" i="19"/>
  <c r="HT9" i="19" s="1"/>
  <c r="HU10" i="19"/>
  <c r="HU9" i="19" s="1"/>
  <c r="HV10" i="19"/>
  <c r="HV9" i="19" s="1"/>
  <c r="HW10" i="19"/>
  <c r="HW9" i="19" s="1"/>
  <c r="HW11" i="19" s="1"/>
  <c r="HX10" i="19"/>
  <c r="HX9" i="19" s="1"/>
  <c r="HX11" i="19" s="1"/>
  <c r="HY10" i="19"/>
  <c r="HY9" i="19" s="1"/>
  <c r="HZ10" i="19"/>
  <c r="HZ9" i="19" s="1"/>
  <c r="IA10" i="19"/>
  <c r="IA9" i="19" s="1"/>
  <c r="IB10" i="19"/>
  <c r="IB9" i="19" s="1"/>
  <c r="IC10" i="19"/>
  <c r="IC9" i="19" s="1"/>
  <c r="ID10" i="19"/>
  <c r="ID9" i="19" s="1"/>
  <c r="IE10" i="19"/>
  <c r="IE9" i="19" s="1"/>
  <c r="IF10" i="19"/>
  <c r="IF9" i="19" s="1"/>
  <c r="IF11" i="19" s="1"/>
  <c r="IG10" i="19"/>
  <c r="IG9" i="19" s="1"/>
  <c r="IG11" i="19" s="1"/>
  <c r="IH10" i="19"/>
  <c r="IH9" i="19" s="1"/>
  <c r="II10" i="19"/>
  <c r="II9" i="19" s="1"/>
  <c r="IJ10" i="19"/>
  <c r="IJ9" i="19" s="1"/>
  <c r="IK10" i="19"/>
  <c r="IK9" i="19" s="1"/>
  <c r="IL10" i="19"/>
  <c r="IL9" i="19" s="1"/>
  <c r="IM10" i="19"/>
  <c r="IM9" i="19" s="1"/>
  <c r="IM11" i="19" s="1"/>
  <c r="IN10" i="19"/>
  <c r="IN9" i="19" s="1"/>
  <c r="IN11" i="19" s="1"/>
  <c r="IO10" i="19"/>
  <c r="IO9" i="19" s="1"/>
  <c r="IP10" i="19"/>
  <c r="IP9" i="19" s="1"/>
  <c r="IQ10" i="19"/>
  <c r="IQ9" i="19" s="1"/>
  <c r="IR10" i="19"/>
  <c r="IR9" i="19" s="1"/>
  <c r="IS10" i="19"/>
  <c r="IS9" i="19" s="1"/>
  <c r="IT10" i="19"/>
  <c r="IT9" i="19" s="1"/>
  <c r="IU10" i="19"/>
  <c r="IU9" i="19" s="1"/>
  <c r="IV10" i="19"/>
  <c r="IV9" i="19" s="1"/>
  <c r="IV11" i="19" s="1"/>
  <c r="IW10" i="19"/>
  <c r="IW9" i="19" s="1"/>
  <c r="IW11" i="19" s="1"/>
  <c r="IX10" i="19"/>
  <c r="IX9" i="19" s="1"/>
  <c r="IY10" i="19"/>
  <c r="IY9" i="19" s="1"/>
  <c r="IZ10" i="19"/>
  <c r="IZ9" i="19" s="1"/>
  <c r="JA10" i="19"/>
  <c r="JA9" i="19" s="1"/>
  <c r="JB10" i="19"/>
  <c r="JB9" i="19" s="1"/>
  <c r="JC10" i="19"/>
  <c r="JC9" i="19" s="1"/>
  <c r="JC11" i="19" s="1"/>
  <c r="JD10" i="19"/>
  <c r="JD9" i="19" s="1"/>
  <c r="JD11" i="19" s="1"/>
  <c r="JE10" i="19"/>
  <c r="JE9" i="19" s="1"/>
  <c r="JF10" i="19"/>
  <c r="JF9" i="19" s="1"/>
  <c r="JG10" i="19"/>
  <c r="JG9" i="19" s="1"/>
  <c r="JH10" i="19"/>
  <c r="JH9" i="19" s="1"/>
  <c r="JI10" i="19"/>
  <c r="JI9" i="19" s="1"/>
  <c r="JJ10" i="19"/>
  <c r="JJ9" i="19" s="1"/>
  <c r="JK10" i="19"/>
  <c r="JK9" i="19" s="1"/>
  <c r="JL10" i="19"/>
  <c r="JL9" i="19" s="1"/>
  <c r="JM10" i="19"/>
  <c r="JM9" i="19" s="1"/>
  <c r="JN10" i="19"/>
  <c r="JN9" i="19" s="1"/>
  <c r="JO10" i="19"/>
  <c r="JO9" i="19" s="1"/>
  <c r="JP10" i="19"/>
  <c r="JP9" i="19" s="1"/>
  <c r="JQ10" i="19"/>
  <c r="JQ9" i="19" s="1"/>
  <c r="JR10" i="19"/>
  <c r="JR9" i="19" s="1"/>
  <c r="JS10" i="19"/>
  <c r="JS9" i="19" s="1"/>
  <c r="JS11" i="19" s="1"/>
  <c r="JT10" i="19"/>
  <c r="JT9" i="19" s="1"/>
  <c r="JT11" i="19" s="1"/>
  <c r="JU10" i="19"/>
  <c r="JU9" i="19" s="1"/>
  <c r="JV10" i="19"/>
  <c r="JV9" i="19" s="1"/>
  <c r="JW10" i="19"/>
  <c r="JW9" i="19" s="1"/>
  <c r="JX10" i="19"/>
  <c r="JX9" i="19" s="1"/>
  <c r="JY10" i="19"/>
  <c r="JY9" i="19" s="1"/>
  <c r="JZ10" i="19"/>
  <c r="JZ9" i="19" s="1"/>
  <c r="KA10" i="19"/>
  <c r="KA9" i="19" s="1"/>
  <c r="KB10" i="19"/>
  <c r="KB9" i="19" s="1"/>
  <c r="KB11" i="19" s="1"/>
  <c r="KC10" i="19"/>
  <c r="KC9" i="19" s="1"/>
  <c r="KC11" i="19" s="1"/>
  <c r="KD10" i="19"/>
  <c r="KD9" i="19" s="1"/>
  <c r="KE10" i="19"/>
  <c r="KE9" i="19" s="1"/>
  <c r="KF10" i="19"/>
  <c r="KF9" i="19" s="1"/>
  <c r="KG10" i="19"/>
  <c r="KG9" i="19" s="1"/>
  <c r="KH10" i="19"/>
  <c r="KH9" i="19" s="1"/>
  <c r="KI10" i="19"/>
  <c r="KI9" i="19" s="1"/>
  <c r="KI11" i="19" s="1"/>
  <c r="KJ10" i="19"/>
  <c r="KJ9" i="19" s="1"/>
  <c r="KJ11" i="19" s="1"/>
  <c r="KK10" i="19"/>
  <c r="KK9" i="19" s="1"/>
  <c r="KL10" i="19"/>
  <c r="KL9" i="19" s="1"/>
  <c r="KM10" i="19"/>
  <c r="KM9" i="19" s="1"/>
  <c r="KN10" i="19"/>
  <c r="KN9" i="19" s="1"/>
  <c r="KO10" i="19"/>
  <c r="KO9" i="19" s="1"/>
  <c r="KP10" i="19"/>
  <c r="KP9" i="19" s="1"/>
  <c r="KQ10" i="19"/>
  <c r="KQ9" i="19" s="1"/>
  <c r="FD11" i="19"/>
  <c r="C7" i="2"/>
  <c r="O6" i="17"/>
  <c r="B7" i="23" l="1"/>
  <c r="B18" i="26"/>
  <c r="B50" i="28"/>
  <c r="C33" i="26"/>
  <c r="C32" i="26" s="1"/>
  <c r="C35" i="26"/>
  <c r="C53" i="28"/>
  <c r="C29" i="26"/>
  <c r="B40" i="28"/>
  <c r="B22" i="28"/>
  <c r="C22" i="28" s="1"/>
  <c r="D18" i="26"/>
  <c r="B29" i="26"/>
  <c r="C25" i="2"/>
  <c r="C26" i="2" s="1"/>
  <c r="KL11" i="19"/>
  <c r="JV11" i="19"/>
  <c r="JF11" i="19"/>
  <c r="IP11" i="19"/>
  <c r="HZ11" i="19"/>
  <c r="HJ11" i="19"/>
  <c r="GT11" i="19"/>
  <c r="GD11" i="19"/>
  <c r="FN11" i="19"/>
  <c r="KK11" i="19"/>
  <c r="JU11" i="19"/>
  <c r="JE11" i="19"/>
  <c r="IO11" i="19"/>
  <c r="HY11" i="19"/>
  <c r="HI11" i="19"/>
  <c r="GS11" i="19"/>
  <c r="GC11" i="19"/>
  <c r="FM11" i="19"/>
  <c r="JK11" i="19"/>
  <c r="HO11" i="19"/>
  <c r="FS11" i="19"/>
  <c r="KP11" i="19"/>
  <c r="JZ11" i="19"/>
  <c r="JJ11" i="19"/>
  <c r="IT11" i="19"/>
  <c r="ID11" i="19"/>
  <c r="HN11" i="19"/>
  <c r="GX11" i="19"/>
  <c r="GH11" i="19"/>
  <c r="FR11" i="19"/>
  <c r="FB11" i="19"/>
  <c r="KQ11" i="19"/>
  <c r="IU11" i="19"/>
  <c r="GY11" i="19"/>
  <c r="FC11" i="19"/>
  <c r="KO11" i="19"/>
  <c r="JI11" i="19"/>
  <c r="IS11" i="19"/>
  <c r="HM11" i="19"/>
  <c r="GG11" i="19"/>
  <c r="FA11" i="19"/>
  <c r="KN11" i="19"/>
  <c r="JX11" i="19"/>
  <c r="JH11" i="19"/>
  <c r="IR11" i="19"/>
  <c r="IB11" i="19"/>
  <c r="HL11" i="19"/>
  <c r="GV11" i="19"/>
  <c r="GF11" i="19"/>
  <c r="FP11" i="19"/>
  <c r="EZ11" i="19"/>
  <c r="KA11" i="19"/>
  <c r="IE11" i="19"/>
  <c r="GI11" i="19"/>
  <c r="JY11" i="19"/>
  <c r="IC11" i="19"/>
  <c r="GW11" i="19"/>
  <c r="FQ11" i="19"/>
  <c r="KM11" i="19"/>
  <c r="JW11" i="19"/>
  <c r="JG11" i="19"/>
  <c r="IQ11" i="19"/>
  <c r="IA11" i="19"/>
  <c r="HK11" i="19"/>
  <c r="GU11" i="19"/>
  <c r="GE11" i="19"/>
  <c r="FO11" i="19"/>
  <c r="KE11" i="19"/>
  <c r="JO11" i="19"/>
  <c r="IY11" i="19"/>
  <c r="II11" i="19"/>
  <c r="HS11" i="19"/>
  <c r="HC11" i="19"/>
  <c r="GM11" i="19"/>
  <c r="FW11" i="19"/>
  <c r="FG11" i="19"/>
  <c r="KD11" i="19"/>
  <c r="JN11" i="19"/>
  <c r="IX11" i="19"/>
  <c r="IH11" i="19"/>
  <c r="HR11" i="19"/>
  <c r="HB11" i="19"/>
  <c r="GL11" i="19"/>
  <c r="FV11" i="19"/>
  <c r="F6" i="19"/>
  <c r="F3" i="19" s="1"/>
  <c r="E7" i="22"/>
  <c r="E89" i="22"/>
  <c r="DL27" i="25"/>
  <c r="K19" i="25"/>
  <c r="B42" i="25"/>
  <c r="EF44" i="25"/>
  <c r="EE44" i="25"/>
  <c r="ED44" i="25"/>
  <c r="B41" i="25"/>
  <c r="B40" i="25"/>
  <c r="B39" i="25"/>
  <c r="B38" i="25"/>
  <c r="B37" i="25"/>
  <c r="B36" i="25"/>
  <c r="B35" i="25"/>
  <c r="B34" i="25"/>
  <c r="B33" i="25"/>
  <c r="B32" i="25"/>
  <c r="B31" i="25"/>
  <c r="B30" i="25"/>
  <c r="CE19" i="24"/>
  <c r="CF19" i="24"/>
  <c r="CG19" i="24"/>
  <c r="CH19" i="24"/>
  <c r="CI19" i="24"/>
  <c r="CJ19" i="24"/>
  <c r="CK19" i="24"/>
  <c r="C16" i="24"/>
  <c r="F19" i="24"/>
  <c r="E10" i="19" s="1"/>
  <c r="G19" i="24"/>
  <c r="H19" i="24"/>
  <c r="J19" i="24"/>
  <c r="K19" i="24"/>
  <c r="L19" i="24"/>
  <c r="M19" i="24"/>
  <c r="N19" i="24"/>
  <c r="O19" i="24"/>
  <c r="AJ19" i="24"/>
  <c r="AK19" i="24"/>
  <c r="AS19" i="24"/>
  <c r="AT19" i="24"/>
  <c r="AU19" i="24"/>
  <c r="AV19" i="24"/>
  <c r="AW19" i="24"/>
  <c r="AX19" i="24"/>
  <c r="AY19" i="24"/>
  <c r="AZ19" i="24"/>
  <c r="BA19" i="24"/>
  <c r="BB19" i="24"/>
  <c r="BC19" i="24"/>
  <c r="BD19" i="24"/>
  <c r="BE19" i="24"/>
  <c r="BF19" i="24"/>
  <c r="BG19" i="24"/>
  <c r="BH19" i="24"/>
  <c r="B38" i="24"/>
  <c r="EI40" i="24"/>
  <c r="EH40" i="24"/>
  <c r="EG40" i="24"/>
  <c r="EF40" i="24"/>
  <c r="EE40" i="24"/>
  <c r="ED40" i="24"/>
  <c r="B37" i="24"/>
  <c r="EC40" i="24"/>
  <c r="EB40" i="24"/>
  <c r="EA40" i="24"/>
  <c r="DZ40" i="24"/>
  <c r="DY40" i="24"/>
  <c r="DX40" i="24"/>
  <c r="B36" i="24"/>
  <c r="DW40" i="24"/>
  <c r="DV40" i="24"/>
  <c r="DU40" i="24"/>
  <c r="DT40" i="24"/>
  <c r="DS40" i="24"/>
  <c r="DR40" i="24"/>
  <c r="B35" i="24"/>
  <c r="DQ40" i="24"/>
  <c r="DP40" i="24"/>
  <c r="DO40" i="24"/>
  <c r="DN40" i="24"/>
  <c r="DM40" i="24"/>
  <c r="DL40" i="24"/>
  <c r="B34" i="24"/>
  <c r="DK40" i="24"/>
  <c r="DJ40" i="24"/>
  <c r="DI40" i="24"/>
  <c r="DH40" i="24"/>
  <c r="DG40" i="24"/>
  <c r="DF40" i="24"/>
  <c r="B33" i="24"/>
  <c r="DE40" i="24"/>
  <c r="DD40" i="24"/>
  <c r="DC40" i="24"/>
  <c r="DB40" i="24"/>
  <c r="DA40" i="24"/>
  <c r="CZ40" i="24"/>
  <c r="B32" i="24"/>
  <c r="CY40" i="24"/>
  <c r="CX40" i="24"/>
  <c r="CW40" i="24"/>
  <c r="CV40" i="24"/>
  <c r="CU40" i="24"/>
  <c r="CT40" i="24"/>
  <c r="B31" i="24"/>
  <c r="CS40" i="24"/>
  <c r="CR40" i="24"/>
  <c r="CQ40" i="24"/>
  <c r="CP40" i="24"/>
  <c r="CO40" i="24"/>
  <c r="CN40" i="24"/>
  <c r="B30" i="24"/>
  <c r="CM40" i="24"/>
  <c r="CL40" i="24"/>
  <c r="B29" i="24"/>
  <c r="B28" i="24"/>
  <c r="B27" i="24"/>
  <c r="B26" i="24"/>
  <c r="B25" i="24"/>
  <c r="B24" i="24"/>
  <c r="B23" i="24"/>
  <c r="B22" i="24"/>
  <c r="B21" i="24"/>
  <c r="B20" i="24"/>
  <c r="C65" i="20"/>
  <c r="C64" i="20"/>
  <c r="C63" i="20"/>
  <c r="C59" i="20"/>
  <c r="C57" i="20"/>
  <c r="C56" i="20"/>
  <c r="C55" i="20"/>
  <c r="C33" i="20"/>
  <c r="C32" i="20"/>
  <c r="C26" i="20"/>
  <c r="C25" i="20"/>
  <c r="C24" i="20"/>
  <c r="B42" i="20"/>
  <c r="C42" i="20" s="1"/>
  <c r="C51" i="20" s="1"/>
  <c r="B29" i="20"/>
  <c r="C29" i="20" s="1"/>
  <c r="C7" i="20"/>
  <c r="B35" i="20"/>
  <c r="C18" i="20"/>
  <c r="B36" i="20"/>
  <c r="C36" i="20" s="1"/>
  <c r="C19" i="20"/>
  <c r="B37" i="20"/>
  <c r="C37" i="20" s="1"/>
  <c r="C20" i="20"/>
  <c r="B38" i="20"/>
  <c r="C38" i="20" s="1"/>
  <c r="C21" i="20"/>
  <c r="C23" i="20"/>
  <c r="C48" i="20"/>
  <c r="C49" i="20"/>
  <c r="C62" i="20"/>
  <c r="C68" i="20"/>
  <c r="E3" i="19"/>
  <c r="E5" i="19"/>
  <c r="D3" i="19"/>
  <c r="D5" i="19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FC8" i="3"/>
  <c r="FD8" i="3"/>
  <c r="FE8" i="3"/>
  <c r="FF8" i="3"/>
  <c r="FG8" i="3"/>
  <c r="FH8" i="3"/>
  <c r="FI8" i="3"/>
  <c r="FJ8" i="3"/>
  <c r="FK8" i="3"/>
  <c r="FL8" i="3"/>
  <c r="FM8" i="3"/>
  <c r="FN8" i="3"/>
  <c r="FO8" i="3"/>
  <c r="FP8" i="3"/>
  <c r="FQ8" i="3"/>
  <c r="FR8" i="3"/>
  <c r="FS8" i="3"/>
  <c r="FT8" i="3"/>
  <c r="FU8" i="3"/>
  <c r="FV8" i="3"/>
  <c r="FW8" i="3"/>
  <c r="FX8" i="3"/>
  <c r="FY8" i="3"/>
  <c r="FZ8" i="3"/>
  <c r="GA8" i="3"/>
  <c r="GB8" i="3"/>
  <c r="F5" i="19" l="1"/>
  <c r="D6" i="29"/>
  <c r="C50" i="28"/>
  <c r="B30" i="28"/>
  <c r="C30" i="28" s="1"/>
  <c r="B28" i="26"/>
  <c r="B17" i="26"/>
  <c r="D5" i="29"/>
  <c r="B28" i="28"/>
  <c r="B54" i="28"/>
  <c r="C40" i="28"/>
  <c r="C17" i="26"/>
  <c r="D17" i="26" s="1"/>
  <c r="D29" i="26"/>
  <c r="C28" i="26"/>
  <c r="D28" i="26" s="1"/>
  <c r="G17" i="24"/>
  <c r="G6" i="19"/>
  <c r="EC29" i="25"/>
  <c r="EC44" i="25" s="1"/>
  <c r="DQ27" i="25"/>
  <c r="DK26" i="25"/>
  <c r="DE25" i="25"/>
  <c r="EB29" i="25"/>
  <c r="EB44" i="25" s="1"/>
  <c r="DP27" i="25"/>
  <c r="DD25" i="25"/>
  <c r="EA29" i="25"/>
  <c r="EA44" i="25" s="1"/>
  <c r="DO27" i="25"/>
  <c r="DC25" i="25"/>
  <c r="DZ29" i="25"/>
  <c r="DZ44" i="25" s="1"/>
  <c r="DN27" i="25"/>
  <c r="DB25" i="25"/>
  <c r="DY29" i="25"/>
  <c r="DY44" i="25" s="1"/>
  <c r="DM27" i="25"/>
  <c r="DA25" i="25"/>
  <c r="DU29" i="25"/>
  <c r="DO28" i="25"/>
  <c r="DI27" i="25"/>
  <c r="DC26" i="25"/>
  <c r="CQ24" i="25"/>
  <c r="CW25" i="25"/>
  <c r="DW28" i="25"/>
  <c r="CY24" i="25"/>
  <c r="DV28" i="25"/>
  <c r="DJ26" i="25"/>
  <c r="CX24" i="25"/>
  <c r="DU28" i="25"/>
  <c r="DU44" i="25" s="1"/>
  <c r="DI26" i="25"/>
  <c r="CW24" i="25"/>
  <c r="DT28" i="25"/>
  <c r="DH26" i="25"/>
  <c r="CV24" i="25"/>
  <c r="DS28" i="25"/>
  <c r="DG26" i="25"/>
  <c r="CU24" i="25"/>
  <c r="DX29" i="25"/>
  <c r="DX44" i="25" s="1"/>
  <c r="DR28" i="25"/>
  <c r="DF26" i="25"/>
  <c r="CT24" i="25"/>
  <c r="CZ25" i="25"/>
  <c r="DW29" i="25"/>
  <c r="DQ28" i="25"/>
  <c r="DK27" i="25"/>
  <c r="DE26" i="25"/>
  <c r="CS24" i="25"/>
  <c r="CY25" i="25"/>
  <c r="DV29" i="25"/>
  <c r="DP28" i="25"/>
  <c r="DJ27" i="25"/>
  <c r="DD26" i="25"/>
  <c r="CR24" i="25"/>
  <c r="CX25" i="25"/>
  <c r="BV40" i="24"/>
  <c r="BU10" i="19"/>
  <c r="BU40" i="24"/>
  <c r="BT10" i="19"/>
  <c r="BT40" i="24"/>
  <c r="BS10" i="19"/>
  <c r="BS40" i="24"/>
  <c r="BR10" i="19"/>
  <c r="BR40" i="24"/>
  <c r="BQ10" i="19"/>
  <c r="BQ40" i="24"/>
  <c r="BP10" i="19"/>
  <c r="BP40" i="24"/>
  <c r="BO10" i="19"/>
  <c r="BO40" i="24"/>
  <c r="BN10" i="19"/>
  <c r="BN40" i="24"/>
  <c r="BM10" i="19"/>
  <c r="BM40" i="24"/>
  <c r="BL10" i="19"/>
  <c r="BL40" i="24"/>
  <c r="BK10" i="19"/>
  <c r="BK40" i="24"/>
  <c r="BJ10" i="19"/>
  <c r="BJ40" i="24"/>
  <c r="BI10" i="19"/>
  <c r="BI40" i="24"/>
  <c r="BH10" i="19"/>
  <c r="BH40" i="24"/>
  <c r="BG10" i="19"/>
  <c r="BG40" i="24"/>
  <c r="BF10" i="19"/>
  <c r="BF40" i="24"/>
  <c r="BE10" i="19"/>
  <c r="BE40" i="24"/>
  <c r="BD10" i="19"/>
  <c r="BD40" i="24"/>
  <c r="BC10" i="19"/>
  <c r="BC40" i="24"/>
  <c r="BB10" i="19"/>
  <c r="BB40" i="24"/>
  <c r="BA10" i="19"/>
  <c r="BA40" i="24"/>
  <c r="AZ10" i="19"/>
  <c r="AZ40" i="24"/>
  <c r="AY10" i="19"/>
  <c r="AY40" i="24"/>
  <c r="AX10" i="19"/>
  <c r="AX40" i="24"/>
  <c r="AW10" i="19"/>
  <c r="AW40" i="24"/>
  <c r="AV10" i="19"/>
  <c r="AV40" i="24"/>
  <c r="AU10" i="19"/>
  <c r="AU40" i="24"/>
  <c r="AT10" i="19"/>
  <c r="AT40" i="24"/>
  <c r="AS10" i="19"/>
  <c r="AS40" i="24"/>
  <c r="AR10" i="19"/>
  <c r="AR40" i="24"/>
  <c r="AQ10" i="19"/>
  <c r="AQ40" i="24"/>
  <c r="AP10" i="19"/>
  <c r="AP40" i="24"/>
  <c r="AO10" i="19"/>
  <c r="AO40" i="24"/>
  <c r="AN10" i="19"/>
  <c r="AN40" i="24"/>
  <c r="AM10" i="19"/>
  <c r="AM40" i="24"/>
  <c r="AL10" i="19"/>
  <c r="AL40" i="24"/>
  <c r="AK10" i="19"/>
  <c r="AK40" i="24"/>
  <c r="AJ10" i="19"/>
  <c r="AJ40" i="24"/>
  <c r="AI10" i="19"/>
  <c r="AI40" i="24"/>
  <c r="AH10" i="19"/>
  <c r="AH40" i="24"/>
  <c r="AG10" i="19"/>
  <c r="AG40" i="24"/>
  <c r="AF10" i="19"/>
  <c r="AF40" i="24"/>
  <c r="AE10" i="19"/>
  <c r="AE40" i="24"/>
  <c r="AD10" i="19"/>
  <c r="AD40" i="24"/>
  <c r="AC10" i="19"/>
  <c r="AC40" i="24"/>
  <c r="AB10" i="19"/>
  <c r="AB40" i="24"/>
  <c r="AA10" i="19"/>
  <c r="AA40" i="24"/>
  <c r="Z10" i="19"/>
  <c r="Z40" i="24"/>
  <c r="Y10" i="19"/>
  <c r="Y40" i="24"/>
  <c r="X10" i="19"/>
  <c r="X40" i="24"/>
  <c r="W10" i="19"/>
  <c r="W40" i="24"/>
  <c r="V10" i="19"/>
  <c r="V40" i="24"/>
  <c r="U10" i="19"/>
  <c r="U40" i="24"/>
  <c r="T10" i="19"/>
  <c r="T40" i="24"/>
  <c r="S10" i="19"/>
  <c r="S40" i="24"/>
  <c r="R10" i="19"/>
  <c r="R40" i="24"/>
  <c r="Q10" i="19"/>
  <c r="Q40" i="24"/>
  <c r="P10" i="19"/>
  <c r="P40" i="24"/>
  <c r="O10" i="19"/>
  <c r="O40" i="24"/>
  <c r="N10" i="19"/>
  <c r="N40" i="24"/>
  <c r="M10" i="19"/>
  <c r="M40" i="24"/>
  <c r="L10" i="19"/>
  <c r="L40" i="24"/>
  <c r="K10" i="19"/>
  <c r="K40" i="24"/>
  <c r="J10" i="19"/>
  <c r="J40" i="24"/>
  <c r="I10" i="19"/>
  <c r="I40" i="24"/>
  <c r="H10" i="19"/>
  <c r="H40" i="24"/>
  <c r="G10" i="19"/>
  <c r="G40" i="24"/>
  <c r="F10" i="19"/>
  <c r="CK40" i="24"/>
  <c r="CJ10" i="19"/>
  <c r="CJ40" i="24"/>
  <c r="CI10" i="19"/>
  <c r="CI40" i="24"/>
  <c r="CH10" i="19"/>
  <c r="CH40" i="24"/>
  <c r="CG10" i="19"/>
  <c r="CG40" i="24"/>
  <c r="CF10" i="19"/>
  <c r="CF40" i="24"/>
  <c r="CE10" i="19"/>
  <c r="CE40" i="24"/>
  <c r="CD10" i="19"/>
  <c r="CD40" i="24"/>
  <c r="CC10" i="19"/>
  <c r="CC40" i="24"/>
  <c r="CB10" i="19"/>
  <c r="CB40" i="24"/>
  <c r="CA10" i="19"/>
  <c r="CA40" i="24"/>
  <c r="BZ10" i="19"/>
  <c r="BZ40" i="24"/>
  <c r="BY10" i="19"/>
  <c r="BY40" i="24"/>
  <c r="BX10" i="19"/>
  <c r="BX40" i="24"/>
  <c r="BW10" i="19"/>
  <c r="BW40" i="24"/>
  <c r="BV10" i="19"/>
  <c r="F40" i="24"/>
  <c r="B19" i="24"/>
  <c r="B18" i="24" s="1"/>
  <c r="B60" i="20"/>
  <c r="C60" i="20" s="1"/>
  <c r="C35" i="20"/>
  <c r="B34" i="20"/>
  <c r="B51" i="20"/>
  <c r="B50" i="20" s="1"/>
  <c r="B40" i="20"/>
  <c r="B28" i="20" s="1"/>
  <c r="B22" i="20"/>
  <c r="C22" i="20" s="1"/>
  <c r="C53" i="20"/>
  <c r="E11" i="18"/>
  <c r="E3" i="18"/>
  <c r="C13" i="18"/>
  <c r="C36" i="26" l="1"/>
  <c r="C34" i="26" s="1"/>
  <c r="C54" i="28"/>
  <c r="B52" i="28"/>
  <c r="D9" i="29"/>
  <c r="C28" i="28"/>
  <c r="H17" i="24"/>
  <c r="H6" i="19"/>
  <c r="G5" i="19"/>
  <c r="G3" i="19"/>
  <c r="DV44" i="25"/>
  <c r="DW44" i="25"/>
  <c r="B54" i="20"/>
  <c r="C40" i="20"/>
  <c r="C50" i="20"/>
  <c r="B30" i="20"/>
  <c r="C30" i="20" s="1"/>
  <c r="B61" i="20"/>
  <c r="C61" i="20" s="1"/>
  <c r="B58" i="20"/>
  <c r="C58" i="20" s="1"/>
  <c r="C34" i="20"/>
  <c r="C17" i="20" s="1"/>
  <c r="B17" i="20"/>
  <c r="C52" i="28" l="1"/>
  <c r="B31" i="28"/>
  <c r="I17" i="24"/>
  <c r="I6" i="19"/>
  <c r="H5" i="19"/>
  <c r="H3" i="19"/>
  <c r="C28" i="20"/>
  <c r="C54" i="20"/>
  <c r="B52" i="20"/>
  <c r="C31" i="28" l="1"/>
  <c r="B27" i="28"/>
  <c r="C27" i="28" s="1"/>
  <c r="J17" i="24"/>
  <c r="J6" i="19"/>
  <c r="I3" i="19"/>
  <c r="I5" i="19"/>
  <c r="C52" i="20"/>
  <c r="B31" i="20"/>
  <c r="K17" i="24" l="1"/>
  <c r="K6" i="19"/>
  <c r="J3" i="19"/>
  <c r="J5" i="19"/>
  <c r="C31" i="20"/>
  <c r="B27" i="20"/>
  <c r="C27" i="20" s="1"/>
  <c r="O3" i="17"/>
  <c r="L6" i="19" l="1"/>
  <c r="L17" i="24"/>
  <c r="K3" i="19"/>
  <c r="K5" i="19"/>
  <c r="C37" i="1"/>
  <c r="M6" i="19" l="1"/>
  <c r="M17" i="24"/>
  <c r="L3" i="19"/>
  <c r="L5" i="19"/>
  <c r="D6" i="3"/>
  <c r="M15" i="14"/>
  <c r="D4" i="6"/>
  <c r="A12" i="6"/>
  <c r="M17" i="14"/>
  <c r="M40" i="14"/>
  <c r="M36" i="14"/>
  <c r="O2" i="17"/>
  <c r="G15" i="17"/>
  <c r="H15" i="17" s="1"/>
  <c r="I15" i="17" s="1"/>
  <c r="J15" i="17" s="1"/>
  <c r="K15" i="17" s="1"/>
  <c r="L15" i="17" s="1"/>
  <c r="M15" i="17" s="1"/>
  <c r="N15" i="17" s="1"/>
  <c r="O15" i="17" s="1"/>
  <c r="P15" i="17" s="1"/>
  <c r="Q15" i="17" s="1"/>
  <c r="R15" i="17" s="1"/>
  <c r="S15" i="17" s="1"/>
  <c r="T15" i="17" s="1"/>
  <c r="U15" i="17" s="1"/>
  <c r="V15" i="17" s="1"/>
  <c r="W15" i="17" s="1"/>
  <c r="X15" i="17" s="1"/>
  <c r="Y15" i="17" s="1"/>
  <c r="Z15" i="17" s="1"/>
  <c r="AA15" i="17" s="1"/>
  <c r="AB15" i="17" s="1"/>
  <c r="AC15" i="17" s="1"/>
  <c r="AD15" i="17" s="1"/>
  <c r="AE15" i="17" s="1"/>
  <c r="AF15" i="17" s="1"/>
  <c r="AG15" i="17" s="1"/>
  <c r="AH15" i="17" s="1"/>
  <c r="AI15" i="17" s="1"/>
  <c r="AJ15" i="17" s="1"/>
  <c r="AK15" i="17" s="1"/>
  <c r="AL15" i="17" s="1"/>
  <c r="AM15" i="17" s="1"/>
  <c r="AN15" i="17" s="1"/>
  <c r="AO15" i="17" s="1"/>
  <c r="AP15" i="17" s="1"/>
  <c r="AQ15" i="17" s="1"/>
  <c r="AR15" i="17" s="1"/>
  <c r="AS15" i="17" s="1"/>
  <c r="AT15" i="17" s="1"/>
  <c r="AU15" i="17" s="1"/>
  <c r="AV15" i="17" s="1"/>
  <c r="AW15" i="17" s="1"/>
  <c r="AX15" i="17" s="1"/>
  <c r="AY15" i="17" s="1"/>
  <c r="AZ15" i="17" s="1"/>
  <c r="BA15" i="17" s="1"/>
  <c r="BB15" i="17" s="1"/>
  <c r="BC15" i="17" s="1"/>
  <c r="BD15" i="17" s="1"/>
  <c r="BE15" i="17" s="1"/>
  <c r="BF15" i="17" s="1"/>
  <c r="BG15" i="17" s="1"/>
  <c r="BH15" i="17" s="1"/>
  <c r="BI15" i="17" s="1"/>
  <c r="BJ15" i="17" s="1"/>
  <c r="BK15" i="17" s="1"/>
  <c r="BL15" i="17" s="1"/>
  <c r="BM15" i="17" s="1"/>
  <c r="BN15" i="17" s="1"/>
  <c r="BO15" i="17" s="1"/>
  <c r="BP15" i="17" s="1"/>
  <c r="BQ15" i="17" s="1"/>
  <c r="BR15" i="17" s="1"/>
  <c r="BS15" i="17" s="1"/>
  <c r="BT15" i="17" s="1"/>
  <c r="BU15" i="17" s="1"/>
  <c r="BV15" i="17" s="1"/>
  <c r="BW15" i="17" s="1"/>
  <c r="BX15" i="17" s="1"/>
  <c r="BY15" i="17" s="1"/>
  <c r="BZ15" i="17" s="1"/>
  <c r="CA15" i="17" s="1"/>
  <c r="CB15" i="17" s="1"/>
  <c r="CC15" i="17" s="1"/>
  <c r="CD15" i="17" s="1"/>
  <c r="CE15" i="17" s="1"/>
  <c r="CF15" i="17" s="1"/>
  <c r="CG15" i="17" s="1"/>
  <c r="CH15" i="17" s="1"/>
  <c r="CI15" i="17" s="1"/>
  <c r="CJ15" i="17" s="1"/>
  <c r="CK15" i="17" s="1"/>
  <c r="CL15" i="17" s="1"/>
  <c r="CM15" i="17" s="1"/>
  <c r="CN15" i="17" s="1"/>
  <c r="CO15" i="17" s="1"/>
  <c r="CP15" i="17" s="1"/>
  <c r="CQ15" i="17" s="1"/>
  <c r="CR15" i="17" s="1"/>
  <c r="CS15" i="17" s="1"/>
  <c r="CT15" i="17" s="1"/>
  <c r="CU15" i="17" s="1"/>
  <c r="CV15" i="17" s="1"/>
  <c r="CW15" i="17" s="1"/>
  <c r="CX15" i="17" s="1"/>
  <c r="CY15" i="17" s="1"/>
  <c r="CZ15" i="17" s="1"/>
  <c r="DA15" i="17" s="1"/>
  <c r="DB15" i="17" s="1"/>
  <c r="DC15" i="17" s="1"/>
  <c r="DD15" i="17" s="1"/>
  <c r="DE15" i="17" s="1"/>
  <c r="DF15" i="17" s="1"/>
  <c r="DG15" i="17" s="1"/>
  <c r="DH15" i="17" s="1"/>
  <c r="DI15" i="17" s="1"/>
  <c r="DJ15" i="17" s="1"/>
  <c r="DK15" i="17" s="1"/>
  <c r="DL15" i="17" s="1"/>
  <c r="DM15" i="17" s="1"/>
  <c r="DN15" i="17" s="1"/>
  <c r="DO15" i="17" s="1"/>
  <c r="DP15" i="17" s="1"/>
  <c r="DQ15" i="17" s="1"/>
  <c r="DR15" i="17" s="1"/>
  <c r="DS15" i="17" s="1"/>
  <c r="DT15" i="17" s="1"/>
  <c r="DU15" i="17" s="1"/>
  <c r="DV15" i="17" s="1"/>
  <c r="DW15" i="17" s="1"/>
  <c r="DX15" i="17" s="1"/>
  <c r="DY15" i="17" s="1"/>
  <c r="DZ15" i="17" s="1"/>
  <c r="EA15" i="17" s="1"/>
  <c r="EB15" i="17" s="1"/>
  <c r="EC15" i="17" s="1"/>
  <c r="ED15" i="17" s="1"/>
  <c r="EE15" i="17" s="1"/>
  <c r="EF15" i="17" s="1"/>
  <c r="EG15" i="17" s="1"/>
  <c r="EH15" i="17" s="1"/>
  <c r="EI15" i="17" s="1"/>
  <c r="EJ15" i="17" s="1"/>
  <c r="EK15" i="17" s="1"/>
  <c r="EL15" i="17" s="1"/>
  <c r="EM15" i="17" s="1"/>
  <c r="EN15" i="17" s="1"/>
  <c r="EO15" i="17" s="1"/>
  <c r="EP15" i="17" s="1"/>
  <c r="EQ15" i="17" s="1"/>
  <c r="ER15" i="17" s="1"/>
  <c r="ES15" i="17" s="1"/>
  <c r="ET15" i="17" s="1"/>
  <c r="N6" i="19" l="1"/>
  <c r="N17" i="24"/>
  <c r="M3" i="19"/>
  <c r="M5" i="19"/>
  <c r="E21" i="25"/>
  <c r="F21" i="25" s="1"/>
  <c r="G21" i="25" s="1"/>
  <c r="H21" i="25" s="1"/>
  <c r="I21" i="25" s="1"/>
  <c r="J21" i="25" s="1"/>
  <c r="K21" i="25" s="1"/>
  <c r="L21" i="25" s="1"/>
  <c r="M21" i="25" s="1"/>
  <c r="N21" i="25" s="1"/>
  <c r="O21" i="25" s="1"/>
  <c r="P21" i="25" s="1"/>
  <c r="Q21" i="25" s="1"/>
  <c r="R21" i="25" s="1"/>
  <c r="S21" i="25" s="1"/>
  <c r="T21" i="25" s="1"/>
  <c r="U21" i="25" s="1"/>
  <c r="V21" i="25" s="1"/>
  <c r="W21" i="25" s="1"/>
  <c r="X21" i="25" s="1"/>
  <c r="Y21" i="25" s="1"/>
  <c r="Z21" i="25" s="1"/>
  <c r="AA21" i="25" s="1"/>
  <c r="AB21" i="25" s="1"/>
  <c r="AC21" i="25" s="1"/>
  <c r="AD21" i="25" s="1"/>
  <c r="AE21" i="25" s="1"/>
  <c r="AF21" i="25" s="1"/>
  <c r="AG21" i="25" s="1"/>
  <c r="AH21" i="25" s="1"/>
  <c r="AI21" i="25" s="1"/>
  <c r="AJ21" i="25" s="1"/>
  <c r="AK21" i="25" s="1"/>
  <c r="AL21" i="25" s="1"/>
  <c r="AM21" i="25" s="1"/>
  <c r="AN21" i="25" s="1"/>
  <c r="AO21" i="25" s="1"/>
  <c r="AP21" i="25" s="1"/>
  <c r="AQ21" i="25" s="1"/>
  <c r="AR21" i="25" s="1"/>
  <c r="AS21" i="25" s="1"/>
  <c r="AT21" i="25" s="1"/>
  <c r="AU21" i="25" s="1"/>
  <c r="AV21" i="25" s="1"/>
  <c r="AW21" i="25" s="1"/>
  <c r="AX21" i="25" s="1"/>
  <c r="AY21" i="25" s="1"/>
  <c r="AZ21" i="25" s="1"/>
  <c r="BA21" i="25" s="1"/>
  <c r="BB21" i="25" s="1"/>
  <c r="BC21" i="25" s="1"/>
  <c r="BD21" i="25" s="1"/>
  <c r="BE21" i="25" s="1"/>
  <c r="BF21" i="25" s="1"/>
  <c r="BG21" i="25" s="1"/>
  <c r="BH21" i="25" s="1"/>
  <c r="BI21" i="25" s="1"/>
  <c r="BJ21" i="25" s="1"/>
  <c r="BK21" i="25" s="1"/>
  <c r="BL21" i="25" s="1"/>
  <c r="BM21" i="25" s="1"/>
  <c r="BN21" i="25" s="1"/>
  <c r="BO21" i="25" s="1"/>
  <c r="BP21" i="25" s="1"/>
  <c r="BQ21" i="25" s="1"/>
  <c r="BR21" i="25" s="1"/>
  <c r="BS21" i="25" s="1"/>
  <c r="BT21" i="25" s="1"/>
  <c r="BU21" i="25" s="1"/>
  <c r="BV21" i="25" s="1"/>
  <c r="BW21" i="25" s="1"/>
  <c r="BX21" i="25" s="1"/>
  <c r="BY21" i="25" s="1"/>
  <c r="BZ21" i="25" s="1"/>
  <c r="CA21" i="25" s="1"/>
  <c r="CB21" i="25" s="1"/>
  <c r="CC21" i="25" s="1"/>
  <c r="CD21" i="25" s="1"/>
  <c r="CE21" i="25" s="1"/>
  <c r="CF21" i="25" s="1"/>
  <c r="CG21" i="25" s="1"/>
  <c r="CH21" i="25" s="1"/>
  <c r="CI21" i="25" s="1"/>
  <c r="CJ21" i="25" s="1"/>
  <c r="CK21" i="25" s="1"/>
  <c r="CL21" i="25" s="1"/>
  <c r="CM21" i="25" s="1"/>
  <c r="CN21" i="25" s="1"/>
  <c r="CO21" i="25" s="1"/>
  <c r="CP21" i="25" s="1"/>
  <c r="CQ21" i="25" s="1"/>
  <c r="CR21" i="25" s="1"/>
  <c r="CS21" i="25" s="1"/>
  <c r="CT21" i="25" s="1"/>
  <c r="CU21" i="25" s="1"/>
  <c r="CV21" i="25" s="1"/>
  <c r="CW21" i="25" s="1"/>
  <c r="CX21" i="25" s="1"/>
  <c r="CY21" i="25" s="1"/>
  <c r="CZ21" i="25" s="1"/>
  <c r="DA21" i="25" s="1"/>
  <c r="DB21" i="25" s="1"/>
  <c r="DC21" i="25" s="1"/>
  <c r="DD21" i="25" s="1"/>
  <c r="DE21" i="25" s="1"/>
  <c r="DF21" i="25" s="1"/>
  <c r="DG21" i="25" s="1"/>
  <c r="DH21" i="25" s="1"/>
  <c r="DI21" i="25" s="1"/>
  <c r="DJ21" i="25" s="1"/>
  <c r="DK21" i="25" s="1"/>
  <c r="DL21" i="25" s="1"/>
  <c r="DM21" i="25" s="1"/>
  <c r="DN21" i="25" s="1"/>
  <c r="DO21" i="25" s="1"/>
  <c r="DP21" i="25" s="1"/>
  <c r="DQ21" i="25" s="1"/>
  <c r="DR21" i="25" s="1"/>
  <c r="DS21" i="25" s="1"/>
  <c r="DT21" i="25" s="1"/>
  <c r="DU21" i="25" s="1"/>
  <c r="DV21" i="25" s="1"/>
  <c r="DW21" i="25" s="1"/>
  <c r="DX21" i="25" s="1"/>
  <c r="DY21" i="25" s="1"/>
  <c r="DZ21" i="25" s="1"/>
  <c r="EA21" i="25" s="1"/>
  <c r="EB21" i="25" s="1"/>
  <c r="EC21" i="25" s="1"/>
  <c r="ED21" i="25" s="1"/>
  <c r="EE21" i="25" s="1"/>
  <c r="EF21" i="25" s="1"/>
  <c r="EG21" i="25" s="1"/>
  <c r="EH21" i="25" s="1"/>
  <c r="EI21" i="25" s="1"/>
  <c r="EJ21" i="25" s="1"/>
  <c r="EK21" i="25" s="1"/>
  <c r="EL21" i="25" s="1"/>
  <c r="EM21" i="25" s="1"/>
  <c r="EN21" i="25" s="1"/>
  <c r="EO21" i="25" s="1"/>
  <c r="EP21" i="25" s="1"/>
  <c r="EQ21" i="25" s="1"/>
  <c r="E14" i="17"/>
  <c r="D7" i="22"/>
  <c r="E6" i="3"/>
  <c r="E13" i="8"/>
  <c r="O4" i="17"/>
  <c r="A48" i="6"/>
  <c r="A46" i="6"/>
  <c r="D7" i="14"/>
  <c r="O5" i="17" l="1"/>
  <c r="M5" i="17" s="1"/>
  <c r="O7" i="17"/>
  <c r="M7" i="17" s="1"/>
  <c r="F14" i="17"/>
  <c r="O17" i="24"/>
  <c r="O6" i="19"/>
  <c r="N5" i="19"/>
  <c r="N3" i="19"/>
  <c r="C7" i="22"/>
  <c r="D8" i="22"/>
  <c r="C50" i="10"/>
  <c r="P17" i="24" l="1"/>
  <c r="P6" i="19"/>
  <c r="O5" i="19"/>
  <c r="O3" i="19"/>
  <c r="C8" i="22"/>
  <c r="D9" i="22"/>
  <c r="B48" i="1"/>
  <c r="O45" i="14"/>
  <c r="B5" i="1"/>
  <c r="L4" i="8"/>
  <c r="L5" i="8"/>
  <c r="L2" i="8"/>
  <c r="C48" i="1" l="1"/>
  <c r="E3" i="14"/>
  <c r="E26" i="14" s="1"/>
  <c r="C4" i="29"/>
  <c r="E4" i="29" s="1"/>
  <c r="Q17" i="24"/>
  <c r="Q6" i="19"/>
  <c r="P5" i="19"/>
  <c r="P3" i="19"/>
  <c r="C9" i="22"/>
  <c r="D10" i="22"/>
  <c r="D4" i="18"/>
  <c r="E4" i="18" s="1"/>
  <c r="R17" i="24" l="1"/>
  <c r="R6" i="19"/>
  <c r="Q3" i="19"/>
  <c r="Q5" i="19"/>
  <c r="C10" i="22"/>
  <c r="D11" i="22"/>
  <c r="B51" i="1" l="1"/>
  <c r="B50" i="1" s="1"/>
  <c r="B53" i="1"/>
  <c r="D53" i="1" s="1"/>
  <c r="C41" i="1"/>
  <c r="C25" i="27"/>
  <c r="C26" i="27" s="1"/>
  <c r="S17" i="24"/>
  <c r="S6" i="19"/>
  <c r="R5" i="19"/>
  <c r="R3" i="19"/>
  <c r="C11" i="22"/>
  <c r="D12" i="22"/>
  <c r="B42" i="1"/>
  <c r="C42" i="1" s="1"/>
  <c r="C25" i="21"/>
  <c r="C26" i="21" s="1"/>
  <c r="B29" i="1"/>
  <c r="C29" i="1" s="1"/>
  <c r="C53" i="1" l="1"/>
  <c r="F3" i="14"/>
  <c r="C50" i="1"/>
  <c r="B33" i="26"/>
  <c r="D33" i="26" s="1"/>
  <c r="C51" i="1"/>
  <c r="B35" i="26"/>
  <c r="D35" i="26" s="1"/>
  <c r="C6" i="29"/>
  <c r="B40" i="1"/>
  <c r="B54" i="1" s="1"/>
  <c r="B30" i="1"/>
  <c r="C30" i="1" s="1"/>
  <c r="T17" i="24"/>
  <c r="T6" i="19"/>
  <c r="S3" i="19"/>
  <c r="S5" i="19"/>
  <c r="C12" i="22"/>
  <c r="D13" i="22"/>
  <c r="D6" i="18"/>
  <c r="E6" i="18" s="1"/>
  <c r="B22" i="1"/>
  <c r="C22" i="1" s="1"/>
  <c r="C28" i="3"/>
  <c r="C27" i="3"/>
  <c r="C26" i="3"/>
  <c r="C24" i="3"/>
  <c r="C23" i="3"/>
  <c r="KQ8" i="3"/>
  <c r="KQ7" i="3" s="1"/>
  <c r="KP8" i="3"/>
  <c r="KP7" i="3" s="1"/>
  <c r="KO8" i="3"/>
  <c r="KO7" i="3" s="1"/>
  <c r="KN8" i="3"/>
  <c r="KN7" i="3" s="1"/>
  <c r="KM8" i="3"/>
  <c r="KM7" i="3" s="1"/>
  <c r="KL8" i="3"/>
  <c r="KL7" i="3" s="1"/>
  <c r="KK8" i="3"/>
  <c r="KK7" i="3" s="1"/>
  <c r="KJ8" i="3"/>
  <c r="KJ7" i="3" s="1"/>
  <c r="KI8" i="3"/>
  <c r="KI7" i="3" s="1"/>
  <c r="KH8" i="3"/>
  <c r="KH7" i="3" s="1"/>
  <c r="KG8" i="3"/>
  <c r="KG7" i="3" s="1"/>
  <c r="KF8" i="3"/>
  <c r="KE8" i="3"/>
  <c r="KE7" i="3" s="1"/>
  <c r="KD8" i="3"/>
  <c r="KD7" i="3" s="1"/>
  <c r="KC8" i="3"/>
  <c r="KC7" i="3" s="1"/>
  <c r="KB8" i="3"/>
  <c r="KB7" i="3" s="1"/>
  <c r="KA8" i="3"/>
  <c r="KA7" i="3" s="1"/>
  <c r="JZ8" i="3"/>
  <c r="JZ7" i="3" s="1"/>
  <c r="JY8" i="3"/>
  <c r="JY7" i="3" s="1"/>
  <c r="JX8" i="3"/>
  <c r="JX7" i="3" s="1"/>
  <c r="JW8" i="3"/>
  <c r="JW7" i="3" s="1"/>
  <c r="JV8" i="3"/>
  <c r="JV7" i="3" s="1"/>
  <c r="JU8" i="3"/>
  <c r="JU7" i="3" s="1"/>
  <c r="JT8" i="3"/>
  <c r="JT7" i="3" s="1"/>
  <c r="JS8" i="3"/>
  <c r="JS7" i="3" s="1"/>
  <c r="JR8" i="3"/>
  <c r="JR7" i="3" s="1"/>
  <c r="JQ8" i="3"/>
  <c r="JQ7" i="3" s="1"/>
  <c r="JP8" i="3"/>
  <c r="JO8" i="3"/>
  <c r="JN8" i="3"/>
  <c r="JN7" i="3" s="1"/>
  <c r="JM8" i="3"/>
  <c r="JM7" i="3" s="1"/>
  <c r="JL8" i="3"/>
  <c r="JL7" i="3" s="1"/>
  <c r="JK8" i="3"/>
  <c r="JK7" i="3" s="1"/>
  <c r="JJ8" i="3"/>
  <c r="JJ7" i="3" s="1"/>
  <c r="JI8" i="3"/>
  <c r="JI7" i="3" s="1"/>
  <c r="JH8" i="3"/>
  <c r="JH7" i="3" s="1"/>
  <c r="JG8" i="3"/>
  <c r="JG7" i="3" s="1"/>
  <c r="JF8" i="3"/>
  <c r="JF7" i="3" s="1"/>
  <c r="JE8" i="3"/>
  <c r="JE7" i="3" s="1"/>
  <c r="JD8" i="3"/>
  <c r="JD7" i="3" s="1"/>
  <c r="JC8" i="3"/>
  <c r="JC7" i="3" s="1"/>
  <c r="JB8" i="3"/>
  <c r="JB7" i="3" s="1"/>
  <c r="JA8" i="3"/>
  <c r="JA7" i="3" s="1"/>
  <c r="IZ8" i="3"/>
  <c r="IZ7" i="3" s="1"/>
  <c r="IY8" i="3"/>
  <c r="IY7" i="3" s="1"/>
  <c r="IX8" i="3"/>
  <c r="IX7" i="3" s="1"/>
  <c r="IW8" i="3"/>
  <c r="IW7" i="3" s="1"/>
  <c r="IV8" i="3"/>
  <c r="IV7" i="3" s="1"/>
  <c r="IU8" i="3"/>
  <c r="IU7" i="3" s="1"/>
  <c r="IT8" i="3"/>
  <c r="IT7" i="3" s="1"/>
  <c r="IS8" i="3"/>
  <c r="IS7" i="3" s="1"/>
  <c r="IR8" i="3"/>
  <c r="IR7" i="3" s="1"/>
  <c r="IQ8" i="3"/>
  <c r="IQ7" i="3" s="1"/>
  <c r="IP8" i="3"/>
  <c r="IP7" i="3" s="1"/>
  <c r="IO8" i="3"/>
  <c r="IO7" i="3" s="1"/>
  <c r="IN8" i="3"/>
  <c r="IN7" i="3" s="1"/>
  <c r="IM8" i="3"/>
  <c r="IM7" i="3" s="1"/>
  <c r="IL8" i="3"/>
  <c r="IL7" i="3" s="1"/>
  <c r="IK8" i="3"/>
  <c r="IK7" i="3" s="1"/>
  <c r="IJ8" i="3"/>
  <c r="IJ7" i="3" s="1"/>
  <c r="II8" i="3"/>
  <c r="II7" i="3" s="1"/>
  <c r="IH8" i="3"/>
  <c r="IH7" i="3" s="1"/>
  <c r="IG8" i="3"/>
  <c r="IG7" i="3" s="1"/>
  <c r="IF8" i="3"/>
  <c r="IF7" i="3" s="1"/>
  <c r="IE8" i="3"/>
  <c r="IE7" i="3" s="1"/>
  <c r="ID8" i="3"/>
  <c r="ID7" i="3" s="1"/>
  <c r="IC8" i="3"/>
  <c r="IC7" i="3" s="1"/>
  <c r="IB8" i="3"/>
  <c r="IB7" i="3" s="1"/>
  <c r="IA8" i="3"/>
  <c r="IA7" i="3" s="1"/>
  <c r="HZ8" i="3"/>
  <c r="HZ7" i="3" s="1"/>
  <c r="HY8" i="3"/>
  <c r="HY7" i="3" s="1"/>
  <c r="HX8" i="3"/>
  <c r="HX7" i="3" s="1"/>
  <c r="HW8" i="3"/>
  <c r="HW7" i="3" s="1"/>
  <c r="HV8" i="3"/>
  <c r="HU8" i="3"/>
  <c r="HT8" i="3"/>
  <c r="HS8" i="3"/>
  <c r="HS7" i="3" s="1"/>
  <c r="HR8" i="3"/>
  <c r="HR7" i="3" s="1"/>
  <c r="HQ8" i="3"/>
  <c r="HQ7" i="3" s="1"/>
  <c r="HP8" i="3"/>
  <c r="HP7" i="3" s="1"/>
  <c r="HO8" i="3"/>
  <c r="HO7" i="3" s="1"/>
  <c r="HN8" i="3"/>
  <c r="HN7" i="3" s="1"/>
  <c r="HM8" i="3"/>
  <c r="HM7" i="3" s="1"/>
  <c r="HL8" i="3"/>
  <c r="HL7" i="3" s="1"/>
  <c r="HK8" i="3"/>
  <c r="HK7" i="3" s="1"/>
  <c r="HJ8" i="3"/>
  <c r="HJ7" i="3" s="1"/>
  <c r="HI8" i="3"/>
  <c r="HI7" i="3" s="1"/>
  <c r="HH8" i="3"/>
  <c r="HH7" i="3" s="1"/>
  <c r="HG8" i="3"/>
  <c r="HG7" i="3" s="1"/>
  <c r="HF8" i="3"/>
  <c r="HE8" i="3"/>
  <c r="HE7" i="3" s="1"/>
  <c r="HD8" i="3"/>
  <c r="HC8" i="3"/>
  <c r="HC7" i="3" s="1"/>
  <c r="HB8" i="3"/>
  <c r="HB7" i="3" s="1"/>
  <c r="HA8" i="3"/>
  <c r="HA7" i="3" s="1"/>
  <c r="GZ8" i="3"/>
  <c r="GZ7" i="3" s="1"/>
  <c r="GY8" i="3"/>
  <c r="GY7" i="3" s="1"/>
  <c r="GX8" i="3"/>
  <c r="GX7" i="3" s="1"/>
  <c r="GW8" i="3"/>
  <c r="GW7" i="3" s="1"/>
  <c r="GV8" i="3"/>
  <c r="GV7" i="3" s="1"/>
  <c r="GU8" i="3"/>
  <c r="GU7" i="3" s="1"/>
  <c r="GT8" i="3"/>
  <c r="GT7" i="3" s="1"/>
  <c r="GS8" i="3"/>
  <c r="GS7" i="3" s="1"/>
  <c r="GR8" i="3"/>
  <c r="GR7" i="3" s="1"/>
  <c r="GQ8" i="3"/>
  <c r="GQ7" i="3" s="1"/>
  <c r="GP8" i="3"/>
  <c r="GO8" i="3"/>
  <c r="GN8" i="3"/>
  <c r="GN7" i="3" s="1"/>
  <c r="GM8" i="3"/>
  <c r="GM7" i="3" s="1"/>
  <c r="GL8" i="3"/>
  <c r="GL7" i="3" s="1"/>
  <c r="GK8" i="3"/>
  <c r="GK7" i="3" s="1"/>
  <c r="GJ8" i="3"/>
  <c r="GJ7" i="3" s="1"/>
  <c r="GI8" i="3"/>
  <c r="GI7" i="3" s="1"/>
  <c r="GH8" i="3"/>
  <c r="GH7" i="3" s="1"/>
  <c r="GG8" i="3"/>
  <c r="GG7" i="3" s="1"/>
  <c r="GF8" i="3"/>
  <c r="GF7" i="3" s="1"/>
  <c r="GE8" i="3"/>
  <c r="GE7" i="3" s="1"/>
  <c r="GD8" i="3"/>
  <c r="GD7" i="3" s="1"/>
  <c r="GC8" i="3"/>
  <c r="GC7" i="3" s="1"/>
  <c r="GB7" i="3"/>
  <c r="FY7" i="3"/>
  <c r="FX7" i="3"/>
  <c r="FV7" i="3"/>
  <c r="FU7" i="3"/>
  <c r="FT7" i="3"/>
  <c r="FS7" i="3"/>
  <c r="FR7" i="3"/>
  <c r="FQ7" i="3"/>
  <c r="FP7" i="3"/>
  <c r="FO7" i="3"/>
  <c r="FN7" i="3"/>
  <c r="FM7" i="3"/>
  <c r="FL7" i="3"/>
  <c r="FI7" i="3"/>
  <c r="FH7" i="3"/>
  <c r="KQ10" i="3"/>
  <c r="KQ9" i="3" s="1"/>
  <c r="KP10" i="3"/>
  <c r="KP9" i="3" s="1"/>
  <c r="KO10" i="3"/>
  <c r="KO9" i="3" s="1"/>
  <c r="KN10" i="3"/>
  <c r="KN9" i="3" s="1"/>
  <c r="KM10" i="3"/>
  <c r="KM9" i="3" s="1"/>
  <c r="KL10" i="3"/>
  <c r="KL9" i="3" s="1"/>
  <c r="KK10" i="3"/>
  <c r="KK9" i="3" s="1"/>
  <c r="KJ10" i="3"/>
  <c r="KJ9" i="3" s="1"/>
  <c r="KI10" i="3"/>
  <c r="KI9" i="3" s="1"/>
  <c r="KH10" i="3"/>
  <c r="KH9" i="3" s="1"/>
  <c r="KG10" i="3"/>
  <c r="KG9" i="3" s="1"/>
  <c r="KF10" i="3"/>
  <c r="KF9" i="3" s="1"/>
  <c r="KE10" i="3"/>
  <c r="KE9" i="3" s="1"/>
  <c r="KD10" i="3"/>
  <c r="KD9" i="3" s="1"/>
  <c r="KC10" i="3"/>
  <c r="KC9" i="3" s="1"/>
  <c r="KB10" i="3"/>
  <c r="KB9" i="3" s="1"/>
  <c r="KA10" i="3"/>
  <c r="KA9" i="3" s="1"/>
  <c r="JZ10" i="3"/>
  <c r="JZ9" i="3" s="1"/>
  <c r="JY10" i="3"/>
  <c r="JY9" i="3" s="1"/>
  <c r="JX10" i="3"/>
  <c r="JX9" i="3" s="1"/>
  <c r="JW10" i="3"/>
  <c r="JW9" i="3" s="1"/>
  <c r="JV10" i="3"/>
  <c r="JV9" i="3" s="1"/>
  <c r="JU10" i="3"/>
  <c r="JU9" i="3" s="1"/>
  <c r="JT10" i="3"/>
  <c r="JT9" i="3" s="1"/>
  <c r="JS10" i="3"/>
  <c r="JS9" i="3" s="1"/>
  <c r="JR10" i="3"/>
  <c r="JR9" i="3" s="1"/>
  <c r="JQ10" i="3"/>
  <c r="JQ9" i="3" s="1"/>
  <c r="JP10" i="3"/>
  <c r="JP9" i="3" s="1"/>
  <c r="JO10" i="3"/>
  <c r="JO9" i="3" s="1"/>
  <c r="JN10" i="3"/>
  <c r="JN9" i="3" s="1"/>
  <c r="JM10" i="3"/>
  <c r="JM9" i="3" s="1"/>
  <c r="JL10" i="3"/>
  <c r="JL9" i="3" s="1"/>
  <c r="JK10" i="3"/>
  <c r="JK9" i="3" s="1"/>
  <c r="JJ10" i="3"/>
  <c r="JJ9" i="3" s="1"/>
  <c r="JI10" i="3"/>
  <c r="JI9" i="3" s="1"/>
  <c r="JH10" i="3"/>
  <c r="JH9" i="3" s="1"/>
  <c r="JG10" i="3"/>
  <c r="JG9" i="3" s="1"/>
  <c r="JF10" i="3"/>
  <c r="JF9" i="3" s="1"/>
  <c r="JE10" i="3"/>
  <c r="JE9" i="3" s="1"/>
  <c r="JD10" i="3"/>
  <c r="JD9" i="3" s="1"/>
  <c r="JC10" i="3"/>
  <c r="JC9" i="3" s="1"/>
  <c r="JB10" i="3"/>
  <c r="JB9" i="3" s="1"/>
  <c r="JA10" i="3"/>
  <c r="JA9" i="3" s="1"/>
  <c r="IZ10" i="3"/>
  <c r="IZ9" i="3" s="1"/>
  <c r="IY10" i="3"/>
  <c r="IY9" i="3" s="1"/>
  <c r="IX10" i="3"/>
  <c r="IX9" i="3" s="1"/>
  <c r="IW10" i="3"/>
  <c r="IW9" i="3" s="1"/>
  <c r="IV10" i="3"/>
  <c r="IV9" i="3" s="1"/>
  <c r="IU10" i="3"/>
  <c r="IU9" i="3" s="1"/>
  <c r="IT10" i="3"/>
  <c r="IT9" i="3" s="1"/>
  <c r="IS10" i="3"/>
  <c r="IS9" i="3" s="1"/>
  <c r="IR10" i="3"/>
  <c r="IR9" i="3" s="1"/>
  <c r="IQ10" i="3"/>
  <c r="IQ9" i="3" s="1"/>
  <c r="IP10" i="3"/>
  <c r="IP9" i="3" s="1"/>
  <c r="IO10" i="3"/>
  <c r="IO9" i="3" s="1"/>
  <c r="IN10" i="3"/>
  <c r="IN9" i="3" s="1"/>
  <c r="IM10" i="3"/>
  <c r="IM9" i="3" s="1"/>
  <c r="IL10" i="3"/>
  <c r="IL9" i="3" s="1"/>
  <c r="IK10" i="3"/>
  <c r="IK9" i="3" s="1"/>
  <c r="IJ10" i="3"/>
  <c r="IJ9" i="3" s="1"/>
  <c r="II10" i="3"/>
  <c r="II9" i="3" s="1"/>
  <c r="IH10" i="3"/>
  <c r="IH9" i="3" s="1"/>
  <c r="IG10" i="3"/>
  <c r="IG9" i="3" s="1"/>
  <c r="IF10" i="3"/>
  <c r="IF9" i="3" s="1"/>
  <c r="IE10" i="3"/>
  <c r="IE9" i="3" s="1"/>
  <c r="ID10" i="3"/>
  <c r="ID9" i="3" s="1"/>
  <c r="IC10" i="3"/>
  <c r="IC9" i="3" s="1"/>
  <c r="IB10" i="3"/>
  <c r="IB9" i="3" s="1"/>
  <c r="IA10" i="3"/>
  <c r="IA9" i="3" s="1"/>
  <c r="HZ10" i="3"/>
  <c r="HZ9" i="3" s="1"/>
  <c r="HY10" i="3"/>
  <c r="HY9" i="3" s="1"/>
  <c r="HX10" i="3"/>
  <c r="HX9" i="3" s="1"/>
  <c r="HW10" i="3"/>
  <c r="HW9" i="3" s="1"/>
  <c r="HV10" i="3"/>
  <c r="HV9" i="3" s="1"/>
  <c r="HU10" i="3"/>
  <c r="HU9" i="3" s="1"/>
  <c r="HT10" i="3"/>
  <c r="HT9" i="3" s="1"/>
  <c r="HS10" i="3"/>
  <c r="HS9" i="3" s="1"/>
  <c r="HR10" i="3"/>
  <c r="HR9" i="3" s="1"/>
  <c r="HQ10" i="3"/>
  <c r="HQ9" i="3" s="1"/>
  <c r="HP10" i="3"/>
  <c r="HP9" i="3" s="1"/>
  <c r="HO10" i="3"/>
  <c r="HO9" i="3" s="1"/>
  <c r="HN10" i="3"/>
  <c r="HN9" i="3" s="1"/>
  <c r="HM10" i="3"/>
  <c r="HM9" i="3" s="1"/>
  <c r="HL10" i="3"/>
  <c r="HL9" i="3" s="1"/>
  <c r="HK10" i="3"/>
  <c r="HK9" i="3" s="1"/>
  <c r="HJ10" i="3"/>
  <c r="HJ9" i="3" s="1"/>
  <c r="HI10" i="3"/>
  <c r="HI9" i="3" s="1"/>
  <c r="HH10" i="3"/>
  <c r="HH9" i="3" s="1"/>
  <c r="HG10" i="3"/>
  <c r="HG9" i="3" s="1"/>
  <c r="HF10" i="3"/>
  <c r="HF9" i="3" s="1"/>
  <c r="HE10" i="3"/>
  <c r="HE9" i="3" s="1"/>
  <c r="HD10" i="3"/>
  <c r="HD9" i="3" s="1"/>
  <c r="HC10" i="3"/>
  <c r="HC9" i="3" s="1"/>
  <c r="HB10" i="3"/>
  <c r="HB9" i="3" s="1"/>
  <c r="HA10" i="3"/>
  <c r="HA9" i="3" s="1"/>
  <c r="GZ10" i="3"/>
  <c r="GZ9" i="3" s="1"/>
  <c r="GY10" i="3"/>
  <c r="GY9" i="3" s="1"/>
  <c r="GX10" i="3"/>
  <c r="GX9" i="3" s="1"/>
  <c r="GW10" i="3"/>
  <c r="GW9" i="3" s="1"/>
  <c r="GV10" i="3"/>
  <c r="GV9" i="3" s="1"/>
  <c r="GU10" i="3"/>
  <c r="GU9" i="3" s="1"/>
  <c r="GT10" i="3"/>
  <c r="GT9" i="3" s="1"/>
  <c r="GS10" i="3"/>
  <c r="GS9" i="3" s="1"/>
  <c r="GR10" i="3"/>
  <c r="GR9" i="3" s="1"/>
  <c r="GQ10" i="3"/>
  <c r="GQ9" i="3" s="1"/>
  <c r="GP10" i="3"/>
  <c r="GP9" i="3" s="1"/>
  <c r="GO10" i="3"/>
  <c r="GO9" i="3" s="1"/>
  <c r="GN10" i="3"/>
  <c r="GN9" i="3" s="1"/>
  <c r="GM10" i="3"/>
  <c r="GM9" i="3" s="1"/>
  <c r="GL10" i="3"/>
  <c r="GL9" i="3" s="1"/>
  <c r="GK10" i="3"/>
  <c r="GK9" i="3" s="1"/>
  <c r="GJ10" i="3"/>
  <c r="GJ9" i="3" s="1"/>
  <c r="GI10" i="3"/>
  <c r="GI9" i="3" s="1"/>
  <c r="GH10" i="3"/>
  <c r="GH9" i="3" s="1"/>
  <c r="GG10" i="3"/>
  <c r="GG9" i="3" s="1"/>
  <c r="GF10" i="3"/>
  <c r="GF9" i="3" s="1"/>
  <c r="GE10" i="3"/>
  <c r="GE9" i="3" s="1"/>
  <c r="GD10" i="3"/>
  <c r="GD9" i="3" s="1"/>
  <c r="GC10" i="3"/>
  <c r="GC9" i="3" s="1"/>
  <c r="GB10" i="3"/>
  <c r="GB9" i="3" s="1"/>
  <c r="GA10" i="3"/>
  <c r="GA9" i="3" s="1"/>
  <c r="FZ10" i="3"/>
  <c r="FZ9" i="3" s="1"/>
  <c r="FY10" i="3"/>
  <c r="FY9" i="3" s="1"/>
  <c r="FX10" i="3"/>
  <c r="FX9" i="3" s="1"/>
  <c r="FW10" i="3"/>
  <c r="FW9" i="3" s="1"/>
  <c r="FV10" i="3"/>
  <c r="FV9" i="3" s="1"/>
  <c r="FU9" i="3"/>
  <c r="FT9" i="3"/>
  <c r="FS9" i="3"/>
  <c r="FR9" i="3"/>
  <c r="FQ9" i="3"/>
  <c r="FP9" i="3"/>
  <c r="FO9" i="3"/>
  <c r="FN9" i="3"/>
  <c r="FM9" i="3"/>
  <c r="FL9" i="3"/>
  <c r="FK9" i="3"/>
  <c r="FJ9" i="3"/>
  <c r="FI9" i="3"/>
  <c r="FH9" i="3"/>
  <c r="FG9" i="3"/>
  <c r="FF9" i="3"/>
  <c r="FE9" i="3"/>
  <c r="FD9" i="3"/>
  <c r="FC9" i="3"/>
  <c r="FB9" i="3"/>
  <c r="FA9" i="3"/>
  <c r="EZ9" i="3"/>
  <c r="ET37" i="17"/>
  <c r="ES37" i="17"/>
  <c r="ER37" i="17"/>
  <c r="EQ37" i="17"/>
  <c r="EP37" i="17"/>
  <c r="EU9" i="3" s="1"/>
  <c r="B8" i="14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KF7" i="3"/>
  <c r="JP7" i="3"/>
  <c r="JO7" i="3"/>
  <c r="HV7" i="3"/>
  <c r="HU7" i="3"/>
  <c r="HT7" i="3"/>
  <c r="HF7" i="3"/>
  <c r="HD7" i="3"/>
  <c r="GP7" i="3"/>
  <c r="GO7" i="3"/>
  <c r="GA7" i="3"/>
  <c r="FZ7" i="3"/>
  <c r="FW7" i="3"/>
  <c r="FK7" i="3"/>
  <c r="FJ7" i="3"/>
  <c r="FG7" i="3"/>
  <c r="FF7" i="3"/>
  <c r="FE7" i="3"/>
  <c r="FD7" i="3"/>
  <c r="FC7" i="3"/>
  <c r="FB7" i="3"/>
  <c r="FA7" i="3"/>
  <c r="EZ7" i="3"/>
  <c r="EQ36" i="8"/>
  <c r="EY7" i="3" s="1"/>
  <c r="EP36" i="8"/>
  <c r="EX7" i="3" s="1"/>
  <c r="EO36" i="8"/>
  <c r="EW7" i="3" s="1"/>
  <c r="EN36" i="8"/>
  <c r="EV7" i="3" s="1"/>
  <c r="EM36" i="8"/>
  <c r="EU7" i="3" s="1"/>
  <c r="C40" i="1" l="1"/>
  <c r="B32" i="26"/>
  <c r="D32" i="26" s="1"/>
  <c r="C5" i="29"/>
  <c r="E5" i="29" s="1"/>
  <c r="C54" i="1"/>
  <c r="B28" i="1"/>
  <c r="C28" i="1" s="1"/>
  <c r="HD11" i="3"/>
  <c r="EW9" i="3"/>
  <c r="EW10" i="19"/>
  <c r="EW9" i="19" s="1"/>
  <c r="EW11" i="19" s="1"/>
  <c r="EX9" i="3"/>
  <c r="EX10" i="19"/>
  <c r="EX9" i="19" s="1"/>
  <c r="EX11" i="19" s="1"/>
  <c r="EV9" i="3"/>
  <c r="EV11" i="3" s="1"/>
  <c r="EV10" i="19"/>
  <c r="EV9" i="19" s="1"/>
  <c r="EV11" i="19" s="1"/>
  <c r="EY9" i="3"/>
  <c r="EY10" i="19"/>
  <c r="EY9" i="19" s="1"/>
  <c r="EY11" i="19" s="1"/>
  <c r="U17" i="24"/>
  <c r="U6" i="19"/>
  <c r="T5" i="19"/>
  <c r="T3" i="19"/>
  <c r="GG11" i="3"/>
  <c r="GW11" i="3"/>
  <c r="IS11" i="3"/>
  <c r="JY11" i="3"/>
  <c r="C13" i="22"/>
  <c r="D14" i="22"/>
  <c r="F3" i="22"/>
  <c r="I23" i="21"/>
  <c r="KD11" i="3"/>
  <c r="GM11" i="3"/>
  <c r="II11" i="3"/>
  <c r="KE11" i="3"/>
  <c r="FG11" i="3"/>
  <c r="IY11" i="3"/>
  <c r="FF11" i="3"/>
  <c r="HC11" i="3"/>
  <c r="D5" i="18"/>
  <c r="FQ11" i="3"/>
  <c r="HM11" i="3"/>
  <c r="KO11" i="3"/>
  <c r="KI11" i="3"/>
  <c r="JI11" i="3"/>
  <c r="EZ11" i="3"/>
  <c r="EW11" i="3"/>
  <c r="FA11" i="3"/>
  <c r="EX11" i="3"/>
  <c r="EY11" i="3"/>
  <c r="HJ11" i="3"/>
  <c r="HK11" i="3"/>
  <c r="IA11" i="3"/>
  <c r="HL11" i="3"/>
  <c r="GS11" i="3"/>
  <c r="HI11" i="3"/>
  <c r="HG11" i="3"/>
  <c r="HR11" i="3"/>
  <c r="JO11" i="3"/>
  <c r="FW11" i="3"/>
  <c r="HS11" i="3"/>
  <c r="JP11" i="3"/>
  <c r="JJ11" i="3"/>
  <c r="FB11" i="3"/>
  <c r="GY11" i="3"/>
  <c r="FD11" i="3"/>
  <c r="GH11" i="3"/>
  <c r="HB11" i="3"/>
  <c r="JN11" i="3"/>
  <c r="JZ11" i="3"/>
  <c r="FS11" i="3"/>
  <c r="GI11" i="3"/>
  <c r="HO11" i="3"/>
  <c r="IE11" i="3"/>
  <c r="IU11" i="3"/>
  <c r="JK11" i="3"/>
  <c r="KA11" i="3"/>
  <c r="KQ11" i="3"/>
  <c r="HN11" i="3"/>
  <c r="FR11" i="3"/>
  <c r="GX11" i="3"/>
  <c r="FV11" i="3"/>
  <c r="KP11" i="3"/>
  <c r="EU11" i="3"/>
  <c r="GQ11" i="3"/>
  <c r="ID11" i="3"/>
  <c r="IT11" i="3"/>
  <c r="GL11" i="3"/>
  <c r="IX11" i="3"/>
  <c r="IH11" i="3"/>
  <c r="FH11" i="3"/>
  <c r="IC11" i="3"/>
  <c r="KH11" i="3"/>
  <c r="IG11" i="3"/>
  <c r="FC11" i="3"/>
  <c r="FE11" i="3"/>
  <c r="HQ11" i="3"/>
  <c r="JM11" i="3"/>
  <c r="KC11" i="3"/>
  <c r="GK11" i="3"/>
  <c r="HA11" i="3"/>
  <c r="FU11" i="3"/>
  <c r="GP11" i="3"/>
  <c r="GC11" i="3"/>
  <c r="HE11" i="3"/>
  <c r="FX11" i="3"/>
  <c r="GA11" i="3"/>
  <c r="IW11" i="3"/>
  <c r="FK11" i="3"/>
  <c r="FM11" i="3"/>
  <c r="GE11" i="3"/>
  <c r="IZ11" i="3"/>
  <c r="JS11" i="3"/>
  <c r="KM11" i="3"/>
  <c r="KF11" i="3"/>
  <c r="FJ11" i="3"/>
  <c r="KK11" i="3"/>
  <c r="GV11" i="3"/>
  <c r="FN11" i="3"/>
  <c r="GF11" i="3"/>
  <c r="JA11" i="3"/>
  <c r="JU11" i="3"/>
  <c r="KN11" i="3"/>
  <c r="GN11" i="3"/>
  <c r="GO11" i="3"/>
  <c r="GT11" i="3"/>
  <c r="GU11" i="3"/>
  <c r="KL11" i="3"/>
  <c r="FO11" i="3"/>
  <c r="IJ11" i="3"/>
  <c r="JB11" i="3"/>
  <c r="JV11" i="3"/>
  <c r="FZ11" i="3"/>
  <c r="FI11" i="3"/>
  <c r="FP11" i="3"/>
  <c r="IK11" i="3"/>
  <c r="JC11" i="3"/>
  <c r="JW11" i="3"/>
  <c r="FY11" i="3"/>
  <c r="KG11" i="3"/>
  <c r="JQ11" i="3"/>
  <c r="GD11" i="3"/>
  <c r="JR11" i="3"/>
  <c r="HT11" i="3"/>
  <c r="IL11" i="3"/>
  <c r="JE11" i="3"/>
  <c r="IB11" i="3"/>
  <c r="HU11" i="3"/>
  <c r="IM11" i="3"/>
  <c r="JF11" i="3"/>
  <c r="JX11" i="3"/>
  <c r="HV11" i="3"/>
  <c r="IO11" i="3"/>
  <c r="JG11" i="3"/>
  <c r="HW11" i="3"/>
  <c r="IP11" i="3"/>
  <c r="JH11" i="3"/>
  <c r="HF11" i="3"/>
  <c r="HY11" i="3"/>
  <c r="IQ11" i="3"/>
  <c r="HZ11" i="3"/>
  <c r="IR11" i="3"/>
  <c r="FT11" i="3"/>
  <c r="GJ11" i="3"/>
  <c r="GZ11" i="3"/>
  <c r="HP11" i="3"/>
  <c r="IF11" i="3"/>
  <c r="IV11" i="3"/>
  <c r="JL11" i="3"/>
  <c r="KB11" i="3"/>
  <c r="FL11" i="3"/>
  <c r="GB11" i="3"/>
  <c r="GR11" i="3"/>
  <c r="HH11" i="3"/>
  <c r="HX11" i="3"/>
  <c r="IN11" i="3"/>
  <c r="JD11" i="3"/>
  <c r="JT11" i="3"/>
  <c r="KJ11" i="3"/>
  <c r="F14" i="8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AH14" i="8" s="1"/>
  <c r="AI14" i="8" s="1"/>
  <c r="AJ14" i="8" s="1"/>
  <c r="AK14" i="8" s="1"/>
  <c r="AL14" i="8" s="1"/>
  <c r="AM14" i="8" s="1"/>
  <c r="AN14" i="8" s="1"/>
  <c r="AO14" i="8" s="1"/>
  <c r="AP14" i="8" s="1"/>
  <c r="AQ14" i="8" s="1"/>
  <c r="AR14" i="8" s="1"/>
  <c r="AS14" i="8" s="1"/>
  <c r="AT14" i="8" s="1"/>
  <c r="AU14" i="8" s="1"/>
  <c r="AV14" i="8" s="1"/>
  <c r="AW14" i="8" s="1"/>
  <c r="AX14" i="8" s="1"/>
  <c r="AY14" i="8" s="1"/>
  <c r="AZ14" i="8" s="1"/>
  <c r="BA14" i="8" s="1"/>
  <c r="BB14" i="8" s="1"/>
  <c r="BC14" i="8" s="1"/>
  <c r="BD14" i="8" s="1"/>
  <c r="BE14" i="8" s="1"/>
  <c r="BF14" i="8" s="1"/>
  <c r="BG14" i="8" s="1"/>
  <c r="BH14" i="8" s="1"/>
  <c r="BI14" i="8" s="1"/>
  <c r="BJ14" i="8" s="1"/>
  <c r="BK14" i="8" s="1"/>
  <c r="BL14" i="8" s="1"/>
  <c r="BM14" i="8" s="1"/>
  <c r="BN14" i="8" s="1"/>
  <c r="BO14" i="8" s="1"/>
  <c r="BP14" i="8" s="1"/>
  <c r="BQ14" i="8" s="1"/>
  <c r="BR14" i="8" s="1"/>
  <c r="BS14" i="8" s="1"/>
  <c r="BT14" i="8" s="1"/>
  <c r="BU14" i="8" s="1"/>
  <c r="BV14" i="8" s="1"/>
  <c r="BW14" i="8" s="1"/>
  <c r="BX14" i="8" s="1"/>
  <c r="BY14" i="8" s="1"/>
  <c r="BZ14" i="8" s="1"/>
  <c r="CA14" i="8" s="1"/>
  <c r="CB14" i="8" s="1"/>
  <c r="CC14" i="8" s="1"/>
  <c r="CD14" i="8" s="1"/>
  <c r="CE14" i="8" s="1"/>
  <c r="CF14" i="8" s="1"/>
  <c r="CG14" i="8" s="1"/>
  <c r="CH14" i="8" s="1"/>
  <c r="CI14" i="8" s="1"/>
  <c r="CJ14" i="8" s="1"/>
  <c r="CK14" i="8" s="1"/>
  <c r="CL14" i="8" s="1"/>
  <c r="CM14" i="8" s="1"/>
  <c r="CN14" i="8" s="1"/>
  <c r="CO14" i="8" s="1"/>
  <c r="CP14" i="8" s="1"/>
  <c r="CQ14" i="8" s="1"/>
  <c r="CR14" i="8" s="1"/>
  <c r="CS14" i="8" s="1"/>
  <c r="CT14" i="8" s="1"/>
  <c r="CU14" i="8" s="1"/>
  <c r="CV14" i="8" s="1"/>
  <c r="CW14" i="8" s="1"/>
  <c r="CX14" i="8" s="1"/>
  <c r="CY14" i="8" s="1"/>
  <c r="CZ14" i="8" s="1"/>
  <c r="DA14" i="8" s="1"/>
  <c r="DB14" i="8" s="1"/>
  <c r="DC14" i="8" s="1"/>
  <c r="DD14" i="8" s="1"/>
  <c r="DE14" i="8" s="1"/>
  <c r="DF14" i="8" s="1"/>
  <c r="DG14" i="8" s="1"/>
  <c r="DH14" i="8" s="1"/>
  <c r="DI14" i="8" s="1"/>
  <c r="DJ14" i="8" s="1"/>
  <c r="DK14" i="8" s="1"/>
  <c r="DL14" i="8" s="1"/>
  <c r="DM14" i="8" s="1"/>
  <c r="DN14" i="8" s="1"/>
  <c r="DO14" i="8" s="1"/>
  <c r="DP14" i="8" s="1"/>
  <c r="DQ14" i="8" s="1"/>
  <c r="DR14" i="8" s="1"/>
  <c r="DS14" i="8" s="1"/>
  <c r="DT14" i="8" s="1"/>
  <c r="DU14" i="8" s="1"/>
  <c r="DV14" i="8" s="1"/>
  <c r="DW14" i="8" s="1"/>
  <c r="DX14" i="8" s="1"/>
  <c r="DY14" i="8" s="1"/>
  <c r="DZ14" i="8" s="1"/>
  <c r="EA14" i="8" s="1"/>
  <c r="EB14" i="8" s="1"/>
  <c r="EC14" i="8" s="1"/>
  <c r="ED14" i="8" s="1"/>
  <c r="EE14" i="8" s="1"/>
  <c r="EF14" i="8" s="1"/>
  <c r="EG14" i="8" s="1"/>
  <c r="EH14" i="8" s="1"/>
  <c r="EI14" i="8" s="1"/>
  <c r="EJ14" i="8" s="1"/>
  <c r="EK14" i="8" s="1"/>
  <c r="EL14" i="8" s="1"/>
  <c r="EM14" i="8" s="1"/>
  <c r="EN14" i="8" s="1"/>
  <c r="EO14" i="8" s="1"/>
  <c r="EP14" i="8" s="1"/>
  <c r="EQ14" i="8" s="1"/>
  <c r="D9" i="18" l="1"/>
  <c r="E9" i="18" s="1"/>
  <c r="B36" i="26"/>
  <c r="D36" i="26" s="1"/>
  <c r="C9" i="29"/>
  <c r="E9" i="29" s="1"/>
  <c r="V17" i="24"/>
  <c r="V6" i="19"/>
  <c r="U3" i="19"/>
  <c r="U5" i="19"/>
  <c r="C14" i="22"/>
  <c r="D15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E5" i="18"/>
  <c r="D17" i="4"/>
  <c r="I12" i="4" s="1"/>
  <c r="I21" i="4" s="1"/>
  <c r="D16" i="4"/>
  <c r="H12" i="4"/>
  <c r="H21" i="4" s="1"/>
  <c r="G12" i="4"/>
  <c r="G21" i="4" s="1"/>
  <c r="F12" i="4"/>
  <c r="F21" i="4" s="1"/>
  <c r="E12" i="4"/>
  <c r="E21" i="4" s="1"/>
  <c r="E4" i="3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BI4" i="3" s="1"/>
  <c r="BJ4" i="3" s="1"/>
  <c r="BK4" i="3" s="1"/>
  <c r="BL4" i="3" s="1"/>
  <c r="BM4" i="3" s="1"/>
  <c r="BN4" i="3" s="1"/>
  <c r="BO4" i="3" s="1"/>
  <c r="BP4" i="3" s="1"/>
  <c r="BQ4" i="3" s="1"/>
  <c r="BR4" i="3" s="1"/>
  <c r="BS4" i="3" s="1"/>
  <c r="BT4" i="3" s="1"/>
  <c r="BU4" i="3" s="1"/>
  <c r="BV4" i="3" s="1"/>
  <c r="BW4" i="3" s="1"/>
  <c r="BX4" i="3" s="1"/>
  <c r="BY4" i="3" s="1"/>
  <c r="BZ4" i="3" s="1"/>
  <c r="CA4" i="3" s="1"/>
  <c r="CB4" i="3" s="1"/>
  <c r="CC4" i="3" s="1"/>
  <c r="CD4" i="3" s="1"/>
  <c r="CE4" i="3" s="1"/>
  <c r="CF4" i="3" s="1"/>
  <c r="CG4" i="3" s="1"/>
  <c r="CH4" i="3" s="1"/>
  <c r="CI4" i="3" s="1"/>
  <c r="CJ4" i="3" s="1"/>
  <c r="CK4" i="3" s="1"/>
  <c r="CL4" i="3" s="1"/>
  <c r="CM4" i="3" s="1"/>
  <c r="CN4" i="3" s="1"/>
  <c r="CO4" i="3" s="1"/>
  <c r="CP4" i="3" s="1"/>
  <c r="CQ4" i="3" s="1"/>
  <c r="CR4" i="3" s="1"/>
  <c r="CS4" i="3" s="1"/>
  <c r="CT4" i="3" s="1"/>
  <c r="CU4" i="3" s="1"/>
  <c r="CV4" i="3" s="1"/>
  <c r="CW4" i="3" s="1"/>
  <c r="CX4" i="3" s="1"/>
  <c r="CY4" i="3" s="1"/>
  <c r="CZ4" i="3" s="1"/>
  <c r="DA4" i="3" s="1"/>
  <c r="DB4" i="3" s="1"/>
  <c r="DC4" i="3" s="1"/>
  <c r="DD4" i="3" s="1"/>
  <c r="DE4" i="3" s="1"/>
  <c r="DF4" i="3" s="1"/>
  <c r="DG4" i="3" s="1"/>
  <c r="DH4" i="3" s="1"/>
  <c r="DI4" i="3" s="1"/>
  <c r="DJ4" i="3" s="1"/>
  <c r="DK4" i="3" s="1"/>
  <c r="DL4" i="3" s="1"/>
  <c r="DM4" i="3" s="1"/>
  <c r="DN4" i="3" s="1"/>
  <c r="DO4" i="3" s="1"/>
  <c r="DP4" i="3" s="1"/>
  <c r="DQ4" i="3" s="1"/>
  <c r="DR4" i="3" s="1"/>
  <c r="DS4" i="3" s="1"/>
  <c r="DT4" i="3" s="1"/>
  <c r="DU4" i="3" s="1"/>
  <c r="DV4" i="3" s="1"/>
  <c r="DW4" i="3" s="1"/>
  <c r="DX4" i="3" s="1"/>
  <c r="DY4" i="3" s="1"/>
  <c r="DZ4" i="3" s="1"/>
  <c r="EA4" i="3" s="1"/>
  <c r="EB4" i="3" s="1"/>
  <c r="EC4" i="3" s="1"/>
  <c r="ED4" i="3" s="1"/>
  <c r="EE4" i="3" s="1"/>
  <c r="EF4" i="3" s="1"/>
  <c r="EG4" i="3" s="1"/>
  <c r="EH4" i="3" s="1"/>
  <c r="EI4" i="3" s="1"/>
  <c r="EJ4" i="3" s="1"/>
  <c r="EK4" i="3" s="1"/>
  <c r="EL4" i="3" s="1"/>
  <c r="EM4" i="3" s="1"/>
  <c r="EN4" i="3" s="1"/>
  <c r="EO4" i="3" s="1"/>
  <c r="EP4" i="3" s="1"/>
  <c r="EQ4" i="3" s="1"/>
  <c r="ER4" i="3" s="1"/>
  <c r="ES4" i="3" s="1"/>
  <c r="ET4" i="3" s="1"/>
  <c r="EU4" i="3" s="1"/>
  <c r="EV4" i="3" s="1"/>
  <c r="EW4" i="3" s="1"/>
  <c r="EX4" i="3" s="1"/>
  <c r="EY4" i="3" s="1"/>
  <c r="EZ4" i="3" s="1"/>
  <c r="FA4" i="3" s="1"/>
  <c r="FB4" i="3" s="1"/>
  <c r="FC4" i="3" s="1"/>
  <c r="FD4" i="3" s="1"/>
  <c r="FE4" i="3" s="1"/>
  <c r="FF4" i="3" s="1"/>
  <c r="FG4" i="3" s="1"/>
  <c r="FH4" i="3" s="1"/>
  <c r="FI4" i="3" s="1"/>
  <c r="FJ4" i="3" s="1"/>
  <c r="FK4" i="3" s="1"/>
  <c r="FL4" i="3" s="1"/>
  <c r="FM4" i="3" s="1"/>
  <c r="FN4" i="3" s="1"/>
  <c r="FO4" i="3" s="1"/>
  <c r="FP4" i="3" s="1"/>
  <c r="FQ4" i="3" s="1"/>
  <c r="FR4" i="3" s="1"/>
  <c r="FS4" i="3" s="1"/>
  <c r="FT4" i="3" s="1"/>
  <c r="FU4" i="3" s="1"/>
  <c r="FV4" i="3" s="1"/>
  <c r="FW4" i="3" s="1"/>
  <c r="FX4" i="3" s="1"/>
  <c r="FY4" i="3" s="1"/>
  <c r="FZ4" i="3" s="1"/>
  <c r="GA4" i="3" s="1"/>
  <c r="GB4" i="3" s="1"/>
  <c r="GC4" i="3" s="1"/>
  <c r="GD4" i="3" s="1"/>
  <c r="GE4" i="3" s="1"/>
  <c r="GF4" i="3" s="1"/>
  <c r="GG4" i="3" s="1"/>
  <c r="GH4" i="3" s="1"/>
  <c r="GI4" i="3" s="1"/>
  <c r="GJ4" i="3" s="1"/>
  <c r="GK4" i="3" s="1"/>
  <c r="GL4" i="3" s="1"/>
  <c r="GM4" i="3" s="1"/>
  <c r="GN4" i="3" s="1"/>
  <c r="GO4" i="3" s="1"/>
  <c r="GP4" i="3" s="1"/>
  <c r="GQ4" i="3" s="1"/>
  <c r="GR4" i="3" s="1"/>
  <c r="GS4" i="3" s="1"/>
  <c r="GT4" i="3" s="1"/>
  <c r="GU4" i="3" s="1"/>
  <c r="GV4" i="3" s="1"/>
  <c r="GW4" i="3" s="1"/>
  <c r="GX4" i="3" s="1"/>
  <c r="GY4" i="3" s="1"/>
  <c r="GZ4" i="3" s="1"/>
  <c r="HA4" i="3" s="1"/>
  <c r="HB4" i="3" s="1"/>
  <c r="HC4" i="3" s="1"/>
  <c r="HD4" i="3" s="1"/>
  <c r="HE4" i="3" s="1"/>
  <c r="HF4" i="3" s="1"/>
  <c r="HG4" i="3" s="1"/>
  <c r="HH4" i="3" s="1"/>
  <c r="HI4" i="3" s="1"/>
  <c r="HJ4" i="3" s="1"/>
  <c r="HK4" i="3" s="1"/>
  <c r="HL4" i="3" s="1"/>
  <c r="HM4" i="3" s="1"/>
  <c r="HN4" i="3" s="1"/>
  <c r="HO4" i="3" s="1"/>
  <c r="HP4" i="3" s="1"/>
  <c r="HQ4" i="3" s="1"/>
  <c r="HR4" i="3" s="1"/>
  <c r="HS4" i="3" s="1"/>
  <c r="HT4" i="3" s="1"/>
  <c r="HU4" i="3" s="1"/>
  <c r="HV4" i="3" s="1"/>
  <c r="HW4" i="3" s="1"/>
  <c r="HX4" i="3" s="1"/>
  <c r="HY4" i="3" s="1"/>
  <c r="HZ4" i="3" s="1"/>
  <c r="IA4" i="3" s="1"/>
  <c r="IB4" i="3" s="1"/>
  <c r="IC4" i="3" s="1"/>
  <c r="ID4" i="3" s="1"/>
  <c r="IE4" i="3" s="1"/>
  <c r="IF4" i="3" s="1"/>
  <c r="IG4" i="3" s="1"/>
  <c r="IH4" i="3" s="1"/>
  <c r="II4" i="3" s="1"/>
  <c r="IJ4" i="3" s="1"/>
  <c r="IK4" i="3" s="1"/>
  <c r="IL4" i="3" s="1"/>
  <c r="IM4" i="3" s="1"/>
  <c r="IN4" i="3" s="1"/>
  <c r="IO4" i="3" s="1"/>
  <c r="IP4" i="3" s="1"/>
  <c r="IQ4" i="3" s="1"/>
  <c r="IR4" i="3" s="1"/>
  <c r="IS4" i="3" s="1"/>
  <c r="IT4" i="3" s="1"/>
  <c r="IU4" i="3" s="1"/>
  <c r="IV4" i="3" s="1"/>
  <c r="IW4" i="3" s="1"/>
  <c r="IX4" i="3" s="1"/>
  <c r="IY4" i="3" s="1"/>
  <c r="IZ4" i="3" s="1"/>
  <c r="JA4" i="3" s="1"/>
  <c r="JB4" i="3" s="1"/>
  <c r="JC4" i="3" s="1"/>
  <c r="JD4" i="3" s="1"/>
  <c r="JE4" i="3" s="1"/>
  <c r="JF4" i="3" s="1"/>
  <c r="JG4" i="3" s="1"/>
  <c r="JH4" i="3" s="1"/>
  <c r="JI4" i="3" s="1"/>
  <c r="JJ4" i="3" s="1"/>
  <c r="JK4" i="3" s="1"/>
  <c r="JL4" i="3" s="1"/>
  <c r="JM4" i="3" s="1"/>
  <c r="JN4" i="3" s="1"/>
  <c r="JO4" i="3" s="1"/>
  <c r="JP4" i="3" s="1"/>
  <c r="JQ4" i="3" s="1"/>
  <c r="JR4" i="3" s="1"/>
  <c r="JS4" i="3" s="1"/>
  <c r="JT4" i="3" s="1"/>
  <c r="JU4" i="3" s="1"/>
  <c r="JV4" i="3" s="1"/>
  <c r="JW4" i="3" s="1"/>
  <c r="JX4" i="3" s="1"/>
  <c r="JY4" i="3" s="1"/>
  <c r="JZ4" i="3" s="1"/>
  <c r="KA4" i="3" s="1"/>
  <c r="KB4" i="3" s="1"/>
  <c r="KC4" i="3" s="1"/>
  <c r="KD4" i="3" s="1"/>
  <c r="KE4" i="3" s="1"/>
  <c r="KF4" i="3" s="1"/>
  <c r="KG4" i="3" s="1"/>
  <c r="KH4" i="3" s="1"/>
  <c r="KI4" i="3" s="1"/>
  <c r="KJ4" i="3" s="1"/>
  <c r="KK4" i="3" s="1"/>
  <c r="KL4" i="3" s="1"/>
  <c r="KM4" i="3" s="1"/>
  <c r="KN4" i="3" s="1"/>
  <c r="KO4" i="3" s="1"/>
  <c r="KP4" i="3" s="1"/>
  <c r="KQ4" i="3" s="1"/>
  <c r="A7" i="6"/>
  <c r="I4" i="6"/>
  <c r="I5" i="6" s="1"/>
  <c r="B62" i="1"/>
  <c r="C62" i="1" s="1"/>
  <c r="B3" i="1" l="1"/>
  <c r="C71" i="28"/>
  <c r="B70" i="28"/>
  <c r="W17" i="24"/>
  <c r="W6" i="19"/>
  <c r="V5" i="19"/>
  <c r="V3" i="19"/>
  <c r="D16" i="22"/>
  <c r="H5" i="22"/>
  <c r="C15" i="22"/>
  <c r="G3" i="14"/>
  <c r="G41" i="14" s="1"/>
  <c r="G3" i="22"/>
  <c r="F2" i="22"/>
  <c r="D3" i="3"/>
  <c r="D6" i="10" s="1"/>
  <c r="D5" i="3"/>
  <c r="B60" i="1"/>
  <c r="C60" i="1" s="1"/>
  <c r="C42" i="26" l="1"/>
  <c r="C41" i="26" s="1"/>
  <c r="E6" i="29"/>
  <c r="G43" i="14"/>
  <c r="G52" i="14"/>
  <c r="C70" i="28"/>
  <c r="G50" i="14"/>
  <c r="G42" i="14"/>
  <c r="G47" i="14"/>
  <c r="G32" i="14"/>
  <c r="G48" i="14"/>
  <c r="G31" i="14"/>
  <c r="G33" i="14"/>
  <c r="G34" i="14"/>
  <c r="G37" i="14"/>
  <c r="G49" i="14"/>
  <c r="G38" i="14"/>
  <c r="G39" i="14"/>
  <c r="G35" i="14"/>
  <c r="G40" i="14"/>
  <c r="G53" i="14"/>
  <c r="G51" i="14"/>
  <c r="G44" i="14"/>
  <c r="G36" i="14"/>
  <c r="G45" i="14"/>
  <c r="G30" i="14"/>
  <c r="G46" i="14"/>
  <c r="X17" i="24"/>
  <c r="X6" i="19"/>
  <c r="W3" i="19"/>
  <c r="W5" i="19"/>
  <c r="C16" i="22"/>
  <c r="D17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E5" i="3"/>
  <c r="E3" i="3"/>
  <c r="E6" i="10"/>
  <c r="F6" i="3"/>
  <c r="D8" i="14"/>
  <c r="C7" i="14"/>
  <c r="F4" i="4"/>
  <c r="G14" i="17" l="1"/>
  <c r="G2" i="14"/>
  <c r="D2" i="25"/>
  <c r="D2" i="24"/>
  <c r="Y17" i="24"/>
  <c r="Y6" i="19"/>
  <c r="X5" i="19"/>
  <c r="X3" i="19"/>
  <c r="C17" i="22"/>
  <c r="D18" i="22"/>
  <c r="G2" i="22"/>
  <c r="G6" i="3"/>
  <c r="D2" i="17"/>
  <c r="C33" i="17"/>
  <c r="C24" i="17"/>
  <c r="C22" i="17"/>
  <c r="C23" i="17"/>
  <c r="C16" i="17"/>
  <c r="D17" i="17" s="1"/>
  <c r="C17" i="17" s="1"/>
  <c r="C19" i="17"/>
  <c r="C30" i="17"/>
  <c r="C31" i="17"/>
  <c r="C35" i="17"/>
  <c r="C27" i="17"/>
  <c r="C20" i="17"/>
  <c r="C28" i="17"/>
  <c r="C18" i="17"/>
  <c r="C34" i="17"/>
  <c r="C26" i="17"/>
  <c r="C29" i="17"/>
  <c r="C32" i="17"/>
  <c r="C25" i="17"/>
  <c r="C21" i="17"/>
  <c r="F6" i="10"/>
  <c r="F5" i="3"/>
  <c r="F3" i="3"/>
  <c r="D9" i="14"/>
  <c r="C8" i="14"/>
  <c r="D2" i="8"/>
  <c r="D3" i="24" l="1"/>
  <c r="D3" i="25"/>
  <c r="Z17" i="24"/>
  <c r="Z6" i="19"/>
  <c r="Y3" i="19"/>
  <c r="Y5" i="19"/>
  <c r="G5" i="3"/>
  <c r="H14" i="17"/>
  <c r="C18" i="22"/>
  <c r="D19" i="22"/>
  <c r="BZ8" i="19"/>
  <c r="BZ7" i="19" s="1"/>
  <c r="BF8" i="19"/>
  <c r="BF7" i="19" s="1"/>
  <c r="H6" i="3"/>
  <c r="F14" i="14"/>
  <c r="F13" i="14"/>
  <c r="F12" i="14"/>
  <c r="F11" i="14"/>
  <c r="F10" i="14"/>
  <c r="F9" i="14"/>
  <c r="F8" i="14"/>
  <c r="F17" i="14"/>
  <c r="F15" i="14"/>
  <c r="F7" i="14"/>
  <c r="F18" i="14"/>
  <c r="F16" i="14"/>
  <c r="D3" i="17"/>
  <c r="D3" i="8"/>
  <c r="DV35" i="17"/>
  <c r="EO35" i="17"/>
  <c r="EO37" i="17" s="1"/>
  <c r="EM35" i="17"/>
  <c r="EM37" i="17" s="1"/>
  <c r="EK35" i="17"/>
  <c r="EK37" i="17" s="1"/>
  <c r="EC35" i="17"/>
  <c r="DU35" i="17"/>
  <c r="DZ35" i="17"/>
  <c r="EJ35" i="17"/>
  <c r="EJ37" i="17" s="1"/>
  <c r="DT35" i="17"/>
  <c r="EI35" i="17"/>
  <c r="DW35" i="17"/>
  <c r="DS35" i="17"/>
  <c r="EH35" i="17"/>
  <c r="DX35" i="17"/>
  <c r="EB35" i="17"/>
  <c r="EL35" i="17"/>
  <c r="EL37" i="17" s="1"/>
  <c r="DR35" i="17"/>
  <c r="ED35" i="17"/>
  <c r="EG35" i="17"/>
  <c r="EF35" i="17"/>
  <c r="DY35" i="17"/>
  <c r="EA35" i="17"/>
  <c r="EN35" i="17"/>
  <c r="EN37" i="17" s="1"/>
  <c r="EE35" i="17"/>
  <c r="DE30" i="17"/>
  <c r="CO30" i="17"/>
  <c r="DD30" i="17"/>
  <c r="CV30" i="17"/>
  <c r="CN30" i="17"/>
  <c r="DK30" i="17"/>
  <c r="DC30" i="17"/>
  <c r="DF30" i="17"/>
  <c r="CU30" i="17"/>
  <c r="CW30" i="17"/>
  <c r="DJ30" i="17"/>
  <c r="DB30" i="17"/>
  <c r="CP30" i="17"/>
  <c r="CT30" i="17"/>
  <c r="DA30" i="17"/>
  <c r="DI30" i="17"/>
  <c r="CZ30" i="17"/>
  <c r="CS30" i="17"/>
  <c r="CY30" i="17"/>
  <c r="DH30" i="17"/>
  <c r="CX30" i="17"/>
  <c r="CR30" i="17"/>
  <c r="DG30" i="17"/>
  <c r="CQ30" i="17"/>
  <c r="CM27" i="17"/>
  <c r="CN27" i="17"/>
  <c r="BW27" i="17"/>
  <c r="CL27" i="17"/>
  <c r="BV27" i="17"/>
  <c r="CK27" i="17"/>
  <c r="CJ27" i="17"/>
  <c r="CQ27" i="17"/>
  <c r="CI27" i="17"/>
  <c r="CP27" i="17"/>
  <c r="CS27" i="17"/>
  <c r="CH27" i="17"/>
  <c r="CG27" i="17"/>
  <c r="CO27" i="17"/>
  <c r="CF27" i="17"/>
  <c r="CR27" i="17"/>
  <c r="CE27" i="17"/>
  <c r="CA27" i="17"/>
  <c r="CC27" i="17"/>
  <c r="CB27" i="17"/>
  <c r="BY27" i="17"/>
  <c r="BZ27" i="17"/>
  <c r="CD27" i="17"/>
  <c r="BX27" i="17"/>
  <c r="DD32" i="17"/>
  <c r="DU32" i="17"/>
  <c r="DS32" i="17"/>
  <c r="DH32" i="17"/>
  <c r="DC32" i="17"/>
  <c r="DF32" i="17"/>
  <c r="DR32" i="17"/>
  <c r="DE32" i="17"/>
  <c r="DK32" i="17"/>
  <c r="DB32" i="17"/>
  <c r="DJ32" i="17"/>
  <c r="DQ32" i="17"/>
  <c r="DI32" i="17"/>
  <c r="DA32" i="17"/>
  <c r="DG32" i="17"/>
  <c r="DP32" i="17"/>
  <c r="DV32" i="17"/>
  <c r="CZ32" i="17"/>
  <c r="DL32" i="17"/>
  <c r="DW32" i="17"/>
  <c r="DO32" i="17"/>
  <c r="DN32" i="17"/>
  <c r="DM32" i="17"/>
  <c r="DT32" i="17"/>
  <c r="DM33" i="17"/>
  <c r="DF33" i="17"/>
  <c r="DK33" i="17"/>
  <c r="DZ33" i="17"/>
  <c r="EB33" i="17"/>
  <c r="DV33" i="17"/>
  <c r="DL33" i="17"/>
  <c r="DU33" i="17"/>
  <c r="DJ33" i="17"/>
  <c r="EA33" i="17"/>
  <c r="DT33" i="17"/>
  <c r="DY33" i="17"/>
  <c r="DI33" i="17"/>
  <c r="DX33" i="17"/>
  <c r="DH33" i="17"/>
  <c r="DW33" i="17"/>
  <c r="DP33" i="17"/>
  <c r="DG33" i="17"/>
  <c r="DO33" i="17"/>
  <c r="DS33" i="17"/>
  <c r="DN33" i="17"/>
  <c r="DR33" i="17"/>
  <c r="EC33" i="17"/>
  <c r="DQ33" i="17"/>
  <c r="CK28" i="17"/>
  <c r="CJ28" i="17"/>
  <c r="CY28" i="17"/>
  <c r="CS28" i="17"/>
  <c r="CI28" i="17"/>
  <c r="CL28" i="17"/>
  <c r="CX28" i="17"/>
  <c r="CH28" i="17"/>
  <c r="CW28" i="17"/>
  <c r="CT28" i="17"/>
  <c r="CG28" i="17"/>
  <c r="CV28" i="17"/>
  <c r="CU28" i="17"/>
  <c r="CN28" i="17"/>
  <c r="CQ28" i="17"/>
  <c r="CP28" i="17"/>
  <c r="CO28" i="17"/>
  <c r="CM28" i="17"/>
  <c r="CR28" i="17"/>
  <c r="CD28" i="17"/>
  <c r="CF28" i="17"/>
  <c r="CE28" i="17"/>
  <c r="CB28" i="17"/>
  <c r="CC28" i="17"/>
  <c r="CX29" i="17"/>
  <c r="CL29" i="17"/>
  <c r="CH29" i="17"/>
  <c r="CK29" i="17"/>
  <c r="CW29" i="17"/>
  <c r="CN29" i="17"/>
  <c r="CV29" i="17"/>
  <c r="CM29" i="17"/>
  <c r="CU29" i="17"/>
  <c r="CT29" i="17"/>
  <c r="CS29" i="17"/>
  <c r="DA29" i="17"/>
  <c r="CR29" i="17"/>
  <c r="DD29" i="17"/>
  <c r="CQ29" i="17"/>
  <c r="CY29" i="17"/>
  <c r="CP29" i="17"/>
  <c r="CJ29" i="17"/>
  <c r="CI29" i="17"/>
  <c r="DE29" i="17"/>
  <c r="DC29" i="17"/>
  <c r="CZ29" i="17"/>
  <c r="DB29" i="17"/>
  <c r="CO29" i="17"/>
  <c r="CH26" i="17"/>
  <c r="BV26" i="17"/>
  <c r="BS26" i="17"/>
  <c r="BR26" i="17"/>
  <c r="CJ26" i="17"/>
  <c r="CF26" i="17"/>
  <c r="BQ26" i="17"/>
  <c r="BP26" i="17"/>
  <c r="CL26" i="17"/>
  <c r="CE26" i="17"/>
  <c r="CD26" i="17"/>
  <c r="CC26" i="17"/>
  <c r="CG26" i="17"/>
  <c r="CB26" i="17"/>
  <c r="CK26" i="17"/>
  <c r="CI26" i="17"/>
  <c r="CM26" i="17"/>
  <c r="BW26" i="17"/>
  <c r="BZ26" i="17"/>
  <c r="BY26" i="17"/>
  <c r="BU26" i="17"/>
  <c r="BT26" i="17"/>
  <c r="BX26" i="17"/>
  <c r="DM31" i="17"/>
  <c r="DL31" i="17"/>
  <c r="CZ31" i="17"/>
  <c r="DK31" i="17"/>
  <c r="CY31" i="17"/>
  <c r="DH31" i="17"/>
  <c r="CV31" i="17"/>
  <c r="DG31" i="17"/>
  <c r="DJ31" i="17"/>
  <c r="DF31" i="17"/>
  <c r="DI31" i="17"/>
  <c r="DE31" i="17"/>
  <c r="CX31" i="17"/>
  <c r="DP31" i="17"/>
  <c r="DD31" i="17"/>
  <c r="CW31" i="17"/>
  <c r="DC31" i="17"/>
  <c r="CU31" i="17"/>
  <c r="DB31" i="17"/>
  <c r="CT31" i="17"/>
  <c r="DQ31" i="17"/>
  <c r="DN31" i="17"/>
  <c r="DO31" i="17"/>
  <c r="DA31" i="17"/>
  <c r="DS34" i="17"/>
  <c r="EH34" i="17"/>
  <c r="EG34" i="17"/>
  <c r="EF34" i="17"/>
  <c r="DR34" i="17"/>
  <c r="DM34" i="17"/>
  <c r="EB34" i="17"/>
  <c r="EE34" i="17"/>
  <c r="DL34" i="17"/>
  <c r="ED34" i="17"/>
  <c r="EA34" i="17"/>
  <c r="EC34" i="17"/>
  <c r="DU34" i="17"/>
  <c r="DZ34" i="17"/>
  <c r="DQ34" i="17"/>
  <c r="DV34" i="17"/>
  <c r="DT34" i="17"/>
  <c r="DY34" i="17"/>
  <c r="DN34" i="17"/>
  <c r="EI34" i="17"/>
  <c r="DX34" i="17"/>
  <c r="DP34" i="17"/>
  <c r="DW34" i="17"/>
  <c r="DO34" i="17"/>
  <c r="G3" i="3"/>
  <c r="G6" i="10"/>
  <c r="C9" i="14"/>
  <c r="D10" i="14"/>
  <c r="C18" i="8"/>
  <c r="C24" i="8"/>
  <c r="C30" i="8"/>
  <c r="C28" i="8"/>
  <c r="C19" i="8"/>
  <c r="C15" i="8"/>
  <c r="D16" i="8" s="1"/>
  <c r="C16" i="8" s="1"/>
  <c r="C34" i="8"/>
  <c r="C20" i="8"/>
  <c r="C21" i="8"/>
  <c r="C33" i="8"/>
  <c r="C25" i="8"/>
  <c r="C23" i="8"/>
  <c r="C27" i="8"/>
  <c r="C29" i="8"/>
  <c r="C22" i="8"/>
  <c r="C17" i="8"/>
  <c r="C32" i="8"/>
  <c r="C26" i="8"/>
  <c r="C31" i="8"/>
  <c r="I14" i="17" l="1"/>
  <c r="CN8" i="3"/>
  <c r="CN8" i="19"/>
  <c r="CN7" i="19" s="1"/>
  <c r="CO8" i="3"/>
  <c r="CO8" i="19"/>
  <c r="CO7" i="19" s="1"/>
  <c r="CM8" i="3"/>
  <c r="CM8" i="19"/>
  <c r="CM7" i="19" s="1"/>
  <c r="H3" i="3"/>
  <c r="CL8" i="3"/>
  <c r="CL8" i="19"/>
  <c r="CL7" i="19" s="1"/>
  <c r="CJ8" i="3"/>
  <c r="CJ8" i="19"/>
  <c r="CJ7" i="19" s="1"/>
  <c r="CQ8" i="3"/>
  <c r="CQ8" i="19"/>
  <c r="CQ7" i="19" s="1"/>
  <c r="BF8" i="3"/>
  <c r="CP8" i="3"/>
  <c r="CP8" i="19"/>
  <c r="CP7" i="19" s="1"/>
  <c r="AA17" i="24"/>
  <c r="AA6" i="19"/>
  <c r="Z3" i="19"/>
  <c r="Z5" i="19"/>
  <c r="BZ8" i="3"/>
  <c r="CK8" i="3"/>
  <c r="CK8" i="19"/>
  <c r="CK7" i="19" s="1"/>
  <c r="C19" i="22"/>
  <c r="D20" i="22"/>
  <c r="Q17" i="8"/>
  <c r="CV17" i="8"/>
  <c r="CU17" i="8"/>
  <c r="CT17" i="8"/>
  <c r="C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BA17" i="8"/>
  <c r="BB17" i="8"/>
  <c r="BC17" i="8"/>
  <c r="BD17" i="8"/>
  <c r="BE17" i="8"/>
  <c r="BF17" i="8"/>
  <c r="BG17" i="8"/>
  <c r="BH17" i="8"/>
  <c r="BI17" i="8"/>
  <c r="BJ17" i="8"/>
  <c r="BK17" i="8"/>
  <c r="BL17" i="8"/>
  <c r="BM17" i="8"/>
  <c r="BN17" i="8"/>
  <c r="BO17" i="8"/>
  <c r="BP17" i="8"/>
  <c r="BQ17" i="8"/>
  <c r="BR17" i="8"/>
  <c r="BS17" i="8"/>
  <c r="BT17" i="8"/>
  <c r="BU17" i="8"/>
  <c r="BV17" i="8"/>
  <c r="BW17" i="8"/>
  <c r="BX17" i="8"/>
  <c r="BY17" i="8"/>
  <c r="BZ17" i="8"/>
  <c r="CA17" i="8"/>
  <c r="CB17" i="8"/>
  <c r="CC17" i="8"/>
  <c r="CD17" i="8"/>
  <c r="CE17" i="8"/>
  <c r="CF17" i="8"/>
  <c r="CG17" i="8"/>
  <c r="CH17" i="8"/>
  <c r="CI17" i="8"/>
  <c r="CJ17" i="8"/>
  <c r="CK17" i="8"/>
  <c r="CL17" i="8"/>
  <c r="CM17" i="8"/>
  <c r="CO17" i="8"/>
  <c r="CP17" i="8"/>
  <c r="CQ17" i="8"/>
  <c r="CR17" i="8"/>
  <c r="CS17" i="8"/>
  <c r="CW17" i="8"/>
  <c r="CX17" i="8"/>
  <c r="CY17" i="8"/>
  <c r="CZ17" i="8"/>
  <c r="N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BE16" i="8"/>
  <c r="BF16" i="8"/>
  <c r="BG16" i="8"/>
  <c r="BH16" i="8"/>
  <c r="BI16" i="8"/>
  <c r="BJ16" i="8"/>
  <c r="BK16" i="8"/>
  <c r="BL16" i="8"/>
  <c r="BM16" i="8"/>
  <c r="BN16" i="8"/>
  <c r="BO16" i="8"/>
  <c r="BP16" i="8"/>
  <c r="BQ16" i="8"/>
  <c r="BR16" i="8"/>
  <c r="BS16" i="8"/>
  <c r="BT16" i="8"/>
  <c r="BU16" i="8"/>
  <c r="BV16" i="8"/>
  <c r="BW16" i="8"/>
  <c r="BX16" i="8"/>
  <c r="BY16" i="8"/>
  <c r="BZ16" i="8"/>
  <c r="CA16" i="8"/>
  <c r="CB16" i="8"/>
  <c r="CC16" i="8"/>
  <c r="CD16" i="8"/>
  <c r="CE16" i="8"/>
  <c r="CF16" i="8"/>
  <c r="CG16" i="8"/>
  <c r="CH16" i="8"/>
  <c r="CI16" i="8"/>
  <c r="CJ16" i="8"/>
  <c r="CK16" i="8"/>
  <c r="CL16" i="8"/>
  <c r="CM16" i="8"/>
  <c r="CN16" i="8"/>
  <c r="CO16" i="8"/>
  <c r="CP16" i="8"/>
  <c r="CQ16" i="8"/>
  <c r="CR16" i="8"/>
  <c r="CS16" i="8"/>
  <c r="CT16" i="8"/>
  <c r="CU16" i="8"/>
  <c r="CV16" i="8"/>
  <c r="CW16" i="8"/>
  <c r="CX16" i="8"/>
  <c r="CY16" i="8"/>
  <c r="AH16" i="8"/>
  <c r="Q16" i="8"/>
  <c r="K16" i="8"/>
  <c r="P16" i="8"/>
  <c r="AM8" i="3"/>
  <c r="AM8" i="19"/>
  <c r="AM7" i="19" s="1"/>
  <c r="AK8" i="3"/>
  <c r="AK8" i="19"/>
  <c r="AK7" i="19" s="1"/>
  <c r="AN8" i="3"/>
  <c r="AN8" i="19"/>
  <c r="AN7" i="19" s="1"/>
  <c r="AR8" i="3"/>
  <c r="AR8" i="19"/>
  <c r="AR7" i="19" s="1"/>
  <c r="AQ8" i="3"/>
  <c r="AQ8" i="19"/>
  <c r="AQ7" i="19" s="1"/>
  <c r="AP8" i="3"/>
  <c r="AP8" i="19"/>
  <c r="AP7" i="19" s="1"/>
  <c r="AO8" i="3"/>
  <c r="AO8" i="19"/>
  <c r="AO7" i="19" s="1"/>
  <c r="AL8" i="3"/>
  <c r="AL8" i="19"/>
  <c r="AL7" i="19" s="1"/>
  <c r="AT8" i="3"/>
  <c r="AT8" i="19"/>
  <c r="AT7" i="19" s="1"/>
  <c r="AY8" i="3"/>
  <c r="AY8" i="19"/>
  <c r="AY7" i="19" s="1"/>
  <c r="AX8" i="3"/>
  <c r="AX8" i="19"/>
  <c r="AX7" i="19" s="1"/>
  <c r="AW8" i="3"/>
  <c r="AW8" i="19"/>
  <c r="AW7" i="19" s="1"/>
  <c r="AV8" i="3"/>
  <c r="AV8" i="19"/>
  <c r="AV7" i="19" s="1"/>
  <c r="AU8" i="3"/>
  <c r="AU8" i="19"/>
  <c r="AU7" i="19" s="1"/>
  <c r="AS8" i="3"/>
  <c r="AS8" i="19"/>
  <c r="AS7" i="19" s="1"/>
  <c r="BC8" i="3"/>
  <c r="BC8" i="19"/>
  <c r="BC7" i="19" s="1"/>
  <c r="AZ8" i="3"/>
  <c r="AZ8" i="19"/>
  <c r="AZ7" i="19" s="1"/>
  <c r="BE8" i="3"/>
  <c r="BE8" i="19"/>
  <c r="BE7" i="19" s="1"/>
  <c r="BD8" i="3"/>
  <c r="BD8" i="19"/>
  <c r="BD7" i="19" s="1"/>
  <c r="BB8" i="3"/>
  <c r="BB8" i="19"/>
  <c r="BB7" i="19" s="1"/>
  <c r="BA8" i="3"/>
  <c r="BA8" i="19"/>
  <c r="BA7" i="19" s="1"/>
  <c r="BI8" i="3"/>
  <c r="BI8" i="19"/>
  <c r="BI7" i="19" s="1"/>
  <c r="BX8" i="3"/>
  <c r="BX8" i="19"/>
  <c r="BX7" i="19" s="1"/>
  <c r="BU8" i="3"/>
  <c r="BU8" i="19"/>
  <c r="BU7" i="19" s="1"/>
  <c r="BG8" i="3"/>
  <c r="BG8" i="19"/>
  <c r="BG7" i="19" s="1"/>
  <c r="BR8" i="3"/>
  <c r="BR8" i="19"/>
  <c r="BR7" i="19" s="1"/>
  <c r="BP8" i="3"/>
  <c r="BP8" i="19"/>
  <c r="BP7" i="19" s="1"/>
  <c r="BL8" i="3"/>
  <c r="BL8" i="19"/>
  <c r="BL7" i="19" s="1"/>
  <c r="BH8" i="3"/>
  <c r="BH8" i="19"/>
  <c r="BH7" i="19" s="1"/>
  <c r="BY8" i="3"/>
  <c r="BY8" i="19"/>
  <c r="BY7" i="19" s="1"/>
  <c r="BW8" i="3"/>
  <c r="BW8" i="19"/>
  <c r="BW7" i="19" s="1"/>
  <c r="BQ8" i="3"/>
  <c r="BQ8" i="19"/>
  <c r="BQ7" i="19" s="1"/>
  <c r="BM8" i="3"/>
  <c r="BM8" i="19"/>
  <c r="BM7" i="19" s="1"/>
  <c r="BK8" i="3"/>
  <c r="BK8" i="19"/>
  <c r="BK7" i="19" s="1"/>
  <c r="BO8" i="3"/>
  <c r="BO8" i="19"/>
  <c r="BO7" i="19" s="1"/>
  <c r="BV8" i="3"/>
  <c r="BV8" i="19"/>
  <c r="BV7" i="19" s="1"/>
  <c r="BT8" i="3"/>
  <c r="BT8" i="19"/>
  <c r="BT7" i="19" s="1"/>
  <c r="BS8" i="3"/>
  <c r="BS8" i="19"/>
  <c r="BS7" i="19" s="1"/>
  <c r="BN8" i="3"/>
  <c r="BN8" i="19"/>
  <c r="BN7" i="19" s="1"/>
  <c r="BJ8" i="3"/>
  <c r="BJ8" i="19"/>
  <c r="BJ7" i="19" s="1"/>
  <c r="CA8" i="19"/>
  <c r="CA7" i="19" s="1"/>
  <c r="CA8" i="3"/>
  <c r="CI8" i="19"/>
  <c r="CI7" i="19" s="1"/>
  <c r="CI8" i="3"/>
  <c r="CH8" i="19"/>
  <c r="CH7" i="19" s="1"/>
  <c r="CH8" i="3"/>
  <c r="CG8" i="19"/>
  <c r="CG7" i="19" s="1"/>
  <c r="CG8" i="3"/>
  <c r="CF8" i="19"/>
  <c r="CF7" i="19" s="1"/>
  <c r="CF8" i="3"/>
  <c r="CE8" i="19"/>
  <c r="CE7" i="19" s="1"/>
  <c r="CE8" i="3"/>
  <c r="CD8" i="19"/>
  <c r="CD7" i="19" s="1"/>
  <c r="CD8" i="3"/>
  <c r="CC8" i="19"/>
  <c r="CC7" i="19" s="1"/>
  <c r="CC8" i="3"/>
  <c r="CB8" i="19"/>
  <c r="CB7" i="19" s="1"/>
  <c r="CB8" i="3"/>
  <c r="ES9" i="3"/>
  <c r="ES9" i="19"/>
  <c r="ES11" i="19" s="1"/>
  <c r="EQ9" i="3"/>
  <c r="EQ9" i="19"/>
  <c r="EQ11" i="19" s="1"/>
  <c r="EO9" i="3"/>
  <c r="EO9" i="19"/>
  <c r="EO11" i="19" s="1"/>
  <c r="EP9" i="3"/>
  <c r="EP9" i="19"/>
  <c r="EP11" i="19" s="1"/>
  <c r="ER9" i="3"/>
  <c r="ER9" i="19"/>
  <c r="ER11" i="19" s="1"/>
  <c r="ET9" i="3"/>
  <c r="ET9" i="19"/>
  <c r="ET11" i="19" s="1"/>
  <c r="I6" i="3"/>
  <c r="H5" i="3"/>
  <c r="F2" i="14"/>
  <c r="B68" i="1"/>
  <c r="C68" i="1" s="1"/>
  <c r="EE37" i="17"/>
  <c r="EF37" i="17"/>
  <c r="ED37" i="17"/>
  <c r="CR37" i="17"/>
  <c r="CP9" i="19" s="1"/>
  <c r="CS37" i="17"/>
  <c r="CQ9" i="19" s="1"/>
  <c r="DC37" i="17"/>
  <c r="DA9" i="19" s="1"/>
  <c r="DA11" i="19" s="1"/>
  <c r="CU37" i="17"/>
  <c r="CS9" i="19" s="1"/>
  <c r="CS11" i="19" s="1"/>
  <c r="EB37" i="17"/>
  <c r="DE37" i="17"/>
  <c r="DC9" i="19" s="1"/>
  <c r="DC11" i="19" s="1"/>
  <c r="CV37" i="17"/>
  <c r="CT9" i="19" s="1"/>
  <c r="CT11" i="19" s="1"/>
  <c r="DL37" i="17"/>
  <c r="DJ9" i="19" s="1"/>
  <c r="DJ11" i="19" s="1"/>
  <c r="CL37" i="17"/>
  <c r="CJ9" i="19" s="1"/>
  <c r="DM37" i="17"/>
  <c r="DK9" i="19" s="1"/>
  <c r="DK11" i="19" s="1"/>
  <c r="CT37" i="17"/>
  <c r="CR9" i="19" s="1"/>
  <c r="CR11" i="19" s="1"/>
  <c r="DJ37" i="17"/>
  <c r="DH9" i="19" s="1"/>
  <c r="DH11" i="19" s="1"/>
  <c r="DR37" i="17"/>
  <c r="CW37" i="17"/>
  <c r="CU9" i="19" s="1"/>
  <c r="CU11" i="19" s="1"/>
  <c r="B29" i="17"/>
  <c r="DP37" i="17"/>
  <c r="DN9" i="19" s="1"/>
  <c r="DN11" i="19" s="1"/>
  <c r="DT37" i="17"/>
  <c r="CQ37" i="17"/>
  <c r="CO9" i="19" s="1"/>
  <c r="DF37" i="17"/>
  <c r="DD9" i="19" s="1"/>
  <c r="DD11" i="19" s="1"/>
  <c r="CX37" i="17"/>
  <c r="CV9" i="19" s="1"/>
  <c r="CV11" i="19" s="1"/>
  <c r="EG37" i="17"/>
  <c r="B27" i="17"/>
  <c r="B30" i="17"/>
  <c r="B34" i="17"/>
  <c r="B28" i="17"/>
  <c r="DX37" i="17"/>
  <c r="EH37" i="17"/>
  <c r="CM37" i="17"/>
  <c r="CK9" i="19" s="1"/>
  <c r="CK11" i="19" s="1"/>
  <c r="DA37" i="17"/>
  <c r="CY9" i="19" s="1"/>
  <c r="CY11" i="19" s="1"/>
  <c r="DY37" i="17"/>
  <c r="DW37" i="17"/>
  <c r="DH37" i="17"/>
  <c r="DF9" i="19" s="1"/>
  <c r="DF11" i="19" s="1"/>
  <c r="DG37" i="17"/>
  <c r="DE9" i="19" s="1"/>
  <c r="DE11" i="19" s="1"/>
  <c r="DD37" i="17"/>
  <c r="DB9" i="19" s="1"/>
  <c r="DB11" i="19" s="1"/>
  <c r="CY37" i="17"/>
  <c r="CW9" i="19" s="1"/>
  <c r="CW11" i="19" s="1"/>
  <c r="DS37" i="17"/>
  <c r="EA37" i="17"/>
  <c r="B33" i="17"/>
  <c r="EI37" i="17"/>
  <c r="DK37" i="17"/>
  <c r="DI9" i="19" s="1"/>
  <c r="DI11" i="19" s="1"/>
  <c r="B32" i="17"/>
  <c r="DU37" i="17"/>
  <c r="CN37" i="17"/>
  <c r="CL9" i="19" s="1"/>
  <c r="DO37" i="17"/>
  <c r="DM9" i="19" s="1"/>
  <c r="DM11" i="19" s="1"/>
  <c r="DV37" i="17"/>
  <c r="DZ37" i="17"/>
  <c r="DI37" i="17"/>
  <c r="DG9" i="19" s="1"/>
  <c r="DG11" i="19" s="1"/>
  <c r="DQ37" i="17"/>
  <c r="DO9" i="19" s="1"/>
  <c r="DO11" i="19" s="1"/>
  <c r="DB37" i="17"/>
  <c r="CZ9" i="19" s="1"/>
  <c r="CZ11" i="19" s="1"/>
  <c r="EC37" i="17"/>
  <c r="CP37" i="17"/>
  <c r="CN9" i="19" s="1"/>
  <c r="DN37" i="17"/>
  <c r="DL9" i="19" s="1"/>
  <c r="DL11" i="19" s="1"/>
  <c r="B31" i="17"/>
  <c r="CZ37" i="17"/>
  <c r="CX9" i="19" s="1"/>
  <c r="CX11" i="19" s="1"/>
  <c r="CO37" i="17"/>
  <c r="CM9" i="19" s="1"/>
  <c r="B35" i="17"/>
  <c r="H6" i="10"/>
  <c r="D11" i="14"/>
  <c r="C10" i="14"/>
  <c r="DN30" i="8"/>
  <c r="CX30" i="8"/>
  <c r="CY30" i="8"/>
  <c r="DM30" i="8"/>
  <c r="CW30" i="8"/>
  <c r="DL30" i="8"/>
  <c r="CV30" i="8"/>
  <c r="DK30" i="8"/>
  <c r="CU30" i="8"/>
  <c r="DJ30" i="8"/>
  <c r="CT30" i="8"/>
  <c r="DI30" i="8"/>
  <c r="CS30" i="8"/>
  <c r="DH30" i="8"/>
  <c r="CR30" i="8"/>
  <c r="DA30" i="8"/>
  <c r="DG30" i="8"/>
  <c r="CQ30" i="8"/>
  <c r="DF30" i="8"/>
  <c r="CZ30" i="8"/>
  <c r="DE30" i="8"/>
  <c r="DD30" i="8"/>
  <c r="DC30" i="8"/>
  <c r="DB30" i="8"/>
  <c r="CP26" i="8"/>
  <c r="BZ26" i="8"/>
  <c r="CO26" i="8"/>
  <c r="BY26" i="8"/>
  <c r="CN26" i="8"/>
  <c r="BX26" i="8"/>
  <c r="CM26" i="8"/>
  <c r="BW26" i="8"/>
  <c r="CL26" i="8"/>
  <c r="CK26" i="8"/>
  <c r="CD26" i="8"/>
  <c r="DB28" i="8"/>
  <c r="CL28" i="8"/>
  <c r="DA28" i="8"/>
  <c r="CK28" i="8"/>
  <c r="CZ28" i="8"/>
  <c r="CY28" i="8"/>
  <c r="CX28" i="8"/>
  <c r="CW28" i="8"/>
  <c r="CV28" i="8"/>
  <c r="CR28" i="8"/>
  <c r="CU28" i="8"/>
  <c r="CQ28" i="8"/>
  <c r="CP28" i="8"/>
  <c r="CO28" i="8"/>
  <c r="CT28" i="8"/>
  <c r="CS28" i="8"/>
  <c r="CN28" i="8"/>
  <c r="CM28" i="8"/>
  <c r="CZ29" i="8"/>
  <c r="CO29" i="8"/>
  <c r="DD29" i="8"/>
  <c r="DC29" i="8"/>
  <c r="DB29" i="8"/>
  <c r="CY29" i="8"/>
  <c r="CX29" i="8"/>
  <c r="CW29" i="8"/>
  <c r="CV29" i="8"/>
  <c r="CN29" i="8"/>
  <c r="CL29" i="8"/>
  <c r="CK29" i="8"/>
  <c r="CU29" i="8"/>
  <c r="DA29" i="8"/>
  <c r="CT29" i="8"/>
  <c r="DE29" i="8"/>
  <c r="CS29" i="8"/>
  <c r="DH29" i="8"/>
  <c r="CR29" i="8"/>
  <c r="CM29" i="8"/>
  <c r="DG29" i="8"/>
  <c r="CQ29" i="8"/>
  <c r="DF29" i="8"/>
  <c r="CP29" i="8"/>
  <c r="CN27" i="8"/>
  <c r="CM27" i="8"/>
  <c r="CL27" i="8"/>
  <c r="CK27" i="8"/>
  <c r="CR27" i="8"/>
  <c r="CP27" i="8"/>
  <c r="CT27" i="8"/>
  <c r="BZ27" i="8"/>
  <c r="BY27" i="8"/>
  <c r="CV27" i="8"/>
  <c r="CU27" i="8"/>
  <c r="CS27" i="8"/>
  <c r="CQ27" i="8"/>
  <c r="CO27" i="8"/>
  <c r="DL31" i="8"/>
  <c r="DK31" i="8"/>
  <c r="DM31" i="8"/>
  <c r="DJ31" i="8"/>
  <c r="DI31" i="8"/>
  <c r="DH31" i="8"/>
  <c r="DG31" i="8"/>
  <c r="DP31" i="8"/>
  <c r="CX31" i="8"/>
  <c r="DF31" i="8"/>
  <c r="CW31" i="8"/>
  <c r="DE31" i="8"/>
  <c r="DQ31" i="8"/>
  <c r="DO31" i="8"/>
  <c r="DN31" i="8"/>
  <c r="DT31" i="8"/>
  <c r="DD31" i="8"/>
  <c r="DA31" i="8"/>
  <c r="CZ31" i="8"/>
  <c r="DS31" i="8"/>
  <c r="DC31" i="8"/>
  <c r="CY31" i="8"/>
  <c r="DR31" i="8"/>
  <c r="DB31" i="8"/>
  <c r="DX33" i="8"/>
  <c r="DK33" i="8"/>
  <c r="DW33" i="8"/>
  <c r="DV33" i="8"/>
  <c r="EA33" i="8"/>
  <c r="DU33" i="8"/>
  <c r="DT33" i="8"/>
  <c r="DS33" i="8"/>
  <c r="DR33" i="8"/>
  <c r="EB33" i="8"/>
  <c r="DQ33" i="8"/>
  <c r="DY33" i="8"/>
  <c r="EF33" i="8"/>
  <c r="DP33" i="8"/>
  <c r="EE33" i="8"/>
  <c r="DO33" i="8"/>
  <c r="DL33" i="8"/>
  <c r="DJ33" i="8"/>
  <c r="DI33" i="8"/>
  <c r="ED33" i="8"/>
  <c r="DN33" i="8"/>
  <c r="EC33" i="8"/>
  <c r="DM33" i="8"/>
  <c r="DZ33" i="8"/>
  <c r="DZ32" i="8"/>
  <c r="DJ32" i="8"/>
  <c r="DY32" i="8"/>
  <c r="DI32" i="8"/>
  <c r="DX32" i="8"/>
  <c r="DH32" i="8"/>
  <c r="DK32" i="8"/>
  <c r="DW32" i="8"/>
  <c r="DG32" i="8"/>
  <c r="DV32" i="8"/>
  <c r="DF32" i="8"/>
  <c r="DU32" i="8"/>
  <c r="DE32" i="8"/>
  <c r="DT32" i="8"/>
  <c r="DD32" i="8"/>
  <c r="DL32" i="8"/>
  <c r="DS32" i="8"/>
  <c r="DC32" i="8"/>
  <c r="DN32" i="8"/>
  <c r="DR32" i="8"/>
  <c r="DM32" i="8"/>
  <c r="DQ32" i="8"/>
  <c r="DP32" i="8"/>
  <c r="DO32" i="8"/>
  <c r="EL34" i="8"/>
  <c r="EL36" i="8" s="1"/>
  <c r="ET7" i="3" s="1"/>
  <c r="DV34" i="8"/>
  <c r="EK34" i="8"/>
  <c r="EK36" i="8" s="1"/>
  <c r="ES7" i="3" s="1"/>
  <c r="DU34" i="8"/>
  <c r="DX34" i="8"/>
  <c r="EJ34" i="8"/>
  <c r="EJ36" i="8" s="1"/>
  <c r="ER7" i="3" s="1"/>
  <c r="ER11" i="3" s="1"/>
  <c r="DT34" i="8"/>
  <c r="EI34" i="8"/>
  <c r="EI36" i="8" s="1"/>
  <c r="EQ7" i="3" s="1"/>
  <c r="DS34" i="8"/>
  <c r="DY34" i="8"/>
  <c r="EH34" i="8"/>
  <c r="EH36" i="8" s="1"/>
  <c r="EP7" i="3" s="1"/>
  <c r="DR34" i="8"/>
  <c r="EG34" i="8"/>
  <c r="EG36" i="8" s="1"/>
  <c r="EO7" i="3" s="1"/>
  <c r="DQ34" i="8"/>
  <c r="EF34" i="8"/>
  <c r="DP34" i="8"/>
  <c r="EE34" i="8"/>
  <c r="DO34" i="8"/>
  <c r="EA34" i="8"/>
  <c r="ED34" i="8"/>
  <c r="EC34" i="8"/>
  <c r="EB34" i="8"/>
  <c r="DZ34" i="8"/>
  <c r="DW34" i="8"/>
  <c r="BN23" i="8"/>
  <c r="BQ24" i="8"/>
  <c r="AE19" i="8"/>
  <c r="BP25" i="8"/>
  <c r="BM24" i="8"/>
  <c r="CA27" i="8"/>
  <c r="AF17" i="8"/>
  <c r="BH24" i="8"/>
  <c r="AX21" i="8"/>
  <c r="BK24" i="8"/>
  <c r="BW24" i="8"/>
  <c r="X17" i="8"/>
  <c r="BM23" i="8"/>
  <c r="BX24" i="8"/>
  <c r="AB18" i="8"/>
  <c r="BI23" i="8"/>
  <c r="BN25" i="8"/>
  <c r="BX25" i="8"/>
  <c r="BT25" i="8"/>
  <c r="BM25" i="8"/>
  <c r="BQ25" i="8"/>
  <c r="BZ25" i="8"/>
  <c r="BS25" i="8"/>
  <c r="BV25" i="8"/>
  <c r="CC25" i="8"/>
  <c r="ES11" i="3" l="1"/>
  <c r="J14" i="17"/>
  <c r="ET11" i="3"/>
  <c r="CL11" i="19"/>
  <c r="CO11" i="19"/>
  <c r="CN11" i="19"/>
  <c r="EP11" i="3"/>
  <c r="EQ11" i="3"/>
  <c r="EO11" i="3"/>
  <c r="CQ11" i="19"/>
  <c r="CM11" i="19"/>
  <c r="I3" i="3"/>
  <c r="CJ11" i="19"/>
  <c r="I5" i="3"/>
  <c r="CP11" i="19"/>
  <c r="AB17" i="24"/>
  <c r="AB6" i="19"/>
  <c r="AA3" i="19"/>
  <c r="AA5" i="19"/>
  <c r="C20" i="22"/>
  <c r="D21" i="22"/>
  <c r="EH9" i="3"/>
  <c r="EH9" i="19"/>
  <c r="EH11" i="19" s="1"/>
  <c r="EE9" i="3"/>
  <c r="EE9" i="19"/>
  <c r="EE11" i="19" s="1"/>
  <c r="DT9" i="19"/>
  <c r="DT11" i="19" s="1"/>
  <c r="EA9" i="19"/>
  <c r="EA11" i="19" s="1"/>
  <c r="DS9" i="19"/>
  <c r="DS11" i="19" s="1"/>
  <c r="DZ9" i="19"/>
  <c r="DZ11" i="19" s="1"/>
  <c r="EN9" i="3"/>
  <c r="EN9" i="19"/>
  <c r="EN11" i="19" s="1"/>
  <c r="EF9" i="3"/>
  <c r="EF9" i="19"/>
  <c r="EF11" i="19" s="1"/>
  <c r="DQ9" i="19"/>
  <c r="DQ11" i="19" s="1"/>
  <c r="DX9" i="19"/>
  <c r="DX11" i="19" s="1"/>
  <c r="DU9" i="19"/>
  <c r="DU11" i="19" s="1"/>
  <c r="EB9" i="19"/>
  <c r="EB11" i="19" s="1"/>
  <c r="ED9" i="3"/>
  <c r="ED9" i="19"/>
  <c r="ED11" i="19" s="1"/>
  <c r="EM9" i="3"/>
  <c r="EM9" i="19"/>
  <c r="EM11" i="19" s="1"/>
  <c r="DV9" i="19"/>
  <c r="DV11" i="19" s="1"/>
  <c r="EC9" i="19"/>
  <c r="EC11" i="19" s="1"/>
  <c r="EL9" i="3"/>
  <c r="EL9" i="19"/>
  <c r="EL11" i="19" s="1"/>
  <c r="DR9" i="19"/>
  <c r="DR11" i="19" s="1"/>
  <c r="DY9" i="19"/>
  <c r="DY11" i="19" s="1"/>
  <c r="DP9" i="19"/>
  <c r="DP11" i="19" s="1"/>
  <c r="DW9" i="19"/>
  <c r="DW11" i="19" s="1"/>
  <c r="EG9" i="3"/>
  <c r="EG9" i="19"/>
  <c r="EG11" i="19" s="1"/>
  <c r="EI9" i="3"/>
  <c r="EI9" i="19"/>
  <c r="EI11" i="19" s="1"/>
  <c r="EK9" i="3"/>
  <c r="EK9" i="19"/>
  <c r="EK11" i="19" s="1"/>
  <c r="EJ9" i="3"/>
  <c r="EJ9" i="19"/>
  <c r="EJ11" i="19" s="1"/>
  <c r="DC9" i="3"/>
  <c r="CV9" i="3"/>
  <c r="DY9" i="3"/>
  <c r="DR9" i="3"/>
  <c r="CU9" i="3"/>
  <c r="DB9" i="3"/>
  <c r="DE9" i="3"/>
  <c r="DZ9" i="3"/>
  <c r="DS9" i="3"/>
  <c r="DW9" i="3"/>
  <c r="DP9" i="3"/>
  <c r="CZ9" i="3"/>
  <c r="DO9" i="3"/>
  <c r="DG9" i="3"/>
  <c r="EA9" i="3"/>
  <c r="DT9" i="3"/>
  <c r="DH9" i="3"/>
  <c r="CW9" i="3"/>
  <c r="DD9" i="3"/>
  <c r="EB9" i="3"/>
  <c r="DU9" i="3"/>
  <c r="DM9" i="3"/>
  <c r="DI9" i="3"/>
  <c r="EC9" i="3"/>
  <c r="DV9" i="3"/>
  <c r="CY9" i="3"/>
  <c r="CR9" i="3"/>
  <c r="DX9" i="3"/>
  <c r="DQ9" i="3"/>
  <c r="DK9" i="3"/>
  <c r="CS9" i="3"/>
  <c r="DF9" i="3"/>
  <c r="CP9" i="3"/>
  <c r="DN9" i="3"/>
  <c r="DA9" i="3"/>
  <c r="CT9" i="3"/>
  <c r="CQ9" i="3"/>
  <c r="CX9" i="3"/>
  <c r="DL9" i="3"/>
  <c r="DJ9" i="3"/>
  <c r="CO9" i="3"/>
  <c r="CM9" i="3"/>
  <c r="CN9" i="3"/>
  <c r="J6" i="3"/>
  <c r="CA26" i="8"/>
  <c r="CB27" i="8"/>
  <c r="CA25" i="8"/>
  <c r="BU25" i="8"/>
  <c r="BS26" i="8"/>
  <c r="CB26" i="8"/>
  <c r="BW25" i="8"/>
  <c r="BO25" i="8"/>
  <c r="BT26" i="8"/>
  <c r="CC27" i="8"/>
  <c r="CB25" i="8"/>
  <c r="CD27" i="8"/>
  <c r="BU26" i="8"/>
  <c r="BY25" i="8"/>
  <c r="BR25" i="8"/>
  <c r="CD25" i="8"/>
  <c r="CC26" i="8"/>
  <c r="BV26" i="8"/>
  <c r="BG23" i="8"/>
  <c r="BH23" i="8"/>
  <c r="BN24" i="8"/>
  <c r="BJ22" i="8"/>
  <c r="BS24" i="8"/>
  <c r="BP24" i="8"/>
  <c r="BL22" i="8"/>
  <c r="BE22" i="8"/>
  <c r="BC23" i="17"/>
  <c r="BO25" i="17"/>
  <c r="BI24" i="17"/>
  <c r="AW22" i="17"/>
  <c r="BO24" i="8"/>
  <c r="BE24" i="17"/>
  <c r="AY23" i="17"/>
  <c r="AS22" i="17"/>
  <c r="BK25" i="17"/>
  <c r="CC25" i="17"/>
  <c r="BK22" i="17"/>
  <c r="BQ23" i="17"/>
  <c r="BW24" i="17"/>
  <c r="CG25" i="17"/>
  <c r="BO22" i="17"/>
  <c r="BU23" i="17"/>
  <c r="CA24" i="17"/>
  <c r="CA25" i="17"/>
  <c r="BU24" i="17"/>
  <c r="BI22" i="17"/>
  <c r="BO23" i="17"/>
  <c r="BK23" i="8"/>
  <c r="AZ23" i="17"/>
  <c r="AT22" i="17"/>
  <c r="BF24" i="17"/>
  <c r="BL25" i="17"/>
  <c r="BJ23" i="17"/>
  <c r="BP24" i="17"/>
  <c r="BV25" i="17"/>
  <c r="BD22" i="17"/>
  <c r="BA23" i="17"/>
  <c r="BM25" i="17"/>
  <c r="BG24" i="17"/>
  <c r="AU22" i="17"/>
  <c r="AW22" i="8"/>
  <c r="BW25" i="17"/>
  <c r="BE22" i="17"/>
  <c r="BK23" i="17"/>
  <c r="BQ24" i="17"/>
  <c r="BN22" i="17"/>
  <c r="BT23" i="17"/>
  <c r="CF25" i="17"/>
  <c r="BZ24" i="17"/>
  <c r="BG22" i="17"/>
  <c r="BS24" i="17"/>
  <c r="BY25" i="17"/>
  <c r="BM23" i="17"/>
  <c r="AX23" i="17"/>
  <c r="BD24" i="17"/>
  <c r="BJ25" i="17"/>
  <c r="AR22" i="17"/>
  <c r="BH22" i="17"/>
  <c r="BT24" i="17"/>
  <c r="BN23" i="17"/>
  <c r="BZ25" i="17"/>
  <c r="BY24" i="17"/>
  <c r="BS23" i="17"/>
  <c r="BM22" i="17"/>
  <c r="CE25" i="17"/>
  <c r="BB22" i="17"/>
  <c r="BH23" i="17"/>
  <c r="BN24" i="17"/>
  <c r="BT25" i="17"/>
  <c r="AZ22" i="17"/>
  <c r="BR25" i="17"/>
  <c r="BF23" i="17"/>
  <c r="BL24" i="17"/>
  <c r="BF22" i="17"/>
  <c r="BL23" i="17"/>
  <c r="BX25" i="17"/>
  <c r="BR24" i="17"/>
  <c r="AX22" i="17"/>
  <c r="BD23" i="17"/>
  <c r="BP25" i="17"/>
  <c r="BJ24" i="17"/>
  <c r="BN25" i="17"/>
  <c r="AV22" i="17"/>
  <c r="BH24" i="17"/>
  <c r="BB23" i="17"/>
  <c r="BP23" i="17"/>
  <c r="BJ22" i="17"/>
  <c r="BV24" i="17"/>
  <c r="CB25" i="17"/>
  <c r="BE23" i="17"/>
  <c r="BK24" i="17"/>
  <c r="AY22" i="17"/>
  <c r="BQ25" i="17"/>
  <c r="BX24" i="17"/>
  <c r="BL22" i="17"/>
  <c r="CD25" i="17"/>
  <c r="BR23" i="17"/>
  <c r="CA26" i="17"/>
  <c r="B26" i="17" s="1"/>
  <c r="BI23" i="17"/>
  <c r="BO24" i="17"/>
  <c r="BU25" i="17"/>
  <c r="BC22" i="17"/>
  <c r="BS25" i="17"/>
  <c r="BM24" i="17"/>
  <c r="BG23" i="17"/>
  <c r="BA22" i="17"/>
  <c r="I6" i="10"/>
  <c r="BV24" i="8"/>
  <c r="BD22" i="8"/>
  <c r="D12" i="14"/>
  <c r="C11" i="14"/>
  <c r="CX36" i="8"/>
  <c r="DF7" i="3" s="1"/>
  <c r="CY36" i="8"/>
  <c r="DG7" i="3" s="1"/>
  <c r="EC36" i="8"/>
  <c r="EK7" i="3" s="1"/>
  <c r="AF18" i="8"/>
  <c r="DW36" i="8"/>
  <c r="EE7" i="3" s="1"/>
  <c r="EB36" i="8"/>
  <c r="EJ7" i="3" s="1"/>
  <c r="DH36" i="8"/>
  <c r="DP7" i="3" s="1"/>
  <c r="CK36" i="8"/>
  <c r="CS7" i="3" s="1"/>
  <c r="CM36" i="8"/>
  <c r="CU7" i="3" s="1"/>
  <c r="EE36" i="8"/>
  <c r="EM7" i="3" s="1"/>
  <c r="DZ36" i="8"/>
  <c r="EH7" i="3" s="1"/>
  <c r="EH11" i="3" s="1"/>
  <c r="DT36" i="8"/>
  <c r="EB7" i="3" s="1"/>
  <c r="CR36" i="8"/>
  <c r="CZ7" i="3" s="1"/>
  <c r="DE36" i="8"/>
  <c r="DM7" i="3" s="1"/>
  <c r="BO23" i="8"/>
  <c r="DP36" i="8"/>
  <c r="DX7" i="3" s="1"/>
  <c r="AO20" i="8"/>
  <c r="DR36" i="8"/>
  <c r="DZ7" i="3" s="1"/>
  <c r="CV36" i="8"/>
  <c r="DD7" i="3" s="1"/>
  <c r="DF36" i="8"/>
  <c r="DN7" i="3" s="1"/>
  <c r="AL20" i="8"/>
  <c r="CN36" i="8"/>
  <c r="CV7" i="3" s="1"/>
  <c r="AQ20" i="8"/>
  <c r="M16" i="8"/>
  <c r="DX36" i="8"/>
  <c r="EF7" i="3" s="1"/>
  <c r="EF36" i="8"/>
  <c r="EN7" i="3" s="1"/>
  <c r="DG36" i="8"/>
  <c r="DO7" i="3" s="1"/>
  <c r="AS20" i="8"/>
  <c r="DS36" i="8"/>
  <c r="EA7" i="3" s="1"/>
  <c r="CT36" i="8"/>
  <c r="DB7" i="3" s="1"/>
  <c r="DC36" i="8"/>
  <c r="DK7" i="3" s="1"/>
  <c r="CO36" i="8"/>
  <c r="CW7" i="3" s="1"/>
  <c r="DI36" i="8"/>
  <c r="DQ7" i="3" s="1"/>
  <c r="BF23" i="8"/>
  <c r="DY36" i="8"/>
  <c r="EG7" i="3" s="1"/>
  <c r="EG11" i="3" s="1"/>
  <c r="DD36" i="8"/>
  <c r="DL7" i="3" s="1"/>
  <c r="CW36" i="8"/>
  <c r="DE7" i="3" s="1"/>
  <c r="AB17" i="8"/>
  <c r="DJ36" i="8"/>
  <c r="DR7" i="3" s="1"/>
  <c r="BR23" i="8"/>
  <c r="CP36" i="8"/>
  <c r="CX7" i="3" s="1"/>
  <c r="AI18" i="8"/>
  <c r="DK36" i="8"/>
  <c r="DS7" i="3" s="1"/>
  <c r="AT19" i="8"/>
  <c r="DL36" i="8"/>
  <c r="DT7" i="3" s="1"/>
  <c r="AP20" i="8"/>
  <c r="BQ23" i="8"/>
  <c r="DO36" i="8"/>
  <c r="DW7" i="3" s="1"/>
  <c r="AA17" i="8"/>
  <c r="BE23" i="8"/>
  <c r="EA36" i="8"/>
  <c r="EI7" i="3" s="1"/>
  <c r="DQ36" i="8"/>
  <c r="DY7" i="3" s="1"/>
  <c r="CQ36" i="8"/>
  <c r="CY7" i="3" s="1"/>
  <c r="CZ36" i="8"/>
  <c r="DH7" i="3" s="1"/>
  <c r="AG17" i="8"/>
  <c r="BT24" i="8"/>
  <c r="DU36" i="8"/>
  <c r="EC7" i="3" s="1"/>
  <c r="ED36" i="8"/>
  <c r="EL7" i="3" s="1"/>
  <c r="CS36" i="8"/>
  <c r="DA7" i="3" s="1"/>
  <c r="DM36" i="8"/>
  <c r="DU7" i="3" s="1"/>
  <c r="BJ23" i="8"/>
  <c r="DA36" i="8"/>
  <c r="DI7" i="3" s="1"/>
  <c r="CL36" i="8"/>
  <c r="CT7" i="3" s="1"/>
  <c r="AH17" i="8"/>
  <c r="BB23" i="8"/>
  <c r="DV36" i="8"/>
  <c r="ED7" i="3" s="1"/>
  <c r="CU36" i="8"/>
  <c r="DC7" i="3" s="1"/>
  <c r="BP23" i="8"/>
  <c r="DB36" i="8"/>
  <c r="DJ7" i="3" s="1"/>
  <c r="DN36" i="8"/>
  <c r="DV7" i="3" s="1"/>
  <c r="AK19" i="8"/>
  <c r="Z16" i="8"/>
  <c r="AM19" i="8"/>
  <c r="T17" i="8"/>
  <c r="U16" i="8"/>
  <c r="AI20" i="8"/>
  <c r="AQ21" i="8"/>
  <c r="B32" i="8"/>
  <c r="B33" i="8"/>
  <c r="B31" i="8"/>
  <c r="AG18" i="8"/>
  <c r="BC22" i="8"/>
  <c r="B29" i="8"/>
  <c r="B34" i="8"/>
  <c r="B30" i="8"/>
  <c r="BI22" i="8"/>
  <c r="BF21" i="8"/>
  <c r="AZ20" i="8"/>
  <c r="AY21" i="8"/>
  <c r="S16" i="8"/>
  <c r="BE21" i="8"/>
  <c r="AD18" i="8"/>
  <c r="AO19" i="8"/>
  <c r="AS19" i="8"/>
  <c r="T16" i="8"/>
  <c r="BH22" i="8"/>
  <c r="AR19" i="8"/>
  <c r="AY20" i="8"/>
  <c r="AE18" i="8"/>
  <c r="AL19" i="8"/>
  <c r="AP21" i="8"/>
  <c r="AV20" i="8"/>
  <c r="BA21" i="8"/>
  <c r="AA18" i="8"/>
  <c r="U17" i="8"/>
  <c r="AV22" i="8"/>
  <c r="BB21" i="8"/>
  <c r="X18" i="8"/>
  <c r="AG19" i="8"/>
  <c r="X16" i="8"/>
  <c r="AW21" i="8"/>
  <c r="BG22" i="8"/>
  <c r="AY22" i="8"/>
  <c r="O16" i="8"/>
  <c r="AM18" i="8"/>
  <c r="Z17" i="8"/>
  <c r="AJ18" i="8"/>
  <c r="L16" i="8"/>
  <c r="R17" i="8"/>
  <c r="AL18" i="8"/>
  <c r="AD19" i="8"/>
  <c r="W16" i="8"/>
  <c r="BD21" i="8"/>
  <c r="AU20" i="8"/>
  <c r="AC17" i="8"/>
  <c r="BK22" i="8"/>
  <c r="AM20" i="8"/>
  <c r="Y17" i="8"/>
  <c r="AP19" i="8"/>
  <c r="AA16" i="8"/>
  <c r="BB22" i="8"/>
  <c r="AD17" i="8"/>
  <c r="AJ19" i="8"/>
  <c r="R16" i="8"/>
  <c r="AO21" i="8"/>
  <c r="AX20" i="8"/>
  <c r="BJ24" i="8"/>
  <c r="BG24" i="8"/>
  <c r="BC23" i="8"/>
  <c r="W18" i="8"/>
  <c r="BU24" i="8"/>
  <c r="AI19" i="8"/>
  <c r="AZ21" i="8"/>
  <c r="AJ20" i="8"/>
  <c r="AK20" i="8"/>
  <c r="BI24" i="8"/>
  <c r="V16" i="8"/>
  <c r="AW20" i="8"/>
  <c r="BA23" i="8"/>
  <c r="BF22" i="8"/>
  <c r="AQ19" i="8"/>
  <c r="AN19" i="8"/>
  <c r="V17" i="8"/>
  <c r="AE17" i="8"/>
  <c r="AS21" i="8"/>
  <c r="AV21" i="8"/>
  <c r="AH18" i="8"/>
  <c r="Y18" i="8"/>
  <c r="AN18" i="8"/>
  <c r="AF19" i="8"/>
  <c r="AB16" i="8"/>
  <c r="AU21" i="8"/>
  <c r="AT20" i="8"/>
  <c r="AN20" i="8"/>
  <c r="BA22" i="8"/>
  <c r="AC19" i="8"/>
  <c r="BL24" i="8"/>
  <c r="AZ22" i="8"/>
  <c r="BR24" i="8"/>
  <c r="AR21" i="8"/>
  <c r="AR20" i="8"/>
  <c r="BD23" i="8"/>
  <c r="AU22" i="8"/>
  <c r="AX22" i="8"/>
  <c r="Z18" i="8"/>
  <c r="BC21" i="8"/>
  <c r="BL23" i="8"/>
  <c r="Y16" i="8"/>
  <c r="S17" i="8"/>
  <c r="W17" i="8"/>
  <c r="AT21" i="8"/>
  <c r="AC18" i="8"/>
  <c r="AK18" i="8"/>
  <c r="AH19" i="8"/>
  <c r="K14" i="17" l="1"/>
  <c r="ED11" i="3"/>
  <c r="EI11" i="3"/>
  <c r="EJ11" i="3"/>
  <c r="EE11" i="3"/>
  <c r="EK11" i="3"/>
  <c r="EL11" i="3"/>
  <c r="EN11" i="3"/>
  <c r="EF11" i="3"/>
  <c r="EM11" i="3"/>
  <c r="DY11" i="3"/>
  <c r="J3" i="3"/>
  <c r="J5" i="3"/>
  <c r="AC17" i="24"/>
  <c r="AC6" i="19"/>
  <c r="AB3" i="19"/>
  <c r="AB5" i="19"/>
  <c r="K6" i="3"/>
  <c r="C21" i="22"/>
  <c r="D22" i="22"/>
  <c r="DW11" i="3"/>
  <c r="DC11" i="3"/>
  <c r="DZ11" i="3"/>
  <c r="EA11" i="3"/>
  <c r="DM11" i="3"/>
  <c r="DI11" i="3"/>
  <c r="EC11" i="3"/>
  <c r="DO11" i="3"/>
  <c r="DA11" i="3"/>
  <c r="DX11" i="3"/>
  <c r="CW11" i="3"/>
  <c r="DG11" i="3"/>
  <c r="DS11" i="3"/>
  <c r="EB11" i="3"/>
  <c r="DV11" i="3"/>
  <c r="DT11" i="3"/>
  <c r="DH11" i="3"/>
  <c r="DR11" i="3"/>
  <c r="DN11" i="3"/>
  <c r="DU11" i="3"/>
  <c r="DB11" i="3"/>
  <c r="CZ11" i="3"/>
  <c r="CU11" i="3"/>
  <c r="DD11" i="3"/>
  <c r="DK11" i="3"/>
  <c r="CS11" i="3"/>
  <c r="DP11" i="3"/>
  <c r="CT11" i="3"/>
  <c r="CX11" i="3"/>
  <c r="DJ11" i="3"/>
  <c r="CY11" i="3"/>
  <c r="DE11" i="3"/>
  <c r="CV11" i="3"/>
  <c r="DQ11" i="3"/>
  <c r="DF11" i="3"/>
  <c r="DL11" i="3"/>
  <c r="CK9" i="3"/>
  <c r="CL9" i="3"/>
  <c r="L6" i="3"/>
  <c r="B25" i="17"/>
  <c r="B23" i="17"/>
  <c r="B24" i="17"/>
  <c r="B22" i="17"/>
  <c r="J6" i="10"/>
  <c r="K3" i="3"/>
  <c r="D13" i="14"/>
  <c r="C12" i="14"/>
  <c r="M14" i="17" l="1"/>
  <c r="L14" i="17"/>
  <c r="K5" i="3"/>
  <c r="AD6" i="19"/>
  <c r="AD17" i="24"/>
  <c r="AC3" i="19"/>
  <c r="AC5" i="19"/>
  <c r="C22" i="22"/>
  <c r="D23" i="22"/>
  <c r="M48" i="14"/>
  <c r="M6" i="3"/>
  <c r="K6" i="10"/>
  <c r="L3" i="3"/>
  <c r="C13" i="14"/>
  <c r="D14" i="14"/>
  <c r="L5" i="3"/>
  <c r="N14" i="17" l="1"/>
  <c r="AE17" i="24"/>
  <c r="AE6" i="19"/>
  <c r="AD5" i="19"/>
  <c r="AD3" i="19"/>
  <c r="C23" i="22"/>
  <c r="D24" i="22"/>
  <c r="M3" i="3"/>
  <c r="L6" i="10"/>
  <c r="F13" i="8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AH13" i="8" s="1"/>
  <c r="AI13" i="8" s="1"/>
  <c r="AJ13" i="8" s="1"/>
  <c r="AK13" i="8" s="1"/>
  <c r="AL13" i="8" s="1"/>
  <c r="AM13" i="8" s="1"/>
  <c r="AN13" i="8" s="1"/>
  <c r="AO13" i="8" s="1"/>
  <c r="AP13" i="8" s="1"/>
  <c r="AQ13" i="8" s="1"/>
  <c r="AR13" i="8" s="1"/>
  <c r="AS13" i="8" s="1"/>
  <c r="AT13" i="8" s="1"/>
  <c r="AU13" i="8" s="1"/>
  <c r="AV13" i="8" s="1"/>
  <c r="AW13" i="8" s="1"/>
  <c r="AX13" i="8" s="1"/>
  <c r="AY13" i="8" s="1"/>
  <c r="AZ13" i="8" s="1"/>
  <c r="BA13" i="8" s="1"/>
  <c r="BB13" i="8" s="1"/>
  <c r="BC13" i="8" s="1"/>
  <c r="BD13" i="8" s="1"/>
  <c r="BE13" i="8" s="1"/>
  <c r="BF13" i="8" s="1"/>
  <c r="BG13" i="8" s="1"/>
  <c r="BH13" i="8" s="1"/>
  <c r="BI13" i="8" s="1"/>
  <c r="BJ13" i="8" s="1"/>
  <c r="BK13" i="8" s="1"/>
  <c r="BL13" i="8" s="1"/>
  <c r="BM13" i="8" s="1"/>
  <c r="BN13" i="8" s="1"/>
  <c r="BO13" i="8" s="1"/>
  <c r="BP13" i="8" s="1"/>
  <c r="BQ13" i="8" s="1"/>
  <c r="BR13" i="8" s="1"/>
  <c r="BS13" i="8" s="1"/>
  <c r="BT13" i="8" s="1"/>
  <c r="BU13" i="8" s="1"/>
  <c r="BV13" i="8" s="1"/>
  <c r="BW13" i="8" s="1"/>
  <c r="BX13" i="8" s="1"/>
  <c r="BY13" i="8" s="1"/>
  <c r="BZ13" i="8" s="1"/>
  <c r="CA13" i="8" s="1"/>
  <c r="CB13" i="8" s="1"/>
  <c r="CC13" i="8" s="1"/>
  <c r="CD13" i="8" s="1"/>
  <c r="CE13" i="8" s="1"/>
  <c r="CF13" i="8" s="1"/>
  <c r="CG13" i="8" s="1"/>
  <c r="CH13" i="8" s="1"/>
  <c r="CI13" i="8" s="1"/>
  <c r="CJ13" i="8" s="1"/>
  <c r="CK13" i="8" s="1"/>
  <c r="CL13" i="8" s="1"/>
  <c r="CM13" i="8" s="1"/>
  <c r="CN13" i="8" s="1"/>
  <c r="CO13" i="8" s="1"/>
  <c r="CP13" i="8" s="1"/>
  <c r="CQ13" i="8" s="1"/>
  <c r="CR13" i="8" s="1"/>
  <c r="CS13" i="8" s="1"/>
  <c r="CT13" i="8" s="1"/>
  <c r="CU13" i="8" s="1"/>
  <c r="CV13" i="8" s="1"/>
  <c r="CW13" i="8" s="1"/>
  <c r="CX13" i="8" s="1"/>
  <c r="CY13" i="8" s="1"/>
  <c r="CZ13" i="8" s="1"/>
  <c r="DA13" i="8" s="1"/>
  <c r="DB13" i="8" s="1"/>
  <c r="DC13" i="8" s="1"/>
  <c r="DD13" i="8" s="1"/>
  <c r="DE13" i="8" s="1"/>
  <c r="DF13" i="8" s="1"/>
  <c r="DG13" i="8" s="1"/>
  <c r="DH13" i="8" s="1"/>
  <c r="DI13" i="8" s="1"/>
  <c r="DJ13" i="8" s="1"/>
  <c r="DK13" i="8" s="1"/>
  <c r="DL13" i="8" s="1"/>
  <c r="DM13" i="8" s="1"/>
  <c r="DN13" i="8" s="1"/>
  <c r="DO13" i="8" s="1"/>
  <c r="DP13" i="8" s="1"/>
  <c r="DQ13" i="8" s="1"/>
  <c r="DR13" i="8" s="1"/>
  <c r="DS13" i="8" s="1"/>
  <c r="DT13" i="8" s="1"/>
  <c r="DU13" i="8" s="1"/>
  <c r="DV13" i="8" s="1"/>
  <c r="DW13" i="8" s="1"/>
  <c r="DX13" i="8" s="1"/>
  <c r="DY13" i="8" s="1"/>
  <c r="DZ13" i="8" s="1"/>
  <c r="EA13" i="8" s="1"/>
  <c r="EB13" i="8" s="1"/>
  <c r="EC13" i="8" s="1"/>
  <c r="ED13" i="8" s="1"/>
  <c r="EE13" i="8" s="1"/>
  <c r="EF13" i="8" s="1"/>
  <c r="EG13" i="8" s="1"/>
  <c r="EH13" i="8" s="1"/>
  <c r="EI13" i="8" s="1"/>
  <c r="EJ13" i="8" s="1"/>
  <c r="EK13" i="8" s="1"/>
  <c r="EL13" i="8" s="1"/>
  <c r="EM13" i="8" s="1"/>
  <c r="EN13" i="8" s="1"/>
  <c r="EO13" i="8" s="1"/>
  <c r="EP13" i="8" s="1"/>
  <c r="EQ13" i="8" s="1"/>
  <c r="D15" i="14"/>
  <c r="C14" i="14"/>
  <c r="N6" i="3"/>
  <c r="M5" i="3"/>
  <c r="O14" i="17" l="1"/>
  <c r="AF17" i="24"/>
  <c r="AF6" i="19"/>
  <c r="AE5" i="19"/>
  <c r="AE3" i="19"/>
  <c r="C24" i="22"/>
  <c r="D25" i="22"/>
  <c r="N3" i="3"/>
  <c r="M6" i="10"/>
  <c r="D16" i="14"/>
  <c r="C15" i="14"/>
  <c r="O6" i="3"/>
  <c r="N5" i="3"/>
  <c r="P14" i="17" l="1"/>
  <c r="AG17" i="24"/>
  <c r="AG6" i="19"/>
  <c r="AF5" i="19"/>
  <c r="AF3" i="19"/>
  <c r="C25" i="22"/>
  <c r="D26" i="22"/>
  <c r="O3" i="3"/>
  <c r="N6" i="10"/>
  <c r="D17" i="14"/>
  <c r="C16" i="14"/>
  <c r="P6" i="3"/>
  <c r="O5" i="3"/>
  <c r="Q14" i="17" l="1"/>
  <c r="AH17" i="24"/>
  <c r="AH6" i="19"/>
  <c r="AG3" i="19"/>
  <c r="AG5" i="19"/>
  <c r="C26" i="22"/>
  <c r="D27" i="22"/>
  <c r="P3" i="3"/>
  <c r="O6" i="10"/>
  <c r="C17" i="14"/>
  <c r="D18" i="14"/>
  <c r="Q6" i="3"/>
  <c r="P5" i="3"/>
  <c r="R14" i="17" l="1"/>
  <c r="AI17" i="24"/>
  <c r="AI6" i="19"/>
  <c r="AH5" i="19"/>
  <c r="AH3" i="19"/>
  <c r="C27" i="22"/>
  <c r="D28" i="22"/>
  <c r="P6" i="10"/>
  <c r="Q3" i="3"/>
  <c r="C18" i="14"/>
  <c r="D19" i="14"/>
  <c r="R6" i="3"/>
  <c r="Q5" i="3"/>
  <c r="S14" i="17" l="1"/>
  <c r="AJ17" i="24"/>
  <c r="AJ6" i="19"/>
  <c r="AI3" i="19"/>
  <c r="AI5" i="19"/>
  <c r="C28" i="22"/>
  <c r="D29" i="22"/>
  <c r="R3" i="3"/>
  <c r="Q6" i="10"/>
  <c r="C19" i="14"/>
  <c r="D20" i="14"/>
  <c r="S6" i="3"/>
  <c r="R5" i="3"/>
  <c r="T14" i="17" l="1"/>
  <c r="AK17" i="24"/>
  <c r="AK6" i="19"/>
  <c r="AJ3" i="19"/>
  <c r="AJ5" i="19"/>
  <c r="C29" i="22"/>
  <c r="D30" i="22"/>
  <c r="S3" i="3"/>
  <c r="R6" i="10"/>
  <c r="D21" i="14"/>
  <c r="C20" i="14"/>
  <c r="T6" i="3"/>
  <c r="S5" i="3"/>
  <c r="U14" i="17" l="1"/>
  <c r="AL17" i="24"/>
  <c r="AL6" i="19"/>
  <c r="AK3" i="19"/>
  <c r="AK5" i="19"/>
  <c r="C30" i="22"/>
  <c r="D31" i="22"/>
  <c r="T3" i="3"/>
  <c r="S6" i="10"/>
  <c r="D22" i="14"/>
  <c r="C21" i="14"/>
  <c r="U6" i="3"/>
  <c r="T5" i="3"/>
  <c r="V14" i="17" l="1"/>
  <c r="AM17" i="24"/>
  <c r="AM6" i="19"/>
  <c r="AL5" i="19"/>
  <c r="AL3" i="19"/>
  <c r="C31" i="22"/>
  <c r="D32" i="22"/>
  <c r="T6" i="10"/>
  <c r="U3" i="3"/>
  <c r="D23" i="14"/>
  <c r="C22" i="14"/>
  <c r="V6" i="3"/>
  <c r="U5" i="3"/>
  <c r="W14" i="17" l="1"/>
  <c r="AN17" i="24"/>
  <c r="AN6" i="19"/>
  <c r="AM5" i="19"/>
  <c r="AM3" i="19"/>
  <c r="C32" i="22"/>
  <c r="D33" i="22"/>
  <c r="V3" i="3"/>
  <c r="U6" i="10"/>
  <c r="C23" i="14"/>
  <c r="D24" i="14"/>
  <c r="W6" i="3"/>
  <c r="V5" i="3"/>
  <c r="X14" i="17" l="1"/>
  <c r="AO17" i="24"/>
  <c r="AO6" i="19"/>
  <c r="AN5" i="19"/>
  <c r="AN3" i="19"/>
  <c r="C33" i="22"/>
  <c r="D34" i="22"/>
  <c r="W3" i="3"/>
  <c r="V6" i="10"/>
  <c r="D25" i="14"/>
  <c r="C24" i="14"/>
  <c r="X6" i="3"/>
  <c r="W5" i="3"/>
  <c r="Y14" i="17" l="1"/>
  <c r="AP17" i="24"/>
  <c r="AP6" i="19"/>
  <c r="AO3" i="19"/>
  <c r="AO5" i="19"/>
  <c r="C34" i="22"/>
  <c r="D35" i="22"/>
  <c r="X3" i="3"/>
  <c r="W6" i="10"/>
  <c r="D26" i="14"/>
  <c r="C25" i="14"/>
  <c r="Y6" i="3"/>
  <c r="X5" i="3"/>
  <c r="Z14" i="17" l="1"/>
  <c r="AQ17" i="24"/>
  <c r="AQ6" i="19"/>
  <c r="AP3" i="19"/>
  <c r="AP5" i="19"/>
  <c r="C35" i="22"/>
  <c r="D36" i="22"/>
  <c r="X6" i="10"/>
  <c r="Y3" i="3"/>
  <c r="D27" i="14"/>
  <c r="C26" i="14"/>
  <c r="Z6" i="3"/>
  <c r="Y5" i="3"/>
  <c r="AA14" i="17" l="1"/>
  <c r="AR17" i="24"/>
  <c r="AR6" i="19"/>
  <c r="AQ3" i="19"/>
  <c r="AQ5" i="19"/>
  <c r="C36" i="22"/>
  <c r="D37" i="22"/>
  <c r="Z3" i="3"/>
  <c r="Y6" i="10"/>
  <c r="D28" i="14"/>
  <c r="C27" i="14"/>
  <c r="AA6" i="3"/>
  <c r="Z5" i="3"/>
  <c r="AB14" i="17" l="1"/>
  <c r="AS6" i="19"/>
  <c r="AS17" i="24"/>
  <c r="AR3" i="19"/>
  <c r="AR5" i="19"/>
  <c r="C37" i="22"/>
  <c r="D38" i="22"/>
  <c r="Z6" i="10"/>
  <c r="AA3" i="3"/>
  <c r="C28" i="14"/>
  <c r="D29" i="14"/>
  <c r="AB6" i="3"/>
  <c r="AA5" i="3"/>
  <c r="AC14" i="17" l="1"/>
  <c r="AT6" i="19"/>
  <c r="AT17" i="24"/>
  <c r="AS3" i="19"/>
  <c r="AS5" i="19"/>
  <c r="C38" i="22"/>
  <c r="D39" i="22"/>
  <c r="AA6" i="10"/>
  <c r="AB3" i="3"/>
  <c r="C29" i="14"/>
  <c r="D30" i="14"/>
  <c r="AC6" i="3"/>
  <c r="AB5" i="3"/>
  <c r="AD14" i="17" l="1"/>
  <c r="AU17" i="24"/>
  <c r="AU6" i="19"/>
  <c r="AT5" i="19"/>
  <c r="AT3" i="19"/>
  <c r="C39" i="22"/>
  <c r="D40" i="22"/>
  <c r="AC3" i="3"/>
  <c r="AB6" i="10"/>
  <c r="D31" i="14"/>
  <c r="C30" i="14"/>
  <c r="AD6" i="3"/>
  <c r="AC5" i="3"/>
  <c r="AE14" i="17" l="1"/>
  <c r="AV17" i="24"/>
  <c r="AV6" i="19"/>
  <c r="AU3" i="19"/>
  <c r="AU5" i="19"/>
  <c r="C40" i="22"/>
  <c r="D41" i="22"/>
  <c r="AD3" i="3"/>
  <c r="AC6" i="10"/>
  <c r="D32" i="14"/>
  <c r="C31" i="14"/>
  <c r="AE6" i="3"/>
  <c r="AD5" i="3"/>
  <c r="AF14" i="17" l="1"/>
  <c r="AW17" i="24"/>
  <c r="AW6" i="19"/>
  <c r="AV5" i="19"/>
  <c r="AV3" i="19"/>
  <c r="C41" i="22"/>
  <c r="D42" i="22"/>
  <c r="AE3" i="3"/>
  <c r="C32" i="14"/>
  <c r="D33" i="14"/>
  <c r="AF6" i="3"/>
  <c r="AE5" i="3"/>
  <c r="AG14" i="17" l="1"/>
  <c r="AX17" i="24"/>
  <c r="AX6" i="19"/>
  <c r="AW3" i="19"/>
  <c r="AW5" i="19"/>
  <c r="C42" i="22"/>
  <c r="D43" i="22"/>
  <c r="AF3" i="3"/>
  <c r="D34" i="14"/>
  <c r="C33" i="14"/>
  <c r="AG6" i="3"/>
  <c r="AF5" i="3"/>
  <c r="AH14" i="17" l="1"/>
  <c r="AY17" i="24"/>
  <c r="AY6" i="19"/>
  <c r="AX5" i="19"/>
  <c r="AX3" i="19"/>
  <c r="C43" i="22"/>
  <c r="D44" i="22"/>
  <c r="AG3" i="3"/>
  <c r="C34" i="14"/>
  <c r="D35" i="14"/>
  <c r="AH6" i="3"/>
  <c r="AG5" i="3"/>
  <c r="AI14" i="17" l="1"/>
  <c r="AZ17" i="24"/>
  <c r="AZ6" i="19"/>
  <c r="AY3" i="19"/>
  <c r="AY5" i="19"/>
  <c r="C44" i="22"/>
  <c r="D45" i="22"/>
  <c r="AH3" i="3"/>
  <c r="C35" i="14"/>
  <c r="D36" i="14"/>
  <c r="AI6" i="3"/>
  <c r="AH5" i="3"/>
  <c r="AJ14" i="17" l="1"/>
  <c r="BA17" i="24"/>
  <c r="BA6" i="19"/>
  <c r="AZ3" i="19"/>
  <c r="AZ5" i="19"/>
  <c r="C45" i="22"/>
  <c r="D46" i="22"/>
  <c r="AI3" i="3"/>
  <c r="D37" i="14"/>
  <c r="C36" i="14"/>
  <c r="AJ6" i="3"/>
  <c r="AI5" i="3"/>
  <c r="AK14" i="17" l="1"/>
  <c r="BB6" i="19"/>
  <c r="BB17" i="24"/>
  <c r="BA3" i="19"/>
  <c r="BA5" i="19"/>
  <c r="C46" i="22"/>
  <c r="D47" i="22"/>
  <c r="AJ3" i="3"/>
  <c r="D38" i="14"/>
  <c r="C37" i="14"/>
  <c r="AK6" i="3"/>
  <c r="AJ5" i="3"/>
  <c r="AL14" i="17" l="1"/>
  <c r="BC17" i="24"/>
  <c r="BC6" i="19"/>
  <c r="BB5" i="19"/>
  <c r="BB3" i="19"/>
  <c r="C47" i="22"/>
  <c r="D48" i="22"/>
  <c r="AK3" i="3"/>
  <c r="D39" i="14"/>
  <c r="C38" i="14"/>
  <c r="AL6" i="3"/>
  <c r="AK5" i="3"/>
  <c r="AM14" i="17" l="1"/>
  <c r="BD17" i="24"/>
  <c r="BD6" i="19"/>
  <c r="BC5" i="19"/>
  <c r="BC3" i="19"/>
  <c r="C48" i="22"/>
  <c r="D49" i="22"/>
  <c r="AL3" i="3"/>
  <c r="C39" i="14"/>
  <c r="D40" i="14"/>
  <c r="AM6" i="3"/>
  <c r="AL5" i="3"/>
  <c r="AN14" i="17" l="1"/>
  <c r="BE17" i="24"/>
  <c r="BE6" i="19"/>
  <c r="BD3" i="19"/>
  <c r="BD5" i="19"/>
  <c r="C49" i="22"/>
  <c r="D50" i="22"/>
  <c r="AM3" i="3"/>
  <c r="D41" i="14"/>
  <c r="C40" i="14"/>
  <c r="AN6" i="3"/>
  <c r="AM5" i="3"/>
  <c r="AO14" i="17" l="1"/>
  <c r="BF17" i="24"/>
  <c r="BF6" i="19"/>
  <c r="BE3" i="19"/>
  <c r="BE5" i="19"/>
  <c r="C50" i="22"/>
  <c r="D51" i="22"/>
  <c r="AN3" i="3"/>
  <c r="D42" i="14"/>
  <c r="C41" i="14"/>
  <c r="AN5" i="3"/>
  <c r="AO6" i="3"/>
  <c r="AP14" i="17" l="1"/>
  <c r="BG17" i="24"/>
  <c r="BG6" i="19"/>
  <c r="BF3" i="19"/>
  <c r="BF5" i="19"/>
  <c r="C51" i="22"/>
  <c r="D52" i="22"/>
  <c r="AO3" i="3"/>
  <c r="D43" i="14"/>
  <c r="C42" i="14"/>
  <c r="AP6" i="3"/>
  <c r="AO5" i="3"/>
  <c r="AQ14" i="17" l="1"/>
  <c r="BH6" i="19"/>
  <c r="BH17" i="24"/>
  <c r="BG3" i="19"/>
  <c r="BG5" i="19"/>
  <c r="C52" i="22"/>
  <c r="D53" i="22"/>
  <c r="AP5" i="3"/>
  <c r="AP3" i="3"/>
  <c r="D44" i="14"/>
  <c r="C43" i="14"/>
  <c r="AQ6" i="3"/>
  <c r="AR14" i="17" l="1"/>
  <c r="BI17" i="24"/>
  <c r="BI6" i="19"/>
  <c r="BH3" i="19"/>
  <c r="BH5" i="19"/>
  <c r="C53" i="22"/>
  <c r="D54" i="22"/>
  <c r="AQ3" i="3"/>
  <c r="C44" i="14"/>
  <c r="D45" i="14"/>
  <c r="AR6" i="3"/>
  <c r="AQ5" i="3"/>
  <c r="AS14" i="17" l="1"/>
  <c r="BJ6" i="19"/>
  <c r="BJ17" i="24"/>
  <c r="BI3" i="19"/>
  <c r="BI5" i="19"/>
  <c r="C54" i="22"/>
  <c r="D55" i="22"/>
  <c r="AR3" i="3"/>
  <c r="C45" i="14"/>
  <c r="D46" i="14"/>
  <c r="AS6" i="3"/>
  <c r="AR5" i="3"/>
  <c r="AT14" i="17" l="1"/>
  <c r="BK17" i="24"/>
  <c r="BK6" i="19"/>
  <c r="BJ5" i="19"/>
  <c r="BJ3" i="19"/>
  <c r="C55" i="22"/>
  <c r="D56" i="22"/>
  <c r="AS3" i="3"/>
  <c r="C46" i="14"/>
  <c r="D47" i="14"/>
  <c r="AT6" i="3"/>
  <c r="AS5" i="3"/>
  <c r="AU14" i="17" l="1"/>
  <c r="BL17" i="24"/>
  <c r="BL6" i="19"/>
  <c r="BK5" i="19"/>
  <c r="BK3" i="19"/>
  <c r="C56" i="22"/>
  <c r="D57" i="22"/>
  <c r="AT3" i="3"/>
  <c r="D48" i="14"/>
  <c r="C47" i="14"/>
  <c r="AU6" i="3"/>
  <c r="AT5" i="3"/>
  <c r="AV14" i="17" l="1"/>
  <c r="BM17" i="24"/>
  <c r="BM6" i="19"/>
  <c r="BL3" i="19"/>
  <c r="BL5" i="19"/>
  <c r="C57" i="22"/>
  <c r="D58" i="22"/>
  <c r="AU3" i="3"/>
  <c r="C48" i="14"/>
  <c r="D49" i="14"/>
  <c r="AV6" i="3"/>
  <c r="AU5" i="3"/>
  <c r="AW14" i="17" l="1"/>
  <c r="BN17" i="24"/>
  <c r="BN6" i="19"/>
  <c r="BM3" i="19"/>
  <c r="BM5" i="19"/>
  <c r="C58" i="22"/>
  <c r="D59" i="22"/>
  <c r="AV3" i="3"/>
  <c r="D50" i="14"/>
  <c r="C49" i="14"/>
  <c r="AW6" i="3"/>
  <c r="AV5" i="3"/>
  <c r="AX14" i="17" l="1"/>
  <c r="BO17" i="24"/>
  <c r="BO6" i="19"/>
  <c r="BN3" i="19"/>
  <c r="BN5" i="19"/>
  <c r="C59" i="22"/>
  <c r="D60" i="22"/>
  <c r="AW3" i="3"/>
  <c r="C50" i="14"/>
  <c r="D51" i="14"/>
  <c r="AX6" i="3"/>
  <c r="AW5" i="3"/>
  <c r="AY14" i="17" l="1"/>
  <c r="BP17" i="24"/>
  <c r="BP6" i="19"/>
  <c r="BO3" i="19"/>
  <c r="BO5" i="19"/>
  <c r="C60" i="22"/>
  <c r="D61" i="22"/>
  <c r="AX3" i="3"/>
  <c r="D52" i="14"/>
  <c r="C51" i="14"/>
  <c r="AY6" i="3"/>
  <c r="AX5" i="3"/>
  <c r="AZ14" i="17" l="1"/>
  <c r="BQ17" i="24"/>
  <c r="BQ6" i="19"/>
  <c r="BP3" i="19"/>
  <c r="BP5" i="19"/>
  <c r="C61" i="22"/>
  <c r="D62" i="22"/>
  <c r="AY3" i="3"/>
  <c r="D53" i="14"/>
  <c r="C52" i="14"/>
  <c r="AZ6" i="3"/>
  <c r="AY5" i="3"/>
  <c r="BA14" i="17" l="1"/>
  <c r="BR6" i="19"/>
  <c r="BR17" i="24"/>
  <c r="BQ3" i="19"/>
  <c r="BQ5" i="19"/>
  <c r="C62" i="22"/>
  <c r="D63" i="22"/>
  <c r="AZ3" i="3"/>
  <c r="D54" i="14"/>
  <c r="C53" i="14"/>
  <c r="BA6" i="3"/>
  <c r="AZ5" i="3"/>
  <c r="BB14" i="17" l="1"/>
  <c r="BS17" i="24"/>
  <c r="BS6" i="19"/>
  <c r="BR5" i="19"/>
  <c r="BR3" i="19"/>
  <c r="C63" i="22"/>
  <c r="D64" i="22"/>
  <c r="BA3" i="3"/>
  <c r="D55" i="14"/>
  <c r="C54" i="14"/>
  <c r="BB6" i="3"/>
  <c r="BA5" i="3"/>
  <c r="BC14" i="17" l="1"/>
  <c r="BT17" i="24"/>
  <c r="BT6" i="19"/>
  <c r="BS3" i="19"/>
  <c r="BS5" i="19"/>
  <c r="C64" i="22"/>
  <c r="D65" i="22"/>
  <c r="BB3" i="3"/>
  <c r="C55" i="14"/>
  <c r="D56" i="14"/>
  <c r="BC6" i="3"/>
  <c r="BB5" i="3"/>
  <c r="BD14" i="17" l="1"/>
  <c r="BU17" i="24"/>
  <c r="BU6" i="19"/>
  <c r="BT5" i="19"/>
  <c r="BT3" i="19"/>
  <c r="C65" i="22"/>
  <c r="D66" i="22"/>
  <c r="BC3" i="3"/>
  <c r="C56" i="14"/>
  <c r="D57" i="14"/>
  <c r="BD6" i="3"/>
  <c r="BC5" i="3"/>
  <c r="BE14" i="17" l="1"/>
  <c r="BV17" i="24"/>
  <c r="BV6" i="19"/>
  <c r="BU3" i="19"/>
  <c r="BU5" i="19"/>
  <c r="C66" i="22"/>
  <c r="D67" i="22"/>
  <c r="BD3" i="3"/>
  <c r="D58" i="14"/>
  <c r="C57" i="14"/>
  <c r="BE6" i="3"/>
  <c r="BD5" i="3"/>
  <c r="BF14" i="17" l="1"/>
  <c r="BW17" i="24"/>
  <c r="BW6" i="19"/>
  <c r="BV3" i="19"/>
  <c r="BV5" i="19"/>
  <c r="C67" i="22"/>
  <c r="D68" i="22"/>
  <c r="BE3" i="3"/>
  <c r="D59" i="14"/>
  <c r="C58" i="14"/>
  <c r="BF6" i="3"/>
  <c r="BE5" i="3"/>
  <c r="BG14" i="17" l="1"/>
  <c r="BX17" i="24"/>
  <c r="BX6" i="19"/>
  <c r="BW3" i="19"/>
  <c r="BW5" i="19"/>
  <c r="C68" i="22"/>
  <c r="D69" i="22"/>
  <c r="BF3" i="3"/>
  <c r="C59" i="14"/>
  <c r="D60" i="14"/>
  <c r="BG6" i="3"/>
  <c r="BF5" i="3"/>
  <c r="BH14" i="17" l="1"/>
  <c r="BY6" i="19"/>
  <c r="BY17" i="24"/>
  <c r="BX3" i="19"/>
  <c r="BX5" i="19"/>
  <c r="C69" i="22"/>
  <c r="D70" i="22"/>
  <c r="BG3" i="3"/>
  <c r="C60" i="14"/>
  <c r="D61" i="14"/>
  <c r="BH6" i="3"/>
  <c r="BG5" i="3"/>
  <c r="BI14" i="17" l="1"/>
  <c r="BZ6" i="19"/>
  <c r="BZ17" i="24"/>
  <c r="BY3" i="19"/>
  <c r="BY5" i="19"/>
  <c r="C70" i="22"/>
  <c r="D71" i="22"/>
  <c r="BH3" i="3"/>
  <c r="C61" i="14"/>
  <c r="D62" i="14"/>
  <c r="BI6" i="3"/>
  <c r="BH5" i="3"/>
  <c r="BJ14" i="17" l="1"/>
  <c r="CA17" i="24"/>
  <c r="CA6" i="19"/>
  <c r="BZ5" i="19"/>
  <c r="BZ3" i="19"/>
  <c r="C71" i="22"/>
  <c r="D72" i="22"/>
  <c r="BI3" i="3"/>
  <c r="C62" i="14"/>
  <c r="D63" i="14"/>
  <c r="BJ6" i="3"/>
  <c r="BI5" i="3"/>
  <c r="BK14" i="17" l="1"/>
  <c r="CB17" i="24"/>
  <c r="CB6" i="19"/>
  <c r="CA3" i="19"/>
  <c r="CA5" i="19"/>
  <c r="C72" i="22"/>
  <c r="D73" i="22"/>
  <c r="BJ3" i="3"/>
  <c r="D64" i="14"/>
  <c r="C63" i="14"/>
  <c r="BK6" i="3"/>
  <c r="BJ5" i="3"/>
  <c r="BL14" i="17" l="1"/>
  <c r="CC17" i="24"/>
  <c r="CC6" i="19"/>
  <c r="CB3" i="19"/>
  <c r="CB5" i="19"/>
  <c r="C73" i="22"/>
  <c r="D74" i="22"/>
  <c r="BK3" i="3"/>
  <c r="D65" i="14"/>
  <c r="C64" i="14"/>
  <c r="BL6" i="3"/>
  <c r="BK5" i="3"/>
  <c r="BM14" i="17" l="1"/>
  <c r="CD17" i="24"/>
  <c r="CD6" i="19"/>
  <c r="CC3" i="19"/>
  <c r="CC5" i="19"/>
  <c r="C74" i="22"/>
  <c r="D75" i="22"/>
  <c r="BL3" i="3"/>
  <c r="D66" i="14"/>
  <c r="C65" i="14"/>
  <c r="BM6" i="3"/>
  <c r="BL5" i="3"/>
  <c r="BN14" i="17" l="1"/>
  <c r="CE17" i="24"/>
  <c r="CE6" i="19"/>
  <c r="CD3" i="19"/>
  <c r="CD5" i="19"/>
  <c r="C75" i="22"/>
  <c r="D76" i="22"/>
  <c r="BM3" i="3"/>
  <c r="C66" i="14"/>
  <c r="D67" i="14"/>
  <c r="BN6" i="3"/>
  <c r="BM5" i="3"/>
  <c r="BO14" i="17" l="1"/>
  <c r="CF17" i="24"/>
  <c r="CF6" i="19"/>
  <c r="CE3" i="19"/>
  <c r="CE5" i="19"/>
  <c r="C76" i="22"/>
  <c r="D77" i="22"/>
  <c r="BN3" i="3"/>
  <c r="C67" i="14"/>
  <c r="D68" i="14"/>
  <c r="BO6" i="3"/>
  <c r="BN5" i="3"/>
  <c r="BP14" i="17" l="1"/>
  <c r="CG17" i="24"/>
  <c r="CG6" i="19"/>
  <c r="CF3" i="19"/>
  <c r="CF5" i="19"/>
  <c r="C77" i="22"/>
  <c r="D78" i="22"/>
  <c r="BO3" i="3"/>
  <c r="D69" i="14"/>
  <c r="C68" i="14"/>
  <c r="BP6" i="3"/>
  <c r="BO5" i="3"/>
  <c r="BQ14" i="17" l="1"/>
  <c r="CH17" i="24"/>
  <c r="CH6" i="19"/>
  <c r="CG3" i="19"/>
  <c r="CG5" i="19"/>
  <c r="C78" i="22"/>
  <c r="D79" i="22"/>
  <c r="BP3" i="3"/>
  <c r="D70" i="14"/>
  <c r="C69" i="14"/>
  <c r="BQ6" i="3"/>
  <c r="BP5" i="3"/>
  <c r="BR14" i="17" l="1"/>
  <c r="CI17" i="24"/>
  <c r="CI6" i="19"/>
  <c r="CH5" i="19"/>
  <c r="CH3" i="19"/>
  <c r="C79" i="22"/>
  <c r="D80" i="22"/>
  <c r="BQ3" i="3"/>
  <c r="C70" i="14"/>
  <c r="D71" i="14"/>
  <c r="BR6" i="3"/>
  <c r="BQ5" i="3"/>
  <c r="BS14" i="17" l="1"/>
  <c r="CJ17" i="24"/>
  <c r="CJ6" i="19"/>
  <c r="CI5" i="19"/>
  <c r="CI3" i="19"/>
  <c r="C80" i="22"/>
  <c r="D81" i="22"/>
  <c r="BR3" i="3"/>
  <c r="C71" i="14"/>
  <c r="D72" i="14"/>
  <c r="BS6" i="3"/>
  <c r="BR5" i="3"/>
  <c r="BT14" i="17" l="1"/>
  <c r="CK17" i="24"/>
  <c r="CK6" i="19"/>
  <c r="CJ3" i="19"/>
  <c r="CJ5" i="19"/>
  <c r="C81" i="22"/>
  <c r="D82" i="22"/>
  <c r="BS3" i="3"/>
  <c r="D73" i="14"/>
  <c r="C72" i="14"/>
  <c r="BT6" i="3"/>
  <c r="BS5" i="3"/>
  <c r="BU14" i="17" l="1"/>
  <c r="CL17" i="24"/>
  <c r="CL6" i="19"/>
  <c r="CK3" i="19"/>
  <c r="CK5" i="19"/>
  <c r="C82" i="22"/>
  <c r="D83" i="22"/>
  <c r="BT3" i="3"/>
  <c r="C73" i="14"/>
  <c r="D74" i="14"/>
  <c r="BU6" i="3"/>
  <c r="BT5" i="3"/>
  <c r="BV14" i="17" l="1"/>
  <c r="CM17" i="24"/>
  <c r="CM6" i="19"/>
  <c r="CL3" i="19"/>
  <c r="CL5" i="19"/>
  <c r="C83" i="22"/>
  <c r="D84" i="22"/>
  <c r="BU3" i="3"/>
  <c r="D75" i="14"/>
  <c r="C74" i="14"/>
  <c r="BV6" i="3"/>
  <c r="BU5" i="3"/>
  <c r="BW14" i="17" l="1"/>
  <c r="CN17" i="24"/>
  <c r="CN6" i="19"/>
  <c r="CM3" i="19"/>
  <c r="CM5" i="19"/>
  <c r="C84" i="22"/>
  <c r="D85" i="22"/>
  <c r="BV3" i="3"/>
  <c r="D76" i="14"/>
  <c r="C75" i="14"/>
  <c r="BW6" i="3"/>
  <c r="BV5" i="3"/>
  <c r="BX14" i="17" l="1"/>
  <c r="CO6" i="19"/>
  <c r="CO17" i="24"/>
  <c r="CN3" i="19"/>
  <c r="CN5" i="19"/>
  <c r="C85" i="22"/>
  <c r="D86" i="22"/>
  <c r="BW3" i="3"/>
  <c r="C76" i="14"/>
  <c r="D77" i="14"/>
  <c r="BX6" i="3"/>
  <c r="BW5" i="3"/>
  <c r="BY14" i="17" l="1"/>
  <c r="CP6" i="19"/>
  <c r="CP17" i="24"/>
  <c r="CO3" i="19"/>
  <c r="CO5" i="19"/>
  <c r="C86" i="22"/>
  <c r="D87" i="22"/>
  <c r="BX3" i="3"/>
  <c r="C77" i="14"/>
  <c r="D78" i="14"/>
  <c r="BY6" i="3"/>
  <c r="BX5" i="3"/>
  <c r="BZ14" i="17" l="1"/>
  <c r="CQ17" i="24"/>
  <c r="CQ6" i="19"/>
  <c r="CP5" i="19"/>
  <c r="CP3" i="19"/>
  <c r="C87" i="22"/>
  <c r="D88" i="22"/>
  <c r="BY3" i="3"/>
  <c r="D79" i="14"/>
  <c r="C78" i="14"/>
  <c r="BZ6" i="3"/>
  <c r="BY5" i="3"/>
  <c r="CA14" i="17" l="1"/>
  <c r="CR17" i="24"/>
  <c r="CR6" i="19"/>
  <c r="CQ3" i="19"/>
  <c r="CQ5" i="19"/>
  <c r="C88" i="22"/>
  <c r="D89" i="22"/>
  <c r="BZ3" i="3"/>
  <c r="D80" i="14"/>
  <c r="C79" i="14"/>
  <c r="CA6" i="3"/>
  <c r="BZ5" i="3"/>
  <c r="CB14" i="17" l="1"/>
  <c r="CS17" i="24"/>
  <c r="CS6" i="19"/>
  <c r="CR3" i="19"/>
  <c r="CR5" i="19"/>
  <c r="C89" i="22"/>
  <c r="D90" i="22"/>
  <c r="CA3" i="3"/>
  <c r="C80" i="14"/>
  <c r="D81" i="14"/>
  <c r="CB6" i="3"/>
  <c r="CA5" i="3"/>
  <c r="CC14" i="17" l="1"/>
  <c r="CT17" i="24"/>
  <c r="CT6" i="19"/>
  <c r="CS3" i="19"/>
  <c r="CS5" i="19"/>
  <c r="C90" i="22"/>
  <c r="D91" i="22"/>
  <c r="CB3" i="3"/>
  <c r="D82" i="14"/>
  <c r="C81" i="14"/>
  <c r="CC6" i="3"/>
  <c r="CB5" i="3"/>
  <c r="CD14" i="17" l="1"/>
  <c r="CU17" i="24"/>
  <c r="CU6" i="19"/>
  <c r="CT3" i="19"/>
  <c r="CT5" i="19"/>
  <c r="C91" i="22"/>
  <c r="D92" i="22"/>
  <c r="CC3" i="3"/>
  <c r="C82" i="14"/>
  <c r="D83" i="14"/>
  <c r="CD6" i="3"/>
  <c r="CC5" i="3"/>
  <c r="CE14" i="17" l="1"/>
  <c r="CV17" i="24"/>
  <c r="CV6" i="19"/>
  <c r="CU3" i="19"/>
  <c r="CU5" i="19"/>
  <c r="C92" i="22"/>
  <c r="D93" i="22"/>
  <c r="CD3" i="3"/>
  <c r="D84" i="14"/>
  <c r="C83" i="14"/>
  <c r="CE6" i="3"/>
  <c r="CD5" i="3"/>
  <c r="CF14" i="17" l="1"/>
  <c r="CW17" i="24"/>
  <c r="CW6" i="19"/>
  <c r="CV3" i="19"/>
  <c r="CV5" i="19"/>
  <c r="C93" i="22"/>
  <c r="D94" i="22"/>
  <c r="CE3" i="3"/>
  <c r="D85" i="14"/>
  <c r="C84" i="14"/>
  <c r="CF6" i="3"/>
  <c r="CE5" i="3"/>
  <c r="CG14" i="17" l="1"/>
  <c r="CX17" i="24"/>
  <c r="CX6" i="19"/>
  <c r="CW3" i="19"/>
  <c r="CW5" i="19"/>
  <c r="C94" i="22"/>
  <c r="D95" i="22"/>
  <c r="CF3" i="3"/>
  <c r="C85" i="14"/>
  <c r="D86" i="14"/>
  <c r="CG6" i="3"/>
  <c r="CF5" i="3"/>
  <c r="CH14" i="17" l="1"/>
  <c r="CY17" i="24"/>
  <c r="CY6" i="19"/>
  <c r="CX5" i="19"/>
  <c r="CX3" i="19"/>
  <c r="C95" i="22"/>
  <c r="D96" i="22"/>
  <c r="CG3" i="3"/>
  <c r="D87" i="14"/>
  <c r="C86" i="14"/>
  <c r="CH6" i="3"/>
  <c r="CG5" i="3"/>
  <c r="CI14" i="17" l="1"/>
  <c r="CZ17" i="24"/>
  <c r="CZ6" i="19"/>
  <c r="CY5" i="19"/>
  <c r="CY3" i="19"/>
  <c r="C96" i="22"/>
  <c r="D97" i="22"/>
  <c r="CH3" i="3"/>
  <c r="C87" i="14"/>
  <c r="D88" i="14"/>
  <c r="CI6" i="3"/>
  <c r="CH5" i="3"/>
  <c r="CJ14" i="17" l="1"/>
  <c r="DA17" i="24"/>
  <c r="DA6" i="19"/>
  <c r="CZ3" i="19"/>
  <c r="CZ5" i="19"/>
  <c r="C97" i="22"/>
  <c r="D98" i="22"/>
  <c r="CI3" i="3"/>
  <c r="D89" i="14"/>
  <c r="C88" i="14"/>
  <c r="CJ6" i="3"/>
  <c r="CI5" i="3"/>
  <c r="CK14" i="17" l="1"/>
  <c r="DB17" i="24"/>
  <c r="DB6" i="19"/>
  <c r="DA3" i="19"/>
  <c r="DA5" i="19"/>
  <c r="C98" i="22"/>
  <c r="D99" i="22"/>
  <c r="CJ3" i="3"/>
  <c r="C89" i="14"/>
  <c r="D90" i="14"/>
  <c r="CK6" i="3"/>
  <c r="CJ5" i="3"/>
  <c r="CL14" i="17" l="1"/>
  <c r="DC17" i="24"/>
  <c r="DC6" i="19"/>
  <c r="DB3" i="19"/>
  <c r="DB5" i="19"/>
  <c r="C99" i="22"/>
  <c r="D100" i="22"/>
  <c r="CK3" i="3"/>
  <c r="D91" i="14"/>
  <c r="C90" i="14"/>
  <c r="CL6" i="3"/>
  <c r="CK5" i="3"/>
  <c r="CM14" i="17" l="1"/>
  <c r="DD17" i="24"/>
  <c r="DD6" i="19"/>
  <c r="DC3" i="19"/>
  <c r="DC5" i="19"/>
  <c r="C100" i="22"/>
  <c r="D101" i="22"/>
  <c r="CL3" i="3"/>
  <c r="D92" i="14"/>
  <c r="C91" i="14"/>
  <c r="CM6" i="3"/>
  <c r="CL5" i="3"/>
  <c r="CN14" i="17" l="1"/>
  <c r="DE6" i="19"/>
  <c r="DE17" i="24"/>
  <c r="DD3" i="19"/>
  <c r="DD5" i="19"/>
  <c r="C101" i="22"/>
  <c r="D102" i="22"/>
  <c r="CM3" i="3"/>
  <c r="C92" i="14"/>
  <c r="D93" i="14"/>
  <c r="CN6" i="3"/>
  <c r="CM5" i="3"/>
  <c r="CO14" i="17" l="1"/>
  <c r="DF6" i="19"/>
  <c r="DF17" i="24"/>
  <c r="DE3" i="19"/>
  <c r="DE5" i="19"/>
  <c r="C102" i="22"/>
  <c r="D103" i="22"/>
  <c r="CN3" i="3"/>
  <c r="C93" i="14"/>
  <c r="D94" i="14"/>
  <c r="CO6" i="3"/>
  <c r="CN5" i="3"/>
  <c r="CP14" i="17" l="1"/>
  <c r="DG17" i="24"/>
  <c r="DG6" i="19"/>
  <c r="DF5" i="19"/>
  <c r="DF3" i="19"/>
  <c r="C103" i="22"/>
  <c r="D104" i="22"/>
  <c r="CO3" i="3"/>
  <c r="D95" i="14"/>
  <c r="C94" i="14"/>
  <c r="CP6" i="3"/>
  <c r="CO5" i="3"/>
  <c r="CQ14" i="17" l="1"/>
  <c r="DH17" i="24"/>
  <c r="DH6" i="19"/>
  <c r="DG3" i="19"/>
  <c r="DG5" i="19"/>
  <c r="C104" i="22"/>
  <c r="D105" i="22"/>
  <c r="CP3" i="3"/>
  <c r="D96" i="14"/>
  <c r="C95" i="14"/>
  <c r="CQ6" i="3"/>
  <c r="CP5" i="3"/>
  <c r="CR14" i="17" l="1"/>
  <c r="DI17" i="24"/>
  <c r="DI6" i="19"/>
  <c r="DH3" i="19"/>
  <c r="DH5" i="19"/>
  <c r="C105" i="22"/>
  <c r="D106" i="22"/>
  <c r="CQ3" i="3"/>
  <c r="C96" i="14"/>
  <c r="D97" i="14"/>
  <c r="CR6" i="3"/>
  <c r="CQ5" i="3"/>
  <c r="CS14" i="17" l="1"/>
  <c r="DJ17" i="24"/>
  <c r="DJ6" i="19"/>
  <c r="DI3" i="19"/>
  <c r="DI5" i="19"/>
  <c r="C106" i="22"/>
  <c r="D107" i="22"/>
  <c r="CR3" i="3"/>
  <c r="D98" i="14"/>
  <c r="C97" i="14"/>
  <c r="CS6" i="3"/>
  <c r="CR5" i="3"/>
  <c r="CT14" i="17" l="1"/>
  <c r="DK17" i="24"/>
  <c r="DK6" i="19"/>
  <c r="DJ3" i="19"/>
  <c r="DJ5" i="19"/>
  <c r="C107" i="22"/>
  <c r="D108" i="22"/>
  <c r="CS3" i="3"/>
  <c r="C98" i="14"/>
  <c r="D99" i="14"/>
  <c r="CT6" i="3"/>
  <c r="CS5" i="3"/>
  <c r="CU14" i="17" l="1"/>
  <c r="DL17" i="24"/>
  <c r="DL6" i="19"/>
  <c r="DK3" i="19"/>
  <c r="DK5" i="19"/>
  <c r="C108" i="22"/>
  <c r="D109" i="22"/>
  <c r="CT3" i="3"/>
  <c r="D100" i="14"/>
  <c r="C99" i="14"/>
  <c r="CU6" i="3"/>
  <c r="CT5" i="3"/>
  <c r="CV14" i="17" l="1"/>
  <c r="DM17" i="24"/>
  <c r="DM6" i="19"/>
  <c r="DL3" i="19"/>
  <c r="DL5" i="19"/>
  <c r="C109" i="22"/>
  <c r="D110" i="22"/>
  <c r="CU3" i="3"/>
  <c r="D101" i="14"/>
  <c r="C100" i="14"/>
  <c r="CV6" i="3"/>
  <c r="CU5" i="3"/>
  <c r="CW14" i="17" l="1"/>
  <c r="DN6" i="19"/>
  <c r="DN17" i="24"/>
  <c r="DM3" i="19"/>
  <c r="DM5" i="19"/>
  <c r="C110" i="22"/>
  <c r="D111" i="22"/>
  <c r="CV3" i="3"/>
  <c r="C101" i="14"/>
  <c r="D102" i="14"/>
  <c r="CW6" i="3"/>
  <c r="CV5" i="3"/>
  <c r="CX14" i="17" l="1"/>
  <c r="DO17" i="24"/>
  <c r="DO6" i="19"/>
  <c r="DN5" i="19"/>
  <c r="DN3" i="19"/>
  <c r="C111" i="22"/>
  <c r="D112" i="22"/>
  <c r="CW3" i="3"/>
  <c r="D103" i="14"/>
  <c r="C102" i="14"/>
  <c r="CX6" i="3"/>
  <c r="CW5" i="3"/>
  <c r="CY14" i="17" l="1"/>
  <c r="DP17" i="24"/>
  <c r="DP6" i="19"/>
  <c r="DO5" i="19"/>
  <c r="DO3" i="19"/>
  <c r="C112" i="22"/>
  <c r="D113" i="22"/>
  <c r="CX3" i="3"/>
  <c r="C103" i="14"/>
  <c r="D104" i="14"/>
  <c r="CY6" i="3"/>
  <c r="CX5" i="3"/>
  <c r="CZ14" i="17" l="1"/>
  <c r="DQ17" i="24"/>
  <c r="DQ6" i="19"/>
  <c r="DP5" i="19"/>
  <c r="DP3" i="19"/>
  <c r="C113" i="22"/>
  <c r="D114" i="22"/>
  <c r="CY3" i="3"/>
  <c r="C104" i="14"/>
  <c r="D105" i="14"/>
  <c r="CZ6" i="3"/>
  <c r="CY5" i="3"/>
  <c r="DA14" i="17" l="1"/>
  <c r="DR17" i="24"/>
  <c r="DR6" i="19"/>
  <c r="DQ3" i="19"/>
  <c r="DQ5" i="19"/>
  <c r="C114" i="22"/>
  <c r="D115" i="22"/>
  <c r="CZ3" i="3"/>
  <c r="D106" i="14"/>
  <c r="C105" i="14"/>
  <c r="DA6" i="3"/>
  <c r="CZ5" i="3"/>
  <c r="DB14" i="17" l="1"/>
  <c r="DS17" i="24"/>
  <c r="DS6" i="19"/>
  <c r="DR3" i="19"/>
  <c r="DR5" i="19"/>
  <c r="C115" i="22"/>
  <c r="D116" i="22"/>
  <c r="DA3" i="3"/>
  <c r="C106" i="14"/>
  <c r="D107" i="14"/>
  <c r="DB6" i="3"/>
  <c r="DA5" i="3"/>
  <c r="DC14" i="17" l="1"/>
  <c r="DT6" i="19"/>
  <c r="DT17" i="24"/>
  <c r="DS3" i="19"/>
  <c r="DS5" i="19"/>
  <c r="C116" i="22"/>
  <c r="D117" i="22"/>
  <c r="DB3" i="3"/>
  <c r="D108" i="14"/>
  <c r="C107" i="14"/>
  <c r="DC6" i="3"/>
  <c r="DB5" i="3"/>
  <c r="DD14" i="17" l="1"/>
  <c r="DU6" i="19"/>
  <c r="DU17" i="24"/>
  <c r="DT3" i="19"/>
  <c r="DT5" i="19"/>
  <c r="C117" i="22"/>
  <c r="D118" i="22"/>
  <c r="DC3" i="3"/>
  <c r="C108" i="14"/>
  <c r="D109" i="14"/>
  <c r="DD6" i="3"/>
  <c r="DC5" i="3"/>
  <c r="DE14" i="17" l="1"/>
  <c r="DV6" i="19"/>
  <c r="DV17" i="24"/>
  <c r="DU3" i="19"/>
  <c r="DU5" i="19"/>
  <c r="C118" i="22"/>
  <c r="D119" i="22"/>
  <c r="DD3" i="3"/>
  <c r="C109" i="14"/>
  <c r="D110" i="14"/>
  <c r="DE6" i="3"/>
  <c r="DD5" i="3"/>
  <c r="DF14" i="17" l="1"/>
  <c r="DW17" i="24"/>
  <c r="DW6" i="19"/>
  <c r="DV5" i="19"/>
  <c r="DV3" i="19"/>
  <c r="C119" i="22"/>
  <c r="D120" i="22"/>
  <c r="DE3" i="3"/>
  <c r="C110" i="14"/>
  <c r="D111" i="14"/>
  <c r="DF6" i="3"/>
  <c r="DE5" i="3"/>
  <c r="DG14" i="17" l="1"/>
  <c r="DX17" i="24"/>
  <c r="DX6" i="19"/>
  <c r="DW3" i="19"/>
  <c r="DW5" i="19"/>
  <c r="C120" i="22"/>
  <c r="D121" i="22"/>
  <c r="DF3" i="3"/>
  <c r="D112" i="14"/>
  <c r="C111" i="14"/>
  <c r="DG6" i="3"/>
  <c r="DF5" i="3"/>
  <c r="DH14" i="17" l="1"/>
  <c r="DY17" i="24"/>
  <c r="DY6" i="19"/>
  <c r="DX3" i="19"/>
  <c r="DX5" i="19"/>
  <c r="C121" i="22"/>
  <c r="D122" i="22"/>
  <c r="DG3" i="3"/>
  <c r="C112" i="14"/>
  <c r="D113" i="14"/>
  <c r="DH6" i="3"/>
  <c r="DG5" i="3"/>
  <c r="DI14" i="17" l="1"/>
  <c r="DZ17" i="24"/>
  <c r="DZ6" i="19"/>
  <c r="DY3" i="19"/>
  <c r="DY5" i="19"/>
  <c r="C122" i="22"/>
  <c r="D123" i="22"/>
  <c r="DH3" i="3"/>
  <c r="D114" i="14"/>
  <c r="C113" i="14"/>
  <c r="DI6" i="3"/>
  <c r="DH5" i="3"/>
  <c r="DJ14" i="17" l="1"/>
  <c r="EA17" i="24"/>
  <c r="EA6" i="19"/>
  <c r="DZ3" i="19"/>
  <c r="DZ5" i="19"/>
  <c r="C123" i="22"/>
  <c r="D124" i="22"/>
  <c r="DI3" i="3"/>
  <c r="C114" i="14"/>
  <c r="D115" i="14"/>
  <c r="DJ6" i="3"/>
  <c r="DI5" i="3"/>
  <c r="DK14" i="17" l="1"/>
  <c r="EB17" i="24"/>
  <c r="EB6" i="19"/>
  <c r="EA3" i="19"/>
  <c r="EA5" i="19"/>
  <c r="C124" i="22"/>
  <c r="D125" i="22"/>
  <c r="DJ3" i="3"/>
  <c r="C115" i="14"/>
  <c r="D116" i="14"/>
  <c r="DK6" i="3"/>
  <c r="DJ5" i="3"/>
  <c r="DL14" i="17" l="1"/>
  <c r="EC17" i="24"/>
  <c r="EC6" i="19"/>
  <c r="EB3" i="19"/>
  <c r="EB5" i="19"/>
  <c r="C125" i="22"/>
  <c r="D126" i="22"/>
  <c r="DK3" i="3"/>
  <c r="D117" i="14"/>
  <c r="C116" i="14"/>
  <c r="DL6" i="3"/>
  <c r="DK5" i="3"/>
  <c r="DM14" i="17" l="1"/>
  <c r="ED17" i="24"/>
  <c r="ED6" i="19"/>
  <c r="EC3" i="19"/>
  <c r="EC5" i="19"/>
  <c r="C126" i="22"/>
  <c r="D127" i="22"/>
  <c r="DL3" i="3"/>
  <c r="C117" i="14"/>
  <c r="D118" i="14"/>
  <c r="DM6" i="3"/>
  <c r="DL5" i="3"/>
  <c r="DN14" i="17" l="1"/>
  <c r="EE17" i="24"/>
  <c r="EE6" i="19"/>
  <c r="ED5" i="19"/>
  <c r="ED3" i="19"/>
  <c r="C127" i="22"/>
  <c r="D128" i="22"/>
  <c r="DM3" i="3"/>
  <c r="D119" i="14"/>
  <c r="C118" i="14"/>
  <c r="DN6" i="3"/>
  <c r="DM5" i="3"/>
  <c r="DO14" i="17" l="1"/>
  <c r="EF17" i="24"/>
  <c r="EF6" i="19"/>
  <c r="EE5" i="19"/>
  <c r="EE3" i="19"/>
  <c r="C128" i="22"/>
  <c r="D129" i="22"/>
  <c r="DN3" i="3"/>
  <c r="C119" i="14"/>
  <c r="D120" i="14"/>
  <c r="DO6" i="3"/>
  <c r="DN5" i="3"/>
  <c r="DP14" i="17" l="1"/>
  <c r="EG17" i="24"/>
  <c r="EG6" i="19"/>
  <c r="EF5" i="19"/>
  <c r="EF3" i="19"/>
  <c r="C129" i="22"/>
  <c r="D130" i="22"/>
  <c r="DO3" i="3"/>
  <c r="D121" i="14"/>
  <c r="C120" i="14"/>
  <c r="DP6" i="3"/>
  <c r="DO5" i="3"/>
  <c r="DQ14" i="17" l="1"/>
  <c r="EH17" i="24"/>
  <c r="EH6" i="19"/>
  <c r="EG3" i="19"/>
  <c r="EG5" i="19"/>
  <c r="C130" i="22"/>
  <c r="D131" i="22"/>
  <c r="DP3" i="3"/>
  <c r="D122" i="14"/>
  <c r="C121" i="14"/>
  <c r="DQ6" i="3"/>
  <c r="DP5" i="3"/>
  <c r="DR14" i="17" l="1"/>
  <c r="EI17" i="24"/>
  <c r="EI6" i="19"/>
  <c r="EH3" i="19"/>
  <c r="EH5" i="19"/>
  <c r="C131" i="22"/>
  <c r="D132" i="22"/>
  <c r="DQ3" i="3"/>
  <c r="D123" i="14"/>
  <c r="C122" i="14"/>
  <c r="DR6" i="3"/>
  <c r="DQ5" i="3"/>
  <c r="DS14" i="17" l="1"/>
  <c r="EJ17" i="24"/>
  <c r="EJ6" i="19"/>
  <c r="EI3" i="19"/>
  <c r="EI5" i="19"/>
  <c r="C132" i="22"/>
  <c r="D133" i="22"/>
  <c r="DR3" i="3"/>
  <c r="D124" i="14"/>
  <c r="C123" i="14"/>
  <c r="DS6" i="3"/>
  <c r="DR5" i="3"/>
  <c r="DT14" i="17" l="1"/>
  <c r="EK6" i="19"/>
  <c r="EK17" i="24"/>
  <c r="EJ3" i="19"/>
  <c r="EJ5" i="19"/>
  <c r="C133" i="22"/>
  <c r="D134" i="22"/>
  <c r="DS3" i="3"/>
  <c r="C124" i="14"/>
  <c r="D125" i="14"/>
  <c r="DT6" i="3"/>
  <c r="DS5" i="3"/>
  <c r="DU14" i="17" l="1"/>
  <c r="EL6" i="19"/>
  <c r="EL17" i="24"/>
  <c r="EK3" i="19"/>
  <c r="EK5" i="19"/>
  <c r="C134" i="22"/>
  <c r="D135" i="22"/>
  <c r="DT3" i="3"/>
  <c r="C125" i="14"/>
  <c r="D126" i="14"/>
  <c r="DU6" i="3"/>
  <c r="DT5" i="3"/>
  <c r="DV14" i="17" l="1"/>
  <c r="EM17" i="24"/>
  <c r="EM6" i="19"/>
  <c r="EL5" i="19"/>
  <c r="EL3" i="19"/>
  <c r="C135" i="22"/>
  <c r="D136" i="22"/>
  <c r="DU3" i="3"/>
  <c r="D127" i="14"/>
  <c r="C126" i="14"/>
  <c r="DV6" i="3"/>
  <c r="DU5" i="3"/>
  <c r="DW14" i="17" l="1"/>
  <c r="EN17" i="24"/>
  <c r="EN6" i="19"/>
  <c r="EM3" i="19"/>
  <c r="EM5" i="19"/>
  <c r="C136" i="22"/>
  <c r="D137" i="22"/>
  <c r="DV3" i="3"/>
  <c r="D128" i="14"/>
  <c r="C127" i="14"/>
  <c r="DW6" i="3"/>
  <c r="DV5" i="3"/>
  <c r="DX14" i="17" l="1"/>
  <c r="EO17" i="24"/>
  <c r="EO6" i="19"/>
  <c r="EN5" i="19"/>
  <c r="EN3" i="19"/>
  <c r="C137" i="22"/>
  <c r="D138" i="22"/>
  <c r="DW3" i="3"/>
  <c r="C128" i="14"/>
  <c r="D129" i="14"/>
  <c r="DX6" i="3"/>
  <c r="DW5" i="3"/>
  <c r="DY14" i="17" l="1"/>
  <c r="EP17" i="24"/>
  <c r="EP6" i="19"/>
  <c r="EO3" i="19"/>
  <c r="EO5" i="19"/>
  <c r="C138" i="22"/>
  <c r="D139" i="22"/>
  <c r="DX3" i="3"/>
  <c r="D130" i="14"/>
  <c r="C129" i="14"/>
  <c r="DY6" i="3"/>
  <c r="DX5" i="3"/>
  <c r="DZ14" i="17" l="1"/>
  <c r="EQ17" i="24"/>
  <c r="EQ6" i="19"/>
  <c r="EP3" i="19"/>
  <c r="EP5" i="19"/>
  <c r="C139" i="22"/>
  <c r="D140" i="22"/>
  <c r="DY3" i="3"/>
  <c r="C130" i="14"/>
  <c r="D131" i="14"/>
  <c r="DZ6" i="3"/>
  <c r="DY5" i="3"/>
  <c r="EA14" i="17" l="1"/>
  <c r="ER6" i="19"/>
  <c r="ER17" i="24"/>
  <c r="EQ3" i="19"/>
  <c r="EQ5" i="19"/>
  <c r="C140" i="22"/>
  <c r="D141" i="22"/>
  <c r="DZ3" i="3"/>
  <c r="D132" i="14"/>
  <c r="C131" i="14"/>
  <c r="EA6" i="3"/>
  <c r="DZ5" i="3"/>
  <c r="EB14" i="17" l="1"/>
  <c r="ES17" i="24"/>
  <c r="ES6" i="19"/>
  <c r="ER3" i="19"/>
  <c r="ER5" i="19"/>
  <c r="C141" i="22"/>
  <c r="D142" i="22"/>
  <c r="EA3" i="3"/>
  <c r="D133" i="14"/>
  <c r="C132" i="14"/>
  <c r="EB6" i="3"/>
  <c r="EA5" i="3"/>
  <c r="EC14" i="17" l="1"/>
  <c r="ET17" i="24"/>
  <c r="ET6" i="19"/>
  <c r="ES3" i="19"/>
  <c r="ES5" i="19"/>
  <c r="C142" i="22"/>
  <c r="D143" i="22"/>
  <c r="EB3" i="3"/>
  <c r="D134" i="14"/>
  <c r="C133" i="14"/>
  <c r="EC6" i="3"/>
  <c r="EB5" i="3"/>
  <c r="ED14" i="17" l="1"/>
  <c r="EU6" i="19"/>
  <c r="ET5" i="19"/>
  <c r="ET3" i="19"/>
  <c r="C143" i="22"/>
  <c r="D144" i="22"/>
  <c r="EC3" i="3"/>
  <c r="D135" i="14"/>
  <c r="C134" i="14"/>
  <c r="ED6" i="3"/>
  <c r="EC5" i="3"/>
  <c r="EE14" i="17" l="1"/>
  <c r="EV6" i="19"/>
  <c r="EU3" i="19"/>
  <c r="EU5" i="19"/>
  <c r="C144" i="22"/>
  <c r="D145" i="22"/>
  <c r="ED3" i="3"/>
  <c r="C135" i="14"/>
  <c r="D136" i="14"/>
  <c r="EE6" i="3"/>
  <c r="EF14" i="17" s="1"/>
  <c r="ED5" i="3"/>
  <c r="EW6" i="19" l="1"/>
  <c r="EV3" i="19"/>
  <c r="EV5" i="19"/>
  <c r="C145" i="22"/>
  <c r="D146" i="22"/>
  <c r="EE3" i="3"/>
  <c r="C136" i="14"/>
  <c r="D137" i="14"/>
  <c r="EF6" i="3"/>
  <c r="EG14" i="17" s="1"/>
  <c r="EE5" i="3"/>
  <c r="EX6" i="19" l="1"/>
  <c r="EW3" i="19"/>
  <c r="EW5" i="19"/>
  <c r="C146" i="22"/>
  <c r="D147" i="22"/>
  <c r="EF3" i="3"/>
  <c r="D138" i="14"/>
  <c r="C137" i="14"/>
  <c r="EG6" i="3"/>
  <c r="EH14" i="17" s="1"/>
  <c r="EF5" i="3"/>
  <c r="EY6" i="19" l="1"/>
  <c r="EX3" i="19"/>
  <c r="EX5" i="19"/>
  <c r="C147" i="22"/>
  <c r="D148" i="22"/>
  <c r="EG3" i="3"/>
  <c r="D139" i="14"/>
  <c r="C138" i="14"/>
  <c r="EH6" i="3"/>
  <c r="EI14" i="17" s="1"/>
  <c r="EG5" i="3"/>
  <c r="EZ6" i="19" l="1"/>
  <c r="EY3" i="19"/>
  <c r="EY5" i="19"/>
  <c r="C148" i="22"/>
  <c r="D149" i="22"/>
  <c r="EH3" i="3"/>
  <c r="D140" i="14"/>
  <c r="C139" i="14"/>
  <c r="EI6" i="3"/>
  <c r="EJ14" i="17" s="1"/>
  <c r="EH5" i="3"/>
  <c r="FA6" i="19" l="1"/>
  <c r="EZ3" i="19"/>
  <c r="EZ5" i="19"/>
  <c r="C149" i="22"/>
  <c r="D150" i="22"/>
  <c r="EI3" i="3"/>
  <c r="C140" i="14"/>
  <c r="D141" i="14"/>
  <c r="EJ6" i="3"/>
  <c r="EK14" i="17" s="1"/>
  <c r="EI5" i="3"/>
  <c r="FB6" i="19" l="1"/>
  <c r="FA3" i="19"/>
  <c r="FA5" i="19"/>
  <c r="C150" i="22"/>
  <c r="D151" i="22"/>
  <c r="EJ3" i="3"/>
  <c r="C141" i="14"/>
  <c r="D142" i="14"/>
  <c r="EK6" i="3"/>
  <c r="EL14" i="17" s="1"/>
  <c r="EJ5" i="3"/>
  <c r="FC6" i="19" l="1"/>
  <c r="FB5" i="19"/>
  <c r="FB3" i="19"/>
  <c r="C151" i="22"/>
  <c r="D152" i="22"/>
  <c r="EK3" i="3"/>
  <c r="D143" i="14"/>
  <c r="C142" i="14"/>
  <c r="EL6" i="3"/>
  <c r="EM14" i="17" s="1"/>
  <c r="EK5" i="3"/>
  <c r="FD6" i="19" l="1"/>
  <c r="FC5" i="19"/>
  <c r="FC3" i="19"/>
  <c r="C152" i="22"/>
  <c r="D153" i="22"/>
  <c r="EL3" i="3"/>
  <c r="D144" i="14"/>
  <c r="C143" i="14"/>
  <c r="EM6" i="3"/>
  <c r="EN14" i="17" s="1"/>
  <c r="EL5" i="3"/>
  <c r="FE6" i="19" l="1"/>
  <c r="FD5" i="19"/>
  <c r="FD3" i="19"/>
  <c r="C153" i="22"/>
  <c r="D154" i="22"/>
  <c r="EM3" i="3"/>
  <c r="C144" i="14"/>
  <c r="D145" i="14"/>
  <c r="EN6" i="3"/>
  <c r="EO14" i="17" s="1"/>
  <c r="EM5" i="3"/>
  <c r="FF6" i="19" l="1"/>
  <c r="FE3" i="19"/>
  <c r="FE5" i="19"/>
  <c r="C154" i="22"/>
  <c r="D155" i="22"/>
  <c r="EN3" i="3"/>
  <c r="C145" i="14"/>
  <c r="D146" i="14"/>
  <c r="EO6" i="3"/>
  <c r="EP14" i="17" s="1"/>
  <c r="EN5" i="3"/>
  <c r="FG6" i="19" l="1"/>
  <c r="FF3" i="19"/>
  <c r="FF5" i="19"/>
  <c r="C155" i="22"/>
  <c r="D156" i="22"/>
  <c r="EO3" i="3"/>
  <c r="C146" i="14"/>
  <c r="D147" i="14"/>
  <c r="EP6" i="3"/>
  <c r="EQ14" i="17" s="1"/>
  <c r="EO5" i="3"/>
  <c r="FH6" i="19" l="1"/>
  <c r="FG3" i="19"/>
  <c r="FG5" i="19"/>
  <c r="C156" i="22"/>
  <c r="D157" i="22"/>
  <c r="EP3" i="3"/>
  <c r="C147" i="14"/>
  <c r="D148" i="14"/>
  <c r="EQ6" i="3"/>
  <c r="ER14" i="17" s="1"/>
  <c r="EP5" i="3"/>
  <c r="FI6" i="19" l="1"/>
  <c r="FH3" i="19"/>
  <c r="FH5" i="19"/>
  <c r="C157" i="22"/>
  <c r="D158" i="22"/>
  <c r="EQ3" i="3"/>
  <c r="D149" i="14"/>
  <c r="C148" i="14"/>
  <c r="ER6" i="3"/>
  <c r="ES14" i="17" s="1"/>
  <c r="EQ5" i="3"/>
  <c r="FJ6" i="19" l="1"/>
  <c r="FI3" i="19"/>
  <c r="FI5" i="19"/>
  <c r="C158" i="22"/>
  <c r="D159" i="22"/>
  <c r="ER3" i="3"/>
  <c r="C149" i="14"/>
  <c r="D150" i="14"/>
  <c r="ES6" i="3"/>
  <c r="ET14" i="17" s="1"/>
  <c r="ER5" i="3"/>
  <c r="FK6" i="19" l="1"/>
  <c r="FJ5" i="19"/>
  <c r="FJ3" i="19"/>
  <c r="C159" i="22"/>
  <c r="D160" i="22"/>
  <c r="ES3" i="3"/>
  <c r="D151" i="14"/>
  <c r="C150" i="14"/>
  <c r="ET6" i="3"/>
  <c r="ES5" i="3"/>
  <c r="FL6" i="19" l="1"/>
  <c r="FK3" i="19"/>
  <c r="FK5" i="19"/>
  <c r="C160" i="22"/>
  <c r="D161" i="22"/>
  <c r="ET3" i="3"/>
  <c r="C151" i="14"/>
  <c r="D152" i="14"/>
  <c r="EU6" i="3"/>
  <c r="ET5" i="3"/>
  <c r="FM6" i="19" l="1"/>
  <c r="FL3" i="19"/>
  <c r="FL5" i="19"/>
  <c r="C161" i="22"/>
  <c r="D162" i="22"/>
  <c r="EU3" i="3"/>
  <c r="C152" i="14"/>
  <c r="D153" i="14"/>
  <c r="EV6" i="3"/>
  <c r="EU5" i="3"/>
  <c r="FN6" i="19" l="1"/>
  <c r="FM3" i="19"/>
  <c r="FM5" i="19"/>
  <c r="C162" i="22"/>
  <c r="D163" i="22"/>
  <c r="EV3" i="3"/>
  <c r="C153" i="14"/>
  <c r="D154" i="14"/>
  <c r="EW6" i="3"/>
  <c r="EV5" i="3"/>
  <c r="FO6" i="19" l="1"/>
  <c r="FN3" i="19"/>
  <c r="FN5" i="19"/>
  <c r="C163" i="22"/>
  <c r="D164" i="22"/>
  <c r="EW3" i="3"/>
  <c r="D155" i="14"/>
  <c r="C154" i="14"/>
  <c r="EX6" i="3"/>
  <c r="EW5" i="3"/>
  <c r="FP6" i="19" l="1"/>
  <c r="FO3" i="19"/>
  <c r="FO5" i="19"/>
  <c r="C164" i="22"/>
  <c r="D165" i="22"/>
  <c r="EX3" i="3"/>
  <c r="D156" i="14"/>
  <c r="C155" i="14"/>
  <c r="EY6" i="3"/>
  <c r="EX5" i="3"/>
  <c r="FQ6" i="19" l="1"/>
  <c r="FP3" i="19"/>
  <c r="FP5" i="19"/>
  <c r="C165" i="22"/>
  <c r="D166" i="22"/>
  <c r="EY3" i="3"/>
  <c r="C156" i="14"/>
  <c r="D157" i="14"/>
  <c r="EZ6" i="3"/>
  <c r="EY5" i="3"/>
  <c r="FR6" i="19" l="1"/>
  <c r="FQ3" i="19"/>
  <c r="FQ5" i="19"/>
  <c r="C166" i="22"/>
  <c r="D167" i="22"/>
  <c r="EZ3" i="3"/>
  <c r="C157" i="14"/>
  <c r="D158" i="14"/>
  <c r="FA6" i="3"/>
  <c r="EZ5" i="3"/>
  <c r="FS6" i="19" l="1"/>
  <c r="FR5" i="19"/>
  <c r="FR3" i="19"/>
  <c r="C167" i="22"/>
  <c r="D168" i="22"/>
  <c r="FA3" i="3"/>
  <c r="C158" i="14"/>
  <c r="D159" i="14"/>
  <c r="FB6" i="3"/>
  <c r="FA5" i="3"/>
  <c r="FT6" i="19" l="1"/>
  <c r="FS3" i="19"/>
  <c r="FS5" i="19"/>
  <c r="C168" i="22"/>
  <c r="D169" i="22"/>
  <c r="FB3" i="3"/>
  <c r="D160" i="14"/>
  <c r="C159" i="14"/>
  <c r="FC6" i="3"/>
  <c r="FB5" i="3"/>
  <c r="FU6" i="19" l="1"/>
  <c r="FT3" i="19"/>
  <c r="FT5" i="19"/>
  <c r="C169" i="22"/>
  <c r="D170" i="22"/>
  <c r="FC3" i="3"/>
  <c r="C160" i="14"/>
  <c r="D161" i="14"/>
  <c r="FD6" i="3"/>
  <c r="FC5" i="3"/>
  <c r="FV6" i="19" l="1"/>
  <c r="FU3" i="19"/>
  <c r="FU5" i="19"/>
  <c r="C170" i="22"/>
  <c r="D171" i="22"/>
  <c r="FD3" i="3"/>
  <c r="D162" i="14"/>
  <c r="C161" i="14"/>
  <c r="FE6" i="3"/>
  <c r="FD5" i="3"/>
  <c r="FW6" i="19" l="1"/>
  <c r="FV3" i="19"/>
  <c r="FV5" i="19"/>
  <c r="C171" i="22"/>
  <c r="D172" i="22"/>
  <c r="FE3" i="3"/>
  <c r="C162" i="14"/>
  <c r="D163" i="14"/>
  <c r="FF6" i="3"/>
  <c r="FE5" i="3"/>
  <c r="FX6" i="19" l="1"/>
  <c r="FW3" i="19"/>
  <c r="FW5" i="19"/>
  <c r="C172" i="22"/>
  <c r="D173" i="22"/>
  <c r="FF3" i="3"/>
  <c r="D164" i="14"/>
  <c r="C163" i="14"/>
  <c r="FG6" i="3"/>
  <c r="FF5" i="3"/>
  <c r="FY6" i="19" l="1"/>
  <c r="FX3" i="19"/>
  <c r="FX5" i="19"/>
  <c r="C173" i="22"/>
  <c r="D174" i="22"/>
  <c r="FG3" i="3"/>
  <c r="D165" i="14"/>
  <c r="C164" i="14"/>
  <c r="FH6" i="3"/>
  <c r="FG5" i="3"/>
  <c r="FZ6" i="19" l="1"/>
  <c r="FY3" i="19"/>
  <c r="FY5" i="19"/>
  <c r="C174" i="22"/>
  <c r="D175" i="22"/>
  <c r="FH3" i="3"/>
  <c r="C165" i="14"/>
  <c r="D166" i="14"/>
  <c r="FI6" i="3"/>
  <c r="FH5" i="3"/>
  <c r="GA6" i="19" l="1"/>
  <c r="FZ5" i="19"/>
  <c r="FZ3" i="19"/>
  <c r="C175" i="22"/>
  <c r="D176" i="22"/>
  <c r="FI3" i="3"/>
  <c r="D167" i="14"/>
  <c r="C166" i="14"/>
  <c r="FJ6" i="3"/>
  <c r="FI5" i="3"/>
  <c r="GB6" i="19" l="1"/>
  <c r="GA3" i="19"/>
  <c r="GA5" i="19"/>
  <c r="C176" i="22"/>
  <c r="D177" i="22"/>
  <c r="FJ3" i="3"/>
  <c r="D168" i="14"/>
  <c r="C167" i="14"/>
  <c r="FK6" i="3"/>
  <c r="FJ5" i="3"/>
  <c r="GC6" i="19" l="1"/>
  <c r="GB3" i="19"/>
  <c r="GB5" i="19"/>
  <c r="C177" i="22"/>
  <c r="D178" i="22"/>
  <c r="FK3" i="3"/>
  <c r="D169" i="14"/>
  <c r="C168" i="14"/>
  <c r="FL6" i="3"/>
  <c r="FK5" i="3"/>
  <c r="GD6" i="19" l="1"/>
  <c r="GC3" i="19"/>
  <c r="GC5" i="19"/>
  <c r="C178" i="22"/>
  <c r="D179" i="22"/>
  <c r="FL3" i="3"/>
  <c r="D170" i="14"/>
  <c r="C169" i="14"/>
  <c r="FM6" i="3"/>
  <c r="FL5" i="3"/>
  <c r="GE6" i="19" l="1"/>
  <c r="GD3" i="19"/>
  <c r="GD5" i="19"/>
  <c r="C179" i="22"/>
  <c r="D180" i="22"/>
  <c r="FM3" i="3"/>
  <c r="D171" i="14"/>
  <c r="C170" i="14"/>
  <c r="FN6" i="3"/>
  <c r="FM5" i="3"/>
  <c r="GF6" i="19" l="1"/>
  <c r="GE3" i="19"/>
  <c r="GE5" i="19"/>
  <c r="C180" i="22"/>
  <c r="D181" i="22"/>
  <c r="FN3" i="3"/>
  <c r="D172" i="14"/>
  <c r="C171" i="14"/>
  <c r="FO6" i="3"/>
  <c r="FN5" i="3"/>
  <c r="GG6" i="19" l="1"/>
  <c r="GF3" i="19"/>
  <c r="GF5" i="19"/>
  <c r="C181" i="22"/>
  <c r="D182" i="22"/>
  <c r="FO3" i="3"/>
  <c r="C172" i="14"/>
  <c r="D173" i="14"/>
  <c r="FP6" i="3"/>
  <c r="FO5" i="3"/>
  <c r="GH6" i="19" l="1"/>
  <c r="GG3" i="19"/>
  <c r="GG5" i="19"/>
  <c r="C182" i="22"/>
  <c r="D183" i="22"/>
  <c r="FP3" i="3"/>
  <c r="D174" i="14"/>
  <c r="C173" i="14"/>
  <c r="FQ6" i="3"/>
  <c r="FP5" i="3"/>
  <c r="GI6" i="19" l="1"/>
  <c r="GH5" i="19"/>
  <c r="GH3" i="19"/>
  <c r="C183" i="22"/>
  <c r="D184" i="22"/>
  <c r="FQ3" i="3"/>
  <c r="D175" i="14"/>
  <c r="C174" i="14"/>
  <c r="FR6" i="3"/>
  <c r="FQ5" i="3"/>
  <c r="GJ6" i="19" l="1"/>
  <c r="GI5" i="19"/>
  <c r="GI3" i="19"/>
  <c r="C184" i="22"/>
  <c r="D185" i="22"/>
  <c r="FR3" i="3"/>
  <c r="C175" i="14"/>
  <c r="D176" i="14"/>
  <c r="FS6" i="3"/>
  <c r="FR5" i="3"/>
  <c r="GK6" i="19" l="1"/>
  <c r="GJ3" i="19"/>
  <c r="GJ5" i="19"/>
  <c r="C185" i="22"/>
  <c r="D186" i="22"/>
  <c r="FS3" i="3"/>
  <c r="C176" i="14"/>
  <c r="D177" i="14"/>
  <c r="FT6" i="3"/>
  <c r="FS5" i="3"/>
  <c r="GL6" i="19" l="1"/>
  <c r="GK3" i="19"/>
  <c r="GK5" i="19"/>
  <c r="C186" i="22"/>
  <c r="D187" i="22"/>
  <c r="FT3" i="3"/>
  <c r="C177" i="14"/>
  <c r="D178" i="14"/>
  <c r="FU6" i="3"/>
  <c r="FT5" i="3"/>
  <c r="GM6" i="19" l="1"/>
  <c r="GL3" i="19"/>
  <c r="GL5" i="19"/>
  <c r="C187" i="22"/>
  <c r="D188" i="22"/>
  <c r="FU3" i="3"/>
  <c r="D179" i="14"/>
  <c r="C178" i="14"/>
  <c r="FV6" i="3"/>
  <c r="FU5" i="3"/>
  <c r="GN6" i="19" l="1"/>
  <c r="GM3" i="19"/>
  <c r="GM5" i="19"/>
  <c r="C188" i="22"/>
  <c r="D189" i="22"/>
  <c r="FV3" i="3"/>
  <c r="D180" i="14"/>
  <c r="C179" i="14"/>
  <c r="FW6" i="3"/>
  <c r="FV5" i="3"/>
  <c r="GO6" i="19" l="1"/>
  <c r="GN3" i="19"/>
  <c r="GN5" i="19"/>
  <c r="C189" i="22"/>
  <c r="D190" i="22"/>
  <c r="FW3" i="3"/>
  <c r="D181" i="14"/>
  <c r="C180" i="14"/>
  <c r="FX6" i="3"/>
  <c r="FW5" i="3"/>
  <c r="GP6" i="19" l="1"/>
  <c r="GO3" i="19"/>
  <c r="GO5" i="19"/>
  <c r="C190" i="22"/>
  <c r="D191" i="22"/>
  <c r="FX3" i="3"/>
  <c r="C181" i="14"/>
  <c r="D182" i="14"/>
  <c r="FY6" i="3"/>
  <c r="FX5" i="3"/>
  <c r="GQ6" i="19" l="1"/>
  <c r="GP5" i="19"/>
  <c r="GP3" i="19"/>
  <c r="C191" i="22"/>
  <c r="D192" i="22"/>
  <c r="FY3" i="3"/>
  <c r="D183" i="14"/>
  <c r="C182" i="14"/>
  <c r="FZ6" i="3"/>
  <c r="FY5" i="3"/>
  <c r="GR6" i="19" l="1"/>
  <c r="GQ5" i="19"/>
  <c r="GQ3" i="19"/>
  <c r="C192" i="22"/>
  <c r="D193" i="22"/>
  <c r="FZ3" i="3"/>
  <c r="C183" i="14"/>
  <c r="D184" i="14"/>
  <c r="GA6" i="3"/>
  <c r="FZ5" i="3"/>
  <c r="GS6" i="19" l="1"/>
  <c r="GR3" i="19"/>
  <c r="GR5" i="19"/>
  <c r="C193" i="22"/>
  <c r="D194" i="22"/>
  <c r="GA3" i="3"/>
  <c r="C184" i="14"/>
  <c r="D185" i="14"/>
  <c r="GB6" i="3"/>
  <c r="GA5" i="3"/>
  <c r="GT6" i="19" l="1"/>
  <c r="GS3" i="19"/>
  <c r="GS5" i="19"/>
  <c r="C194" i="22"/>
  <c r="D195" i="22"/>
  <c r="GB3" i="3"/>
  <c r="D186" i="14"/>
  <c r="C185" i="14"/>
  <c r="GC6" i="3"/>
  <c r="GB5" i="3"/>
  <c r="GU6" i="19" l="1"/>
  <c r="GT3" i="19"/>
  <c r="GT5" i="19"/>
  <c r="C195" i="22"/>
  <c r="D196" i="22"/>
  <c r="GC3" i="3"/>
  <c r="C186" i="14"/>
  <c r="D187" i="14"/>
  <c r="GD6" i="3"/>
  <c r="GC5" i="3"/>
  <c r="GV6" i="19" l="1"/>
  <c r="GU3" i="19"/>
  <c r="GU5" i="19"/>
  <c r="C196" i="22"/>
  <c r="D197" i="22"/>
  <c r="GD3" i="3"/>
  <c r="D188" i="14"/>
  <c r="C187" i="14"/>
  <c r="GE6" i="3"/>
  <c r="GD5" i="3"/>
  <c r="GW6" i="19" l="1"/>
  <c r="GV3" i="19"/>
  <c r="GV5" i="19"/>
  <c r="C197" i="22"/>
  <c r="D198" i="22"/>
  <c r="GE3" i="3"/>
  <c r="C188" i="14"/>
  <c r="D189" i="14"/>
  <c r="GF6" i="3"/>
  <c r="GE5" i="3"/>
  <c r="GX6" i="19" l="1"/>
  <c r="GW3" i="19"/>
  <c r="GW5" i="19"/>
  <c r="C198" i="22"/>
  <c r="D199" i="22"/>
  <c r="GF3" i="3"/>
  <c r="D190" i="14"/>
  <c r="C189" i="14"/>
  <c r="GG6" i="3"/>
  <c r="GF5" i="3"/>
  <c r="GY6" i="19" l="1"/>
  <c r="GX5" i="19"/>
  <c r="GX3" i="19"/>
  <c r="C199" i="22"/>
  <c r="D200" i="22"/>
  <c r="GG3" i="3"/>
  <c r="C190" i="14"/>
  <c r="D191" i="14"/>
  <c r="GH6" i="3"/>
  <c r="GG5" i="3"/>
  <c r="GZ6" i="19" l="1"/>
  <c r="GY3" i="19"/>
  <c r="GY5" i="19"/>
  <c r="C200" i="22"/>
  <c r="D201" i="22"/>
  <c r="GH3" i="3"/>
  <c r="D192" i="14"/>
  <c r="C191" i="14"/>
  <c r="GI6" i="3"/>
  <c r="GH5" i="3"/>
  <c r="HA6" i="19" l="1"/>
  <c r="GZ5" i="19"/>
  <c r="GZ3" i="19"/>
  <c r="C201" i="22"/>
  <c r="D202" i="22"/>
  <c r="GI3" i="3"/>
  <c r="C192" i="14"/>
  <c r="D193" i="14"/>
  <c r="GJ6" i="3"/>
  <c r="GI5" i="3"/>
  <c r="HB6" i="19" l="1"/>
  <c r="HA3" i="19"/>
  <c r="HA5" i="19"/>
  <c r="C202" i="22"/>
  <c r="D203" i="22"/>
  <c r="GJ3" i="3"/>
  <c r="D194" i="14"/>
  <c r="C193" i="14"/>
  <c r="GK6" i="3"/>
  <c r="GJ5" i="3"/>
  <c r="HC6" i="19" l="1"/>
  <c r="HB3" i="19"/>
  <c r="HB5" i="19"/>
  <c r="C203" i="22"/>
  <c r="D204" i="22"/>
  <c r="GK3" i="3"/>
  <c r="C194" i="14"/>
  <c r="D195" i="14"/>
  <c r="GL6" i="3"/>
  <c r="GK5" i="3"/>
  <c r="HD6" i="19" l="1"/>
  <c r="HC3" i="19"/>
  <c r="HC5" i="19"/>
  <c r="C204" i="22"/>
  <c r="D205" i="22"/>
  <c r="GL3" i="3"/>
  <c r="C195" i="14"/>
  <c r="D196" i="14"/>
  <c r="GM6" i="3"/>
  <c r="GL5" i="3"/>
  <c r="HE6" i="19" l="1"/>
  <c r="HD3" i="19"/>
  <c r="HD5" i="19"/>
  <c r="C205" i="22"/>
  <c r="D206" i="22"/>
  <c r="GM3" i="3"/>
  <c r="D197" i="14"/>
  <c r="C196" i="14"/>
  <c r="GN6" i="3"/>
  <c r="GM5" i="3"/>
  <c r="HF6" i="19" l="1"/>
  <c r="HE3" i="19"/>
  <c r="HE5" i="19"/>
  <c r="C206" i="22"/>
  <c r="D207" i="22"/>
  <c r="GN3" i="3"/>
  <c r="C197" i="14"/>
  <c r="D198" i="14"/>
  <c r="GO6" i="3"/>
  <c r="GN5" i="3"/>
  <c r="HG6" i="19" l="1"/>
  <c r="HF5" i="19"/>
  <c r="HF3" i="19"/>
  <c r="C207" i="22"/>
  <c r="D208" i="22"/>
  <c r="GO3" i="3"/>
  <c r="D199" i="14"/>
  <c r="C198" i="14"/>
  <c r="GP6" i="3"/>
  <c r="GO5" i="3"/>
  <c r="HH6" i="19" l="1"/>
  <c r="HG5" i="19"/>
  <c r="HG3" i="19"/>
  <c r="C208" i="22"/>
  <c r="D209" i="22"/>
  <c r="GP3" i="3"/>
  <c r="D200" i="14"/>
  <c r="C199" i="14"/>
  <c r="GQ6" i="3"/>
  <c r="GP5" i="3"/>
  <c r="HI6" i="19" l="1"/>
  <c r="HH3" i="19"/>
  <c r="HH5" i="19"/>
  <c r="C209" i="22"/>
  <c r="D210" i="22"/>
  <c r="GQ3" i="3"/>
  <c r="D201" i="14"/>
  <c r="C200" i="14"/>
  <c r="GR6" i="3"/>
  <c r="GQ5" i="3"/>
  <c r="HJ6" i="19" l="1"/>
  <c r="HI3" i="19"/>
  <c r="HI5" i="19"/>
  <c r="C210" i="22"/>
  <c r="D211" i="22"/>
  <c r="GR3" i="3"/>
  <c r="D202" i="14"/>
  <c r="C201" i="14"/>
  <c r="GS6" i="3"/>
  <c r="GR5" i="3"/>
  <c r="HK6" i="19" l="1"/>
  <c r="HJ3" i="19"/>
  <c r="HJ5" i="19"/>
  <c r="C211" i="22"/>
  <c r="D212" i="22"/>
  <c r="GS3" i="3"/>
  <c r="D203" i="14"/>
  <c r="C202" i="14"/>
  <c r="GT6" i="3"/>
  <c r="GS5" i="3"/>
  <c r="HL6" i="19" l="1"/>
  <c r="HK3" i="19"/>
  <c r="HK5" i="19"/>
  <c r="C212" i="22"/>
  <c r="D213" i="22"/>
  <c r="GT3" i="3"/>
  <c r="D204" i="14"/>
  <c r="C203" i="14"/>
  <c r="GU6" i="3"/>
  <c r="GT5" i="3"/>
  <c r="HM6" i="19" l="1"/>
  <c r="HL3" i="19"/>
  <c r="HL5" i="19"/>
  <c r="C213" i="22"/>
  <c r="D214" i="22"/>
  <c r="GU3" i="3"/>
  <c r="C204" i="14"/>
  <c r="D205" i="14"/>
  <c r="GV6" i="3"/>
  <c r="GU5" i="3"/>
  <c r="HN6" i="19" l="1"/>
  <c r="HM3" i="19"/>
  <c r="HM5" i="19"/>
  <c r="C214" i="22"/>
  <c r="D215" i="22"/>
  <c r="GV3" i="3"/>
  <c r="C205" i="14"/>
  <c r="D206" i="14"/>
  <c r="GW6" i="3"/>
  <c r="GV5" i="3"/>
  <c r="HO6" i="19" l="1"/>
  <c r="HN5" i="19"/>
  <c r="HN3" i="19"/>
  <c r="C215" i="22"/>
  <c r="D216" i="22"/>
  <c r="GW3" i="3"/>
  <c r="D207" i="14"/>
  <c r="C206" i="14"/>
  <c r="GX6" i="3"/>
  <c r="GW5" i="3"/>
  <c r="HP6" i="19" l="1"/>
  <c r="HO3" i="19"/>
  <c r="HO5" i="19"/>
  <c r="C216" i="22"/>
  <c r="D217" i="22"/>
  <c r="GX3" i="3"/>
  <c r="D208" i="14"/>
  <c r="C207" i="14"/>
  <c r="GY6" i="3"/>
  <c r="GX5" i="3"/>
  <c r="HQ6" i="19" l="1"/>
  <c r="HP5" i="19"/>
  <c r="HP3" i="19"/>
  <c r="C217" i="22"/>
  <c r="D218" i="22"/>
  <c r="GY3" i="3"/>
  <c r="D209" i="14"/>
  <c r="C208" i="14"/>
  <c r="GZ6" i="3"/>
  <c r="GY5" i="3"/>
  <c r="HR6" i="19" l="1"/>
  <c r="HQ3" i="19"/>
  <c r="HQ5" i="19"/>
  <c r="C218" i="22"/>
  <c r="D219" i="22"/>
  <c r="GZ3" i="3"/>
  <c r="D210" i="14"/>
  <c r="C209" i="14"/>
  <c r="HA6" i="3"/>
  <c r="GZ5" i="3"/>
  <c r="HS6" i="19" l="1"/>
  <c r="HR3" i="19"/>
  <c r="HR5" i="19"/>
  <c r="C219" i="22"/>
  <c r="D220" i="22"/>
  <c r="HA3" i="3"/>
  <c r="C210" i="14"/>
  <c r="D211" i="14"/>
  <c r="HB6" i="3"/>
  <c r="HA5" i="3"/>
  <c r="HT6" i="19" l="1"/>
  <c r="HS3" i="19"/>
  <c r="HS5" i="19"/>
  <c r="C220" i="22"/>
  <c r="D221" i="22"/>
  <c r="HB3" i="3"/>
  <c r="D212" i="14"/>
  <c r="C211" i="14"/>
  <c r="HC6" i="3"/>
  <c r="HB5" i="3"/>
  <c r="HU6" i="19" l="1"/>
  <c r="HT3" i="19"/>
  <c r="HT5" i="19"/>
  <c r="C221" i="22"/>
  <c r="D222" i="22"/>
  <c r="HC3" i="3"/>
  <c r="D213" i="14"/>
  <c r="C212" i="14"/>
  <c r="HD6" i="3"/>
  <c r="HC5" i="3"/>
  <c r="HV6" i="19" l="1"/>
  <c r="HU3" i="19"/>
  <c r="HU5" i="19"/>
  <c r="C222" i="22"/>
  <c r="D223" i="22"/>
  <c r="HD3" i="3"/>
  <c r="C213" i="14"/>
  <c r="D214" i="14"/>
  <c r="HE6" i="3"/>
  <c r="HD5" i="3"/>
  <c r="HW6" i="19" l="1"/>
  <c r="HV5" i="19"/>
  <c r="HV3" i="19"/>
  <c r="C223" i="22"/>
  <c r="D224" i="22"/>
  <c r="HE3" i="3"/>
  <c r="D215" i="14"/>
  <c r="C214" i="14"/>
  <c r="HF6" i="3"/>
  <c r="HE5" i="3"/>
  <c r="HX6" i="19" l="1"/>
  <c r="HW3" i="19"/>
  <c r="HW5" i="19"/>
  <c r="C224" i="22"/>
  <c r="D225" i="22"/>
  <c r="HF3" i="3"/>
  <c r="C215" i="14"/>
  <c r="D216" i="14"/>
  <c r="HG6" i="3"/>
  <c r="HF5" i="3"/>
  <c r="HY6" i="19" l="1"/>
  <c r="HX3" i="19"/>
  <c r="HX5" i="19"/>
  <c r="C225" i="22"/>
  <c r="D226" i="22"/>
  <c r="HG3" i="3"/>
  <c r="D217" i="14"/>
  <c r="C216" i="14"/>
  <c r="HH6" i="3"/>
  <c r="HG5" i="3"/>
  <c r="HZ6" i="19" l="1"/>
  <c r="HY3" i="19"/>
  <c r="HY5" i="19"/>
  <c r="C226" i="22"/>
  <c r="D227" i="22"/>
  <c r="HH3" i="3"/>
  <c r="D218" i="14"/>
  <c r="C217" i="14"/>
  <c r="HI6" i="3"/>
  <c r="HH5" i="3"/>
  <c r="IA6" i="19" l="1"/>
  <c r="HZ3" i="19"/>
  <c r="HZ5" i="19"/>
  <c r="C227" i="22"/>
  <c r="D228" i="22"/>
  <c r="HI3" i="3"/>
  <c r="D219" i="14"/>
  <c r="C218" i="14"/>
  <c r="HJ6" i="3"/>
  <c r="HI5" i="3"/>
  <c r="IB6" i="19" l="1"/>
  <c r="IA3" i="19"/>
  <c r="IA5" i="19"/>
  <c r="C228" i="22"/>
  <c r="D229" i="22"/>
  <c r="HJ3" i="3"/>
  <c r="D220" i="14"/>
  <c r="C219" i="14"/>
  <c r="HK6" i="3"/>
  <c r="HJ5" i="3"/>
  <c r="IC6" i="19" l="1"/>
  <c r="IB3" i="19"/>
  <c r="IB5" i="19"/>
  <c r="C229" i="22"/>
  <c r="D230" i="22"/>
  <c r="HK3" i="3"/>
  <c r="C220" i="14"/>
  <c r="D221" i="14"/>
  <c r="HL6" i="3"/>
  <c r="HK5" i="3"/>
  <c r="ID6" i="19" l="1"/>
  <c r="IC3" i="19"/>
  <c r="IC5" i="19"/>
  <c r="C230" i="22"/>
  <c r="D231" i="22"/>
  <c r="HL3" i="3"/>
  <c r="C221" i="14"/>
  <c r="D222" i="14"/>
  <c r="HM6" i="3"/>
  <c r="HL5" i="3"/>
  <c r="IE6" i="19" l="1"/>
  <c r="ID5" i="19"/>
  <c r="ID3" i="19"/>
  <c r="C231" i="22"/>
  <c r="D232" i="22"/>
  <c r="HM3" i="3"/>
  <c r="C222" i="14"/>
  <c r="D223" i="14"/>
  <c r="HN6" i="3"/>
  <c r="HM5" i="3"/>
  <c r="IF6" i="19" l="1"/>
  <c r="IE3" i="19"/>
  <c r="IE5" i="19"/>
  <c r="C232" i="22"/>
  <c r="D233" i="22"/>
  <c r="HN3" i="3"/>
  <c r="D224" i="14"/>
  <c r="C223" i="14"/>
  <c r="HO6" i="3"/>
  <c r="HN5" i="3"/>
  <c r="IG6" i="19" l="1"/>
  <c r="IF3" i="19"/>
  <c r="IF5" i="19"/>
  <c r="C233" i="22"/>
  <c r="D234" i="22"/>
  <c r="HO3" i="3"/>
  <c r="D225" i="14"/>
  <c r="C224" i="14"/>
  <c r="HP6" i="3"/>
  <c r="HO5" i="3"/>
  <c r="IH6" i="19" l="1"/>
  <c r="IG3" i="19"/>
  <c r="IG5" i="19"/>
  <c r="C234" i="22"/>
  <c r="D235" i="22"/>
  <c r="HP3" i="3"/>
  <c r="D226" i="14"/>
  <c r="C225" i="14"/>
  <c r="HQ6" i="3"/>
  <c r="HP5" i="3"/>
  <c r="II6" i="19" l="1"/>
  <c r="IH3" i="19"/>
  <c r="IH5" i="19"/>
  <c r="C235" i="22"/>
  <c r="D236" i="22"/>
  <c r="HQ3" i="3"/>
  <c r="C226" i="14"/>
  <c r="D227" i="14"/>
  <c r="HR6" i="3"/>
  <c r="HQ5" i="3"/>
  <c r="IJ6" i="19" l="1"/>
  <c r="II3" i="19"/>
  <c r="II5" i="19"/>
  <c r="C236" i="22"/>
  <c r="D237" i="22"/>
  <c r="HR3" i="3"/>
  <c r="D228" i="14"/>
  <c r="C227" i="14"/>
  <c r="HS6" i="3"/>
  <c r="HR5" i="3"/>
  <c r="IK6" i="19" l="1"/>
  <c r="IJ3" i="19"/>
  <c r="IJ5" i="19"/>
  <c r="C237" i="22"/>
  <c r="D238" i="22"/>
  <c r="HS3" i="3"/>
  <c r="D229" i="14"/>
  <c r="C228" i="14"/>
  <c r="HT6" i="3"/>
  <c r="HS5" i="3"/>
  <c r="IL6" i="19" l="1"/>
  <c r="IK3" i="19"/>
  <c r="IK5" i="19"/>
  <c r="C238" i="22"/>
  <c r="D239" i="22"/>
  <c r="HT3" i="3"/>
  <c r="C229" i="14"/>
  <c r="D230" i="14"/>
  <c r="HU6" i="3"/>
  <c r="HT5" i="3"/>
  <c r="IM6" i="19" l="1"/>
  <c r="IL5" i="19"/>
  <c r="IL3" i="19"/>
  <c r="C239" i="22"/>
  <c r="D240" i="22"/>
  <c r="HU3" i="3"/>
  <c r="D231" i="14"/>
  <c r="C230" i="14"/>
  <c r="HV6" i="3"/>
  <c r="HU5" i="3"/>
  <c r="IN6" i="19" l="1"/>
  <c r="IM5" i="19"/>
  <c r="IM3" i="19"/>
  <c r="C240" i="22"/>
  <c r="D241" i="22"/>
  <c r="HV3" i="3"/>
  <c r="C231" i="14"/>
  <c r="D232" i="14"/>
  <c r="HW6" i="3"/>
  <c r="HV5" i="3"/>
  <c r="IO6" i="19" l="1"/>
  <c r="IN3" i="19"/>
  <c r="IN5" i="19"/>
  <c r="C241" i="22"/>
  <c r="D242" i="22"/>
  <c r="HW3" i="3"/>
  <c r="C232" i="14"/>
  <c r="D233" i="14"/>
  <c r="HX6" i="3"/>
  <c r="HW5" i="3"/>
  <c r="IP6" i="19" l="1"/>
  <c r="IO3" i="19"/>
  <c r="IO5" i="19"/>
  <c r="C242" i="22"/>
  <c r="D243" i="22"/>
  <c r="HX3" i="3"/>
  <c r="D234" i="14"/>
  <c r="C233" i="14"/>
  <c r="HY6" i="3"/>
  <c r="HX5" i="3"/>
  <c r="IQ6" i="19" l="1"/>
  <c r="IP3" i="19"/>
  <c r="IP5" i="19"/>
  <c r="C243" i="22"/>
  <c r="D244" i="22"/>
  <c r="HY3" i="3"/>
  <c r="D235" i="14"/>
  <c r="C234" i="14"/>
  <c r="HZ6" i="3"/>
  <c r="HY5" i="3"/>
  <c r="IR6" i="19" l="1"/>
  <c r="IQ3" i="19"/>
  <c r="IQ5" i="19"/>
  <c r="C244" i="22"/>
  <c r="D245" i="22"/>
  <c r="HZ3" i="3"/>
  <c r="D236" i="14"/>
  <c r="C235" i="14"/>
  <c r="IA6" i="3"/>
  <c r="HZ5" i="3"/>
  <c r="IS6" i="19" l="1"/>
  <c r="IR3" i="19"/>
  <c r="IR5" i="19"/>
  <c r="C245" i="22"/>
  <c r="D246" i="22"/>
  <c r="IA3" i="3"/>
  <c r="C236" i="14"/>
  <c r="D237" i="14"/>
  <c r="IB6" i="3"/>
  <c r="IA5" i="3"/>
  <c r="IT6" i="19" l="1"/>
  <c r="IS3" i="19"/>
  <c r="IS5" i="19"/>
  <c r="C246" i="22"/>
  <c r="D247" i="22"/>
  <c r="IB3" i="3"/>
  <c r="C237" i="14"/>
  <c r="D238" i="14"/>
  <c r="IC6" i="3"/>
  <c r="IB5" i="3"/>
  <c r="IU6" i="19" l="1"/>
  <c r="IT5" i="19"/>
  <c r="IT3" i="19"/>
  <c r="C247" i="22"/>
  <c r="D248" i="22"/>
  <c r="IC3" i="3"/>
  <c r="C238" i="14"/>
  <c r="D239" i="14"/>
  <c r="ID6" i="3"/>
  <c r="IC5" i="3"/>
  <c r="IV6" i="19" l="1"/>
  <c r="IU3" i="19"/>
  <c r="IU5" i="19"/>
  <c r="C248" i="22"/>
  <c r="D249" i="22"/>
  <c r="ID3" i="3"/>
  <c r="D240" i="14"/>
  <c r="C239" i="14"/>
  <c r="IE6" i="3"/>
  <c r="ID5" i="3"/>
  <c r="IW6" i="19" l="1"/>
  <c r="IV5" i="19"/>
  <c r="IV3" i="19"/>
  <c r="C249" i="22"/>
  <c r="D250" i="22"/>
  <c r="IE3" i="3"/>
  <c r="C240" i="14"/>
  <c r="D241" i="14"/>
  <c r="IF6" i="3"/>
  <c r="IE5" i="3"/>
  <c r="IX6" i="19" l="1"/>
  <c r="IW3" i="19"/>
  <c r="IW5" i="19"/>
  <c r="C250" i="22"/>
  <c r="D251" i="22"/>
  <c r="IF3" i="3"/>
  <c r="D242" i="14"/>
  <c r="C241" i="14"/>
  <c r="IG6" i="3"/>
  <c r="IF5" i="3"/>
  <c r="IY6" i="19" l="1"/>
  <c r="IX3" i="19"/>
  <c r="IX5" i="19"/>
  <c r="C251" i="22"/>
  <c r="D252" i="22"/>
  <c r="IG3" i="3"/>
  <c r="C242" i="14"/>
  <c r="D243" i="14"/>
  <c r="IH6" i="3"/>
  <c r="IG5" i="3"/>
  <c r="IZ6" i="19" l="1"/>
  <c r="IY3" i="19"/>
  <c r="IY5" i="19"/>
  <c r="C252" i="22"/>
  <c r="D253" i="22"/>
  <c r="IH3" i="3"/>
  <c r="C243" i="14"/>
  <c r="D244" i="14"/>
  <c r="II6" i="3"/>
  <c r="IH5" i="3"/>
  <c r="JA6" i="19" l="1"/>
  <c r="IZ3" i="19"/>
  <c r="IZ5" i="19"/>
  <c r="C253" i="22"/>
  <c r="D254" i="22"/>
  <c r="II3" i="3"/>
  <c r="D245" i="14"/>
  <c r="C244" i="14"/>
  <c r="IJ6" i="3"/>
  <c r="II5" i="3"/>
  <c r="JB6" i="19" l="1"/>
  <c r="JA3" i="19"/>
  <c r="JA5" i="19"/>
  <c r="C254" i="22"/>
  <c r="D255" i="22"/>
  <c r="IJ3" i="3"/>
  <c r="C245" i="14"/>
  <c r="D246" i="14"/>
  <c r="IK6" i="3"/>
  <c r="IJ5" i="3"/>
  <c r="JC6" i="19" l="1"/>
  <c r="JB5" i="19"/>
  <c r="JB3" i="19"/>
  <c r="C255" i="22"/>
  <c r="D256" i="22"/>
  <c r="IK3" i="3"/>
  <c r="D247" i="14"/>
  <c r="C246" i="14"/>
  <c r="IL6" i="3"/>
  <c r="IK5" i="3"/>
  <c r="JD6" i="19" l="1"/>
  <c r="JC3" i="19"/>
  <c r="JC5" i="19"/>
  <c r="C256" i="22"/>
  <c r="D257" i="22"/>
  <c r="IL3" i="3"/>
  <c r="C247" i="14"/>
  <c r="D248" i="14"/>
  <c r="IM6" i="3"/>
  <c r="IL5" i="3"/>
  <c r="JE6" i="19" l="1"/>
  <c r="JD3" i="19"/>
  <c r="JD5" i="19"/>
  <c r="C257" i="22"/>
  <c r="D258" i="22"/>
  <c r="IM3" i="3"/>
  <c r="C248" i="14"/>
  <c r="D249" i="14"/>
  <c r="IN6" i="3"/>
  <c r="IM5" i="3"/>
  <c r="JF6" i="19" l="1"/>
  <c r="JE3" i="19"/>
  <c r="JE5" i="19"/>
  <c r="C258" i="22"/>
  <c r="D259" i="22"/>
  <c r="IN3" i="3"/>
  <c r="D250" i="14"/>
  <c r="C249" i="14"/>
  <c r="IO6" i="3"/>
  <c r="IN5" i="3"/>
  <c r="JG6" i="19" l="1"/>
  <c r="JF3" i="19"/>
  <c r="JF5" i="19"/>
  <c r="C259" i="22"/>
  <c r="D260" i="22"/>
  <c r="IO3" i="3"/>
  <c r="D251" i="14"/>
  <c r="C250" i="14"/>
  <c r="IP6" i="3"/>
  <c r="IO5" i="3"/>
  <c r="JH6" i="19" l="1"/>
  <c r="JG3" i="19"/>
  <c r="JG5" i="19"/>
  <c r="C260" i="22"/>
  <c r="D261" i="22"/>
  <c r="IP3" i="3"/>
  <c r="D252" i="14"/>
  <c r="C251" i="14"/>
  <c r="IQ6" i="3"/>
  <c r="IP5" i="3"/>
  <c r="JI6" i="19" l="1"/>
  <c r="JH3" i="19"/>
  <c r="JH5" i="19"/>
  <c r="C261" i="22"/>
  <c r="D262" i="22"/>
  <c r="IQ3" i="3"/>
  <c r="C252" i="14"/>
  <c r="D253" i="14"/>
  <c r="IR6" i="3"/>
  <c r="IQ5" i="3"/>
  <c r="JJ6" i="19" l="1"/>
  <c r="JI3" i="19"/>
  <c r="JI5" i="19"/>
  <c r="C262" i="22"/>
  <c r="D263" i="22"/>
  <c r="IR3" i="3"/>
  <c r="C253" i="14"/>
  <c r="D254" i="14"/>
  <c r="IS6" i="3"/>
  <c r="IR5" i="3"/>
  <c r="JK6" i="19" l="1"/>
  <c r="JJ5" i="19"/>
  <c r="JJ3" i="19"/>
  <c r="C263" i="22"/>
  <c r="D264" i="22"/>
  <c r="IS3" i="3"/>
  <c r="D255" i="14"/>
  <c r="C254" i="14"/>
  <c r="IT6" i="3"/>
  <c r="IS5" i="3"/>
  <c r="JL6" i="19" l="1"/>
  <c r="JK5" i="19"/>
  <c r="JK3" i="19"/>
  <c r="C264" i="22"/>
  <c r="D265" i="22"/>
  <c r="IT3" i="3"/>
  <c r="D256" i="14"/>
  <c r="C255" i="14"/>
  <c r="IU6" i="3"/>
  <c r="IT5" i="3"/>
  <c r="JM6" i="19" l="1"/>
  <c r="JL5" i="19"/>
  <c r="JL3" i="19"/>
  <c r="C265" i="22"/>
  <c r="D266" i="22"/>
  <c r="IU3" i="3"/>
  <c r="C256" i="14"/>
  <c r="D257" i="14"/>
  <c r="IV6" i="3"/>
  <c r="IU5" i="3"/>
  <c r="JN6" i="19" l="1"/>
  <c r="JM3" i="19"/>
  <c r="JM5" i="19"/>
  <c r="C266" i="22"/>
  <c r="D267" i="22"/>
  <c r="IV3" i="3"/>
  <c r="D258" i="14"/>
  <c r="C257" i="14"/>
  <c r="IW6" i="3"/>
  <c r="IV5" i="3"/>
  <c r="JO6" i="19" l="1"/>
  <c r="JN3" i="19"/>
  <c r="JN5" i="19"/>
  <c r="C267" i="22"/>
  <c r="D268" i="22"/>
  <c r="IW3" i="3"/>
  <c r="C258" i="14"/>
  <c r="D259" i="14"/>
  <c r="IX6" i="3"/>
  <c r="IW5" i="3"/>
  <c r="JP6" i="19" l="1"/>
  <c r="JO3" i="19"/>
  <c r="JO5" i="19"/>
  <c r="C268" i="22"/>
  <c r="D269" i="22"/>
  <c r="IX3" i="3"/>
  <c r="D260" i="14"/>
  <c r="C259" i="14"/>
  <c r="IY6" i="3"/>
  <c r="IX5" i="3"/>
  <c r="JQ6" i="19" l="1"/>
  <c r="JP3" i="19"/>
  <c r="JP5" i="19"/>
  <c r="C269" i="22"/>
  <c r="D270" i="22"/>
  <c r="IY3" i="3"/>
  <c r="D261" i="14"/>
  <c r="C260" i="14"/>
  <c r="IZ6" i="3"/>
  <c r="IY5" i="3"/>
  <c r="JR6" i="19" l="1"/>
  <c r="JQ3" i="19"/>
  <c r="JQ5" i="19"/>
  <c r="C270" i="22"/>
  <c r="D271" i="22"/>
  <c r="IZ3" i="3"/>
  <c r="C261" i="14"/>
  <c r="D262" i="14"/>
  <c r="JA6" i="3"/>
  <c r="IZ5" i="3"/>
  <c r="JS6" i="19" l="1"/>
  <c r="JR5" i="19"/>
  <c r="JR3" i="19"/>
  <c r="C271" i="22"/>
  <c r="D272" i="22"/>
  <c r="JA3" i="3"/>
  <c r="D263" i="14"/>
  <c r="C262" i="14"/>
  <c r="JB6" i="3"/>
  <c r="JA5" i="3"/>
  <c r="JT6" i="19" l="1"/>
  <c r="JS3" i="19"/>
  <c r="JS5" i="19"/>
  <c r="C272" i="22"/>
  <c r="D273" i="22"/>
  <c r="JB3" i="3"/>
  <c r="C263" i="14"/>
  <c r="D264" i="14"/>
  <c r="JC6" i="3"/>
  <c r="JB5" i="3"/>
  <c r="JU6" i="19" l="1"/>
  <c r="JT5" i="19"/>
  <c r="JT3" i="19"/>
  <c r="C273" i="22"/>
  <c r="D274" i="22"/>
  <c r="JC3" i="3"/>
  <c r="D265" i="14"/>
  <c r="C264" i="14"/>
  <c r="JD6" i="3"/>
  <c r="JC5" i="3"/>
  <c r="JV6" i="19" l="1"/>
  <c r="JU3" i="19"/>
  <c r="JU5" i="19"/>
  <c r="C274" i="22"/>
  <c r="D275" i="22"/>
  <c r="JD3" i="3"/>
  <c r="D266" i="14"/>
  <c r="C265" i="14"/>
  <c r="JE6" i="3"/>
  <c r="JD5" i="3"/>
  <c r="JW6" i="19" l="1"/>
  <c r="JV3" i="19"/>
  <c r="JV5" i="19"/>
  <c r="C275" i="22"/>
  <c r="D276" i="22"/>
  <c r="JE3" i="3"/>
  <c r="C266" i="14"/>
  <c r="D267" i="14"/>
  <c r="JF6" i="3"/>
  <c r="JE5" i="3"/>
  <c r="JX6" i="19" l="1"/>
  <c r="JW3" i="19"/>
  <c r="JW5" i="19"/>
  <c r="C276" i="22"/>
  <c r="D277" i="22"/>
  <c r="JF3" i="3"/>
  <c r="C267" i="14"/>
  <c r="D268" i="14"/>
  <c r="JG6" i="3"/>
  <c r="JF5" i="3"/>
  <c r="JY6" i="19" l="1"/>
  <c r="JX3" i="19"/>
  <c r="JX5" i="19"/>
  <c r="C277" i="22"/>
  <c r="D278" i="22"/>
  <c r="JG3" i="3"/>
  <c r="C268" i="14"/>
  <c r="D269" i="14"/>
  <c r="JH6" i="3"/>
  <c r="JG5" i="3"/>
  <c r="JZ6" i="19" l="1"/>
  <c r="JY3" i="19"/>
  <c r="JY5" i="19"/>
  <c r="C278" i="22"/>
  <c r="D279" i="22"/>
  <c r="JH3" i="3"/>
  <c r="C269" i="14"/>
  <c r="D270" i="14"/>
  <c r="JI6" i="3"/>
  <c r="JH5" i="3"/>
  <c r="KA6" i="19" l="1"/>
  <c r="JZ5" i="19"/>
  <c r="JZ3" i="19"/>
  <c r="C279" i="22"/>
  <c r="D280" i="22"/>
  <c r="JI3" i="3"/>
  <c r="D271" i="14"/>
  <c r="C270" i="14"/>
  <c r="JJ6" i="3"/>
  <c r="JI5" i="3"/>
  <c r="KB6" i="19" l="1"/>
  <c r="KA3" i="19"/>
  <c r="KA5" i="19"/>
  <c r="C280" i="22"/>
  <c r="D281" i="22"/>
  <c r="JJ3" i="3"/>
  <c r="D272" i="14"/>
  <c r="C271" i="14"/>
  <c r="JK6" i="3"/>
  <c r="JJ5" i="3"/>
  <c r="KC6" i="19" l="1"/>
  <c r="KB3" i="19"/>
  <c r="KB5" i="19"/>
  <c r="C281" i="22"/>
  <c r="D282" i="22"/>
  <c r="JK3" i="3"/>
  <c r="D273" i="14"/>
  <c r="C272" i="14"/>
  <c r="JL6" i="3"/>
  <c r="JK5" i="3"/>
  <c r="KD6" i="19" l="1"/>
  <c r="KC3" i="19"/>
  <c r="KC5" i="19"/>
  <c r="C282" i="22"/>
  <c r="D283" i="22"/>
  <c r="JL3" i="3"/>
  <c r="D274" i="14"/>
  <c r="C273" i="14"/>
  <c r="JM6" i="3"/>
  <c r="JL5" i="3"/>
  <c r="KE6" i="19" l="1"/>
  <c r="KD3" i="19"/>
  <c r="KD5" i="19"/>
  <c r="C283" i="22"/>
  <c r="D284" i="22"/>
  <c r="JM3" i="3"/>
  <c r="C274" i="14"/>
  <c r="D275" i="14"/>
  <c r="JN6" i="3"/>
  <c r="JM5" i="3"/>
  <c r="KF6" i="19" l="1"/>
  <c r="KE3" i="19"/>
  <c r="KE5" i="19"/>
  <c r="C284" i="22"/>
  <c r="D285" i="22"/>
  <c r="JN3" i="3"/>
  <c r="C275" i="14"/>
  <c r="D276" i="14"/>
  <c r="JO6" i="3"/>
  <c r="JN5" i="3"/>
  <c r="KG6" i="19" l="1"/>
  <c r="KF3" i="19"/>
  <c r="KF5" i="19"/>
  <c r="C285" i="22"/>
  <c r="D286" i="22"/>
  <c r="JO3" i="3"/>
  <c r="D277" i="14"/>
  <c r="C276" i="14"/>
  <c r="JP6" i="3"/>
  <c r="JO5" i="3"/>
  <c r="KH6" i="19" l="1"/>
  <c r="KG3" i="19"/>
  <c r="KG5" i="19"/>
  <c r="C286" i="22"/>
  <c r="D287" i="22"/>
  <c r="JP3" i="3"/>
  <c r="C277" i="14"/>
  <c r="D278" i="14"/>
  <c r="JQ6" i="3"/>
  <c r="JP5" i="3"/>
  <c r="KI6" i="19" l="1"/>
  <c r="KH5" i="19"/>
  <c r="KH3" i="19"/>
  <c r="C287" i="22"/>
  <c r="D288" i="22"/>
  <c r="JQ3" i="3"/>
  <c r="D279" i="14"/>
  <c r="C278" i="14"/>
  <c r="JR6" i="3"/>
  <c r="JQ5" i="3"/>
  <c r="KJ6" i="19" l="1"/>
  <c r="KI5" i="19"/>
  <c r="KI3" i="19"/>
  <c r="C288" i="22"/>
  <c r="D289" i="22"/>
  <c r="JR3" i="3"/>
  <c r="C279" i="14"/>
  <c r="D280" i="14"/>
  <c r="JS6" i="3"/>
  <c r="JR5" i="3"/>
  <c r="KK6" i="19" l="1"/>
  <c r="KJ3" i="19"/>
  <c r="KJ5" i="19"/>
  <c r="C289" i="22"/>
  <c r="D290" i="22"/>
  <c r="JS3" i="3"/>
  <c r="D281" i="14"/>
  <c r="C280" i="14"/>
  <c r="JT6" i="3"/>
  <c r="JS5" i="3"/>
  <c r="KL6" i="19" l="1"/>
  <c r="KK3" i="19"/>
  <c r="KK5" i="19"/>
  <c r="C290" i="22"/>
  <c r="D291" i="22"/>
  <c r="JT3" i="3"/>
  <c r="C281" i="14"/>
  <c r="D282" i="14"/>
  <c r="JU6" i="3"/>
  <c r="JT5" i="3"/>
  <c r="KM6" i="19" l="1"/>
  <c r="KL3" i="19"/>
  <c r="KL5" i="19"/>
  <c r="C291" i="22"/>
  <c r="D292" i="22"/>
  <c r="JU3" i="3"/>
  <c r="D283" i="14"/>
  <c r="C282" i="14"/>
  <c r="JV6" i="3"/>
  <c r="JU5" i="3"/>
  <c r="KN6" i="19" l="1"/>
  <c r="KM3" i="19"/>
  <c r="KM5" i="19"/>
  <c r="C292" i="22"/>
  <c r="D293" i="22"/>
  <c r="JV3" i="3"/>
  <c r="C283" i="14"/>
  <c r="D284" i="14"/>
  <c r="JW6" i="3"/>
  <c r="JV5" i="3"/>
  <c r="KO6" i="19" l="1"/>
  <c r="KN3" i="19"/>
  <c r="KN5" i="19"/>
  <c r="C293" i="22"/>
  <c r="D294" i="22"/>
  <c r="JW3" i="3"/>
  <c r="C284" i="14"/>
  <c r="D285" i="14"/>
  <c r="JX6" i="3"/>
  <c r="JW5" i="3"/>
  <c r="KP6" i="19" l="1"/>
  <c r="KO3" i="19"/>
  <c r="KO5" i="19"/>
  <c r="C294" i="22"/>
  <c r="D295" i="22"/>
  <c r="JX3" i="3"/>
  <c r="C285" i="14"/>
  <c r="D286" i="14"/>
  <c r="JY6" i="3"/>
  <c r="JX5" i="3"/>
  <c r="KQ6" i="19" l="1"/>
  <c r="KP5" i="19"/>
  <c r="KP3" i="19"/>
  <c r="C295" i="22"/>
  <c r="D296" i="22"/>
  <c r="JY3" i="3"/>
  <c r="D287" i="14"/>
  <c r="C286" i="14"/>
  <c r="JZ6" i="3"/>
  <c r="JY5" i="3"/>
  <c r="KQ3" i="19" l="1"/>
  <c r="KQ5" i="19"/>
  <c r="C296" i="22"/>
  <c r="D297" i="22"/>
  <c r="JZ3" i="3"/>
  <c r="D288" i="14"/>
  <c r="C287" i="14"/>
  <c r="KA6" i="3"/>
  <c r="JZ5" i="3"/>
  <c r="C297" i="22" l="1"/>
  <c r="D298" i="22"/>
  <c r="KA3" i="3"/>
  <c r="C288" i="14"/>
  <c r="D289" i="14"/>
  <c r="KB6" i="3"/>
  <c r="KA5" i="3"/>
  <c r="C298" i="22" l="1"/>
  <c r="D299" i="22"/>
  <c r="KB3" i="3"/>
  <c r="D290" i="14"/>
  <c r="C289" i="14"/>
  <c r="KC6" i="3"/>
  <c r="KB5" i="3"/>
  <c r="C299" i="22" l="1"/>
  <c r="D300" i="22"/>
  <c r="KC3" i="3"/>
  <c r="D291" i="14"/>
  <c r="C290" i="14"/>
  <c r="KD6" i="3"/>
  <c r="KC5" i="3"/>
  <c r="C300" i="22" l="1"/>
  <c r="D301" i="22"/>
  <c r="KD3" i="3"/>
  <c r="D292" i="14"/>
  <c r="C291" i="14"/>
  <c r="KE6" i="3"/>
  <c r="KD5" i="3"/>
  <c r="C301" i="22" l="1"/>
  <c r="D302" i="22"/>
  <c r="KE3" i="3"/>
  <c r="D293" i="14"/>
  <c r="C292" i="14"/>
  <c r="KF6" i="3"/>
  <c r="KE5" i="3"/>
  <c r="C302" i="22" l="1"/>
  <c r="D303" i="22"/>
  <c r="KF3" i="3"/>
  <c r="C293" i="14"/>
  <c r="D294" i="14"/>
  <c r="KG6" i="3"/>
  <c r="KF5" i="3"/>
  <c r="C303" i="22" l="1"/>
  <c r="D304" i="22"/>
  <c r="KG3" i="3"/>
  <c r="D295" i="14"/>
  <c r="C294" i="14"/>
  <c r="KH6" i="3"/>
  <c r="KG5" i="3"/>
  <c r="C304" i="22" l="1"/>
  <c r="D305" i="22"/>
  <c r="KH3" i="3"/>
  <c r="C295" i="14"/>
  <c r="D296" i="14"/>
  <c r="KI6" i="3"/>
  <c r="KH5" i="3"/>
  <c r="C305" i="22" l="1"/>
  <c r="D306" i="22"/>
  <c r="KI3" i="3"/>
  <c r="D297" i="14"/>
  <c r="C296" i="14"/>
  <c r="KJ6" i="3"/>
  <c r="KI5" i="3"/>
  <c r="C306" i="22" l="1"/>
  <c r="FD17" i="19" a="1"/>
  <c r="FD17" i="19" s="1"/>
  <c r="FE17" i="19" a="1"/>
  <c r="FE17" i="19" s="1"/>
  <c r="FA17" i="19" a="1"/>
  <c r="FA17" i="19" s="1"/>
  <c r="EX17" i="19" a="1"/>
  <c r="EX17" i="19" s="1"/>
  <c r="EU17" i="19" a="1"/>
  <c r="EU17" i="19" s="1"/>
  <c r="ER17" i="19" a="1"/>
  <c r="ER17" i="19" s="1"/>
  <c r="EO17" i="19" a="1"/>
  <c r="EO17" i="19" s="1"/>
  <c r="EL17" i="19" a="1"/>
  <c r="EL17" i="19" s="1"/>
  <c r="EI17" i="19" a="1"/>
  <c r="EI17" i="19" s="1"/>
  <c r="EF17" i="19" a="1"/>
  <c r="EF17" i="19" s="1"/>
  <c r="EC17" i="19" a="1"/>
  <c r="EC17" i="19" s="1"/>
  <c r="DZ17" i="19" a="1"/>
  <c r="DZ17" i="19" s="1"/>
  <c r="DW17" i="19" a="1"/>
  <c r="DW17" i="19" s="1"/>
  <c r="DT17" i="19" a="1"/>
  <c r="DT17" i="19" s="1"/>
  <c r="DQ17" i="19" a="1"/>
  <c r="DQ17" i="19" s="1"/>
  <c r="DN17" i="19" a="1"/>
  <c r="DN17" i="19" s="1"/>
  <c r="DK17" i="19" a="1"/>
  <c r="DK17" i="19" s="1"/>
  <c r="DH17" i="19" a="1"/>
  <c r="DH17" i="19" s="1"/>
  <c r="DE17" i="19" a="1"/>
  <c r="DE17" i="19" s="1"/>
  <c r="DB17" i="19" a="1"/>
  <c r="DB17" i="19" s="1"/>
  <c r="CY17" i="19" a="1"/>
  <c r="CY17" i="19" s="1"/>
  <c r="CV17" i="19" a="1"/>
  <c r="CV17" i="19" s="1"/>
  <c r="CS17" i="19" a="1"/>
  <c r="CS17" i="19" s="1"/>
  <c r="CP17" i="19" a="1"/>
  <c r="CP17" i="19" s="1"/>
  <c r="CM17" i="19" a="1"/>
  <c r="CM17" i="19" s="1"/>
  <c r="CJ17" i="19" a="1"/>
  <c r="CJ17" i="19" s="1"/>
  <c r="CF17" i="19" a="1"/>
  <c r="CF17" i="19" s="1"/>
  <c r="CC17" i="19" a="1"/>
  <c r="CC17" i="19" s="1"/>
  <c r="BZ17" i="19" a="1"/>
  <c r="BZ17" i="19" s="1"/>
  <c r="BW17" i="19" a="1"/>
  <c r="BW17" i="19" s="1"/>
  <c r="BT17" i="19" a="1"/>
  <c r="BT17" i="19" s="1"/>
  <c r="BQ17" i="19" a="1"/>
  <c r="BQ17" i="19" s="1"/>
  <c r="BN17" i="19" a="1"/>
  <c r="BN17" i="19" s="1"/>
  <c r="BK17" i="19" a="1"/>
  <c r="BK17" i="19" s="1"/>
  <c r="BH17" i="19" a="1"/>
  <c r="BH17" i="19" s="1"/>
  <c r="BE17" i="19" a="1"/>
  <c r="BE17" i="19" s="1"/>
  <c r="BB17" i="19" a="1"/>
  <c r="BB17" i="19" s="1"/>
  <c r="AY17" i="19" a="1"/>
  <c r="AY17" i="19" s="1"/>
  <c r="AV17" i="19" a="1"/>
  <c r="AV17" i="19" s="1"/>
  <c r="AS17" i="19" a="1"/>
  <c r="AS17" i="19" s="1"/>
  <c r="AP17" i="19" a="1"/>
  <c r="AP17" i="19" s="1"/>
  <c r="AM17" i="19" a="1"/>
  <c r="AM17" i="19" s="1"/>
  <c r="AJ17" i="19" a="1"/>
  <c r="AJ17" i="19" s="1"/>
  <c r="AG17" i="19" a="1"/>
  <c r="AG17" i="19" s="1"/>
  <c r="AD17" i="19" a="1"/>
  <c r="AD17" i="19" s="1"/>
  <c r="AA17" i="19" a="1"/>
  <c r="AA17" i="19" s="1"/>
  <c r="X17" i="19" a="1"/>
  <c r="X17" i="19" s="1"/>
  <c r="U17" i="19" a="1"/>
  <c r="U17" i="19" s="1"/>
  <c r="R17" i="19" a="1"/>
  <c r="R17" i="19" s="1"/>
  <c r="O17" i="19" a="1"/>
  <c r="O17" i="19" s="1"/>
  <c r="L17" i="19" a="1"/>
  <c r="L17" i="19" s="1"/>
  <c r="I17" i="19" a="1"/>
  <c r="I17" i="19" s="1"/>
  <c r="F17" i="19" a="1"/>
  <c r="F17" i="19" s="1"/>
  <c r="DU13" i="19" a="1"/>
  <c r="DU13" i="19" s="1"/>
  <c r="DR13" i="19" a="1"/>
  <c r="DR13" i="19" s="1"/>
  <c r="DO13" i="19" a="1"/>
  <c r="DO13" i="19" s="1"/>
  <c r="DL13" i="19" a="1"/>
  <c r="DL13" i="19" s="1"/>
  <c r="DI13" i="19" a="1"/>
  <c r="DI13" i="19" s="1"/>
  <c r="DF13" i="19" a="1"/>
  <c r="DF13" i="19" s="1"/>
  <c r="DC13" i="19" a="1"/>
  <c r="DC13" i="19" s="1"/>
  <c r="CZ13" i="19" a="1"/>
  <c r="CZ13" i="19" s="1"/>
  <c r="CW13" i="19" a="1"/>
  <c r="CW13" i="19" s="1"/>
  <c r="CS13" i="19" a="1"/>
  <c r="CS13" i="19" s="1"/>
  <c r="CP13" i="19" a="1"/>
  <c r="CP13" i="19" s="1"/>
  <c r="CM13" i="19" a="1"/>
  <c r="CM13" i="19" s="1"/>
  <c r="CJ13" i="19" a="1"/>
  <c r="CJ13" i="19" s="1"/>
  <c r="CF13" i="19" a="1"/>
  <c r="CF13" i="19" s="1"/>
  <c r="CC13" i="19" a="1"/>
  <c r="CC13" i="19" s="1"/>
  <c r="BZ13" i="19" a="1"/>
  <c r="BZ13" i="19" s="1"/>
  <c r="BV13" i="19" a="1"/>
  <c r="BV13" i="19" s="1"/>
  <c r="BS13" i="19" a="1"/>
  <c r="BS13" i="19" s="1"/>
  <c r="BP13" i="19" a="1"/>
  <c r="BP13" i="19" s="1"/>
  <c r="BM13" i="19" a="1"/>
  <c r="BM13" i="19" s="1"/>
  <c r="BI13" i="19" a="1"/>
  <c r="BI13" i="19" s="1"/>
  <c r="BF13" i="19" a="1"/>
  <c r="BF13" i="19" s="1"/>
  <c r="BC13" i="19" a="1"/>
  <c r="BC13" i="19" s="1"/>
  <c r="AZ13" i="19" a="1"/>
  <c r="AZ13" i="19" s="1"/>
  <c r="AV13" i="19" a="1"/>
  <c r="AV13" i="19" s="1"/>
  <c r="AS13" i="19" a="1"/>
  <c r="AS13" i="19" s="1"/>
  <c r="AP13" i="19" a="1"/>
  <c r="AP13" i="19" s="1"/>
  <c r="AL13" i="19" a="1"/>
  <c r="AL13" i="19" s="1"/>
  <c r="AI13" i="19" a="1"/>
  <c r="AI13" i="19" s="1"/>
  <c r="AF13" i="19" a="1"/>
  <c r="AF13" i="19" s="1"/>
  <c r="AC13" i="19" a="1"/>
  <c r="AC13" i="19" s="1"/>
  <c r="Y13" i="19" a="1"/>
  <c r="Y13" i="19" s="1"/>
  <c r="V13" i="19" a="1"/>
  <c r="V13" i="19" s="1"/>
  <c r="S13" i="19" a="1"/>
  <c r="S13" i="19" s="1"/>
  <c r="P13" i="19" a="1"/>
  <c r="P13" i="19" s="1"/>
  <c r="L13" i="19" a="1"/>
  <c r="L13" i="19" s="1"/>
  <c r="I13" i="19" a="1"/>
  <c r="I13" i="19" s="1"/>
  <c r="F13" i="19" a="1"/>
  <c r="F13" i="19" s="1"/>
  <c r="EB12" i="19" a="1"/>
  <c r="EB12" i="19" s="1"/>
  <c r="DY12" i="19" a="1"/>
  <c r="DY12" i="19" s="1"/>
  <c r="DV12" i="19" a="1"/>
  <c r="DV12" i="19" s="1"/>
  <c r="DS12" i="19" a="1"/>
  <c r="DS12" i="19" s="1"/>
  <c r="DP12" i="19" a="1"/>
  <c r="DP12" i="19" s="1"/>
  <c r="DM12" i="19" a="1"/>
  <c r="DM12" i="19" s="1"/>
  <c r="DJ12" i="19" a="1"/>
  <c r="DJ12" i="19" s="1"/>
  <c r="DG12" i="19" a="1"/>
  <c r="DG12" i="19" s="1"/>
  <c r="DD12" i="19" a="1"/>
  <c r="DD12" i="19" s="1"/>
  <c r="DA12" i="19" a="1"/>
  <c r="DA12" i="19" s="1"/>
  <c r="CX12" i="19" a="1"/>
  <c r="CX12" i="19" s="1"/>
  <c r="CT12" i="19" a="1"/>
  <c r="CT12" i="19" s="1"/>
  <c r="CP12" i="19" a="1"/>
  <c r="CP12" i="19" s="1"/>
  <c r="CK12" i="19" a="1"/>
  <c r="CK12" i="19" s="1"/>
  <c r="CG12" i="19" a="1"/>
  <c r="CG12" i="19" s="1"/>
  <c r="CB12" i="19" a="1"/>
  <c r="CB12" i="19" s="1"/>
  <c r="BX12" i="19" a="1"/>
  <c r="BX12" i="19" s="1"/>
  <c r="BS12" i="19" a="1"/>
  <c r="BS12" i="19" s="1"/>
  <c r="BO12" i="19" a="1"/>
  <c r="BO12" i="19" s="1"/>
  <c r="BJ12" i="19" a="1"/>
  <c r="BJ12" i="19" s="1"/>
  <c r="BF12" i="19" a="1"/>
  <c r="BF12" i="19" s="1"/>
  <c r="BA12" i="19" a="1"/>
  <c r="BA12" i="19" s="1"/>
  <c r="AW12" i="19" a="1"/>
  <c r="AW12" i="19" s="1"/>
  <c r="AR12" i="19" a="1"/>
  <c r="AR12" i="19" s="1"/>
  <c r="AN12" i="19" a="1"/>
  <c r="AN12" i="19" s="1"/>
  <c r="AI12" i="19" a="1"/>
  <c r="AI12" i="19" s="1"/>
  <c r="AE12" i="19" a="1"/>
  <c r="AE12" i="19" s="1"/>
  <c r="Z12" i="19" a="1"/>
  <c r="Z12" i="19" s="1"/>
  <c r="V12" i="19" a="1"/>
  <c r="V12" i="19" s="1"/>
  <c r="Q12" i="19" a="1"/>
  <c r="Q12" i="19" s="1"/>
  <c r="M12" i="19" a="1"/>
  <c r="M12" i="19" s="1"/>
  <c r="H12" i="19" a="1"/>
  <c r="H12" i="19" s="1"/>
  <c r="D12" i="19" a="1"/>
  <c r="D12" i="19" s="1"/>
  <c r="CH17" i="19" a="1"/>
  <c r="CH17" i="19" s="1"/>
  <c r="FC17" i="19" a="1"/>
  <c r="FC17" i="19" s="1"/>
  <c r="EZ17" i="19" a="1"/>
  <c r="EZ17" i="19" s="1"/>
  <c r="EW17" i="19" a="1"/>
  <c r="EW17" i="19" s="1"/>
  <c r="ET17" i="19" a="1"/>
  <c r="ET17" i="19" s="1"/>
  <c r="EQ17" i="19" a="1"/>
  <c r="EQ17" i="19" s="1"/>
  <c r="EN17" i="19" a="1"/>
  <c r="EN17" i="19" s="1"/>
  <c r="EK17" i="19" a="1"/>
  <c r="EK17" i="19" s="1"/>
  <c r="EH17" i="19" a="1"/>
  <c r="EH17" i="19" s="1"/>
  <c r="EE17" i="19" a="1"/>
  <c r="EE17" i="19" s="1"/>
  <c r="EB17" i="19" a="1"/>
  <c r="EB17" i="19" s="1"/>
  <c r="DY17" i="19" a="1"/>
  <c r="DY17" i="19" s="1"/>
  <c r="DV17" i="19" a="1"/>
  <c r="DV17" i="19" s="1"/>
  <c r="DS17" i="19" a="1"/>
  <c r="DS17" i="19" s="1"/>
  <c r="DP17" i="19" a="1"/>
  <c r="DP17" i="19" s="1"/>
  <c r="DM17" i="19" a="1"/>
  <c r="DM17" i="19" s="1"/>
  <c r="DJ17" i="19" a="1"/>
  <c r="DJ17" i="19" s="1"/>
  <c r="DG17" i="19" a="1"/>
  <c r="DG17" i="19" s="1"/>
  <c r="DD17" i="19" a="1"/>
  <c r="DD17" i="19" s="1"/>
  <c r="DA17" i="19" a="1"/>
  <c r="DA17" i="19" s="1"/>
  <c r="CX17" i="19" a="1"/>
  <c r="CX17" i="19" s="1"/>
  <c r="CU17" i="19" a="1"/>
  <c r="CU17" i="19" s="1"/>
  <c r="CR17" i="19" a="1"/>
  <c r="CR17" i="19" s="1"/>
  <c r="CO17" i="19" a="1"/>
  <c r="CO17" i="19" s="1"/>
  <c r="CL17" i="19" a="1"/>
  <c r="CL17" i="19" s="1"/>
  <c r="CI17" i="19" a="1"/>
  <c r="CI17" i="19" s="1"/>
  <c r="CE17" i="19" a="1"/>
  <c r="CE17" i="19" s="1"/>
  <c r="CB17" i="19" a="1"/>
  <c r="CB17" i="19" s="1"/>
  <c r="BY17" i="19" a="1"/>
  <c r="BY17" i="19" s="1"/>
  <c r="BV17" i="19" a="1"/>
  <c r="BV17" i="19" s="1"/>
  <c r="BS17" i="19" a="1"/>
  <c r="BS17" i="19" s="1"/>
  <c r="BP17" i="19" a="1"/>
  <c r="BP17" i="19" s="1"/>
  <c r="BM17" i="19" a="1"/>
  <c r="BM17" i="19" s="1"/>
  <c r="BJ17" i="19" a="1"/>
  <c r="BJ17" i="19" s="1"/>
  <c r="BG17" i="19" a="1"/>
  <c r="BG17" i="19" s="1"/>
  <c r="BD17" i="19" a="1"/>
  <c r="BD17" i="19" s="1"/>
  <c r="BA17" i="19" a="1"/>
  <c r="BA17" i="19" s="1"/>
  <c r="AX17" i="19" a="1"/>
  <c r="AX17" i="19" s="1"/>
  <c r="AU17" i="19" a="1"/>
  <c r="AU17" i="19" s="1"/>
  <c r="AR17" i="19" a="1"/>
  <c r="AR17" i="19" s="1"/>
  <c r="AO17" i="19" a="1"/>
  <c r="AO17" i="19" s="1"/>
  <c r="AL17" i="19" a="1"/>
  <c r="AL17" i="19" s="1"/>
  <c r="AI17" i="19" a="1"/>
  <c r="AI17" i="19" s="1"/>
  <c r="AF17" i="19" a="1"/>
  <c r="AF17" i="19" s="1"/>
  <c r="AC17" i="19" a="1"/>
  <c r="AC17" i="19" s="1"/>
  <c r="Z17" i="19" a="1"/>
  <c r="Z17" i="19" s="1"/>
  <c r="W17" i="19" a="1"/>
  <c r="W17" i="19" s="1"/>
  <c r="T17" i="19" a="1"/>
  <c r="T17" i="19" s="1"/>
  <c r="Q17" i="19" a="1"/>
  <c r="Q17" i="19" s="1"/>
  <c r="N17" i="19" a="1"/>
  <c r="N17" i="19" s="1"/>
  <c r="K17" i="19" a="1"/>
  <c r="K17" i="19" s="1"/>
  <c r="H17" i="19" a="1"/>
  <c r="H17" i="19" s="1"/>
  <c r="E17" i="19" a="1"/>
  <c r="E17" i="19" s="1"/>
  <c r="DT13" i="19" a="1"/>
  <c r="DT13" i="19" s="1"/>
  <c r="DQ13" i="19" a="1"/>
  <c r="DQ13" i="19" s="1"/>
  <c r="DN13" i="19" a="1"/>
  <c r="DN13" i="19" s="1"/>
  <c r="DK13" i="19" a="1"/>
  <c r="DK13" i="19" s="1"/>
  <c r="DH13" i="19" a="1"/>
  <c r="DH13" i="19" s="1"/>
  <c r="DE13" i="19" a="1"/>
  <c r="DE13" i="19" s="1"/>
  <c r="DB13" i="19" a="1"/>
  <c r="DB13" i="19" s="1"/>
  <c r="CY13" i="19" a="1"/>
  <c r="CY13" i="19" s="1"/>
  <c r="CV13" i="19" a="1"/>
  <c r="CV13" i="19" s="1"/>
  <c r="CR13" i="19" a="1"/>
  <c r="CR13" i="19" s="1"/>
  <c r="CO13" i="19" a="1"/>
  <c r="CO13" i="19" s="1"/>
  <c r="CL13" i="19" a="1"/>
  <c r="CL13" i="19" s="1"/>
  <c r="CH13" i="19" a="1"/>
  <c r="CH13" i="19" s="1"/>
  <c r="CE13" i="19" a="1"/>
  <c r="CE13" i="19" s="1"/>
  <c r="CB13" i="19" a="1"/>
  <c r="CB13" i="19" s="1"/>
  <c r="BY13" i="19" a="1"/>
  <c r="BY13" i="19" s="1"/>
  <c r="BU13" i="19" a="1"/>
  <c r="BU13" i="19" s="1"/>
  <c r="BR13" i="19" a="1"/>
  <c r="BR13" i="19" s="1"/>
  <c r="BO13" i="19" a="1"/>
  <c r="BO13" i="19" s="1"/>
  <c r="BL13" i="19" a="1"/>
  <c r="BL13" i="19" s="1"/>
  <c r="BH13" i="19" a="1"/>
  <c r="BH13" i="19" s="1"/>
  <c r="BE13" i="19" a="1"/>
  <c r="BE13" i="19" s="1"/>
  <c r="BB13" i="19" a="1"/>
  <c r="BB13" i="19" s="1"/>
  <c r="AX13" i="19" a="1"/>
  <c r="AX13" i="19" s="1"/>
  <c r="AU13" i="19" a="1"/>
  <c r="AU13" i="19" s="1"/>
  <c r="AR13" i="19" a="1"/>
  <c r="AR13" i="19" s="1"/>
  <c r="AO13" i="19" a="1"/>
  <c r="AO13" i="19" s="1"/>
  <c r="AK13" i="19" a="1"/>
  <c r="AK13" i="19" s="1"/>
  <c r="AH13" i="19" a="1"/>
  <c r="AH13" i="19" s="1"/>
  <c r="AE13" i="19" a="1"/>
  <c r="AE13" i="19" s="1"/>
  <c r="AB13" i="19" a="1"/>
  <c r="AB13" i="19" s="1"/>
  <c r="X13" i="19" a="1"/>
  <c r="X13" i="19" s="1"/>
  <c r="U13" i="19" a="1"/>
  <c r="U13" i="19" s="1"/>
  <c r="R13" i="19" a="1"/>
  <c r="R13" i="19" s="1"/>
  <c r="N13" i="19" a="1"/>
  <c r="N13" i="19" s="1"/>
  <c r="K13" i="19" a="1"/>
  <c r="K13" i="19" s="1"/>
  <c r="H13" i="19" a="1"/>
  <c r="H13" i="19" s="1"/>
  <c r="E13" i="19" a="1"/>
  <c r="E13" i="19" s="1"/>
  <c r="EA12" i="19" a="1"/>
  <c r="EA12" i="19" s="1"/>
  <c r="DX12" i="19" a="1"/>
  <c r="DX12" i="19" s="1"/>
  <c r="DU12" i="19" a="1"/>
  <c r="DU12" i="19" s="1"/>
  <c r="DR12" i="19" a="1"/>
  <c r="DR12" i="19" s="1"/>
  <c r="DO12" i="19" a="1"/>
  <c r="DO12" i="19" s="1"/>
  <c r="DL12" i="19" a="1"/>
  <c r="DL12" i="19" s="1"/>
  <c r="DI12" i="19" a="1"/>
  <c r="DI12" i="19" s="1"/>
  <c r="DF12" i="19" a="1"/>
  <c r="DF12" i="19" s="1"/>
  <c r="DC12" i="19" a="1"/>
  <c r="DC12" i="19" s="1"/>
  <c r="CZ12" i="19" a="1"/>
  <c r="CZ12" i="19" s="1"/>
  <c r="CW12" i="19" a="1"/>
  <c r="CW12" i="19" s="1"/>
  <c r="CS12" i="19" a="1"/>
  <c r="CS12" i="19" s="1"/>
  <c r="CN12" i="19" a="1"/>
  <c r="CN12" i="19" s="1"/>
  <c r="CJ12" i="19" a="1"/>
  <c r="CJ12" i="19" s="1"/>
  <c r="CE12" i="19" a="1"/>
  <c r="CE12" i="19" s="1"/>
  <c r="CA12" i="19" a="1"/>
  <c r="CA12" i="19" s="1"/>
  <c r="BV12" i="19" a="1"/>
  <c r="BV12" i="19" s="1"/>
  <c r="BR12" i="19" a="1"/>
  <c r="BR12" i="19" s="1"/>
  <c r="BM12" i="19" a="1"/>
  <c r="BM12" i="19" s="1"/>
  <c r="BI12" i="19" a="1"/>
  <c r="BI12" i="19" s="1"/>
  <c r="BD12" i="19" a="1"/>
  <c r="BD12" i="19" s="1"/>
  <c r="AZ12" i="19" a="1"/>
  <c r="AZ12" i="19" s="1"/>
  <c r="AU12" i="19" a="1"/>
  <c r="AU12" i="19" s="1"/>
  <c r="AQ12" i="19" a="1"/>
  <c r="AQ12" i="19" s="1"/>
  <c r="AL12" i="19" a="1"/>
  <c r="AL12" i="19" s="1"/>
  <c r="AH12" i="19" a="1"/>
  <c r="AH12" i="19" s="1"/>
  <c r="AC12" i="19" a="1"/>
  <c r="AC12" i="19" s="1"/>
  <c r="Y12" i="19" a="1"/>
  <c r="Y12" i="19" s="1"/>
  <c r="T12" i="19" a="1"/>
  <c r="T12" i="19" s="1"/>
  <c r="P12" i="19" a="1"/>
  <c r="P12" i="19" s="1"/>
  <c r="K12" i="19" a="1"/>
  <c r="K12" i="19" s="1"/>
  <c r="G12" i="19" a="1"/>
  <c r="G12" i="19" s="1"/>
  <c r="D17" i="19" a="1"/>
  <c r="D17" i="19" s="1"/>
  <c r="FB17" i="19" a="1"/>
  <c r="FB17" i="19" s="1"/>
  <c r="EY17" i="19" a="1"/>
  <c r="EY17" i="19" s="1"/>
  <c r="EV17" i="19" a="1"/>
  <c r="EV17" i="19" s="1"/>
  <c r="ES17" i="19" a="1"/>
  <c r="ES17" i="19" s="1"/>
  <c r="EP17" i="19" a="1"/>
  <c r="EP17" i="19" s="1"/>
  <c r="EM17" i="19" a="1"/>
  <c r="EM17" i="19" s="1"/>
  <c r="EJ17" i="19" a="1"/>
  <c r="EJ17" i="19" s="1"/>
  <c r="EG17" i="19" a="1"/>
  <c r="EG17" i="19" s="1"/>
  <c r="ED17" i="19" a="1"/>
  <c r="ED17" i="19" s="1"/>
  <c r="EA17" i="19" a="1"/>
  <c r="EA17" i="19" s="1"/>
  <c r="DX17" i="19" a="1"/>
  <c r="DX17" i="19" s="1"/>
  <c r="DU17" i="19" a="1"/>
  <c r="DU17" i="19" s="1"/>
  <c r="DR17" i="19" a="1"/>
  <c r="DR17" i="19" s="1"/>
  <c r="DO17" i="19" a="1"/>
  <c r="DO17" i="19" s="1"/>
  <c r="DL17" i="19" a="1"/>
  <c r="DL17" i="19" s="1"/>
  <c r="DI17" i="19" a="1"/>
  <c r="DI17" i="19" s="1"/>
  <c r="DF17" i="19" a="1"/>
  <c r="DF17" i="19" s="1"/>
  <c r="DC17" i="19" a="1"/>
  <c r="DC17" i="19" s="1"/>
  <c r="CZ17" i="19" a="1"/>
  <c r="CZ17" i="19" s="1"/>
  <c r="CW17" i="19" a="1"/>
  <c r="CW17" i="19" s="1"/>
  <c r="CT17" i="19" a="1"/>
  <c r="CT17" i="19" s="1"/>
  <c r="CQ17" i="19" a="1"/>
  <c r="CQ17" i="19" s="1"/>
  <c r="CN17" i="19" a="1"/>
  <c r="CN17" i="19" s="1"/>
  <c r="CK17" i="19" a="1"/>
  <c r="CK17" i="19" s="1"/>
  <c r="CG17" i="19" a="1"/>
  <c r="CG17" i="19" s="1"/>
  <c r="CD17" i="19" a="1"/>
  <c r="CD17" i="19" s="1"/>
  <c r="CA17" i="19" a="1"/>
  <c r="CA17" i="19" s="1"/>
  <c r="BX17" i="19" a="1"/>
  <c r="BX17" i="19" s="1"/>
  <c r="BU17" i="19" a="1"/>
  <c r="BU17" i="19" s="1"/>
  <c r="BR17" i="19" a="1"/>
  <c r="BR17" i="19" s="1"/>
  <c r="BO17" i="19" a="1"/>
  <c r="BO17" i="19" s="1"/>
  <c r="BL17" i="19" a="1"/>
  <c r="BL17" i="19" s="1"/>
  <c r="BI17" i="19" a="1"/>
  <c r="BI17" i="19" s="1"/>
  <c r="BF17" i="19" a="1"/>
  <c r="BF17" i="19" s="1"/>
  <c r="BC17" i="19" a="1"/>
  <c r="BC17" i="19" s="1"/>
  <c r="AZ17" i="19" a="1"/>
  <c r="AZ17" i="19" s="1"/>
  <c r="AW17" i="19" a="1"/>
  <c r="AW17" i="19" s="1"/>
  <c r="AT17" i="19" a="1"/>
  <c r="AT17" i="19" s="1"/>
  <c r="AQ17" i="19" a="1"/>
  <c r="AQ17" i="19" s="1"/>
  <c r="AN17" i="19" a="1"/>
  <c r="AN17" i="19" s="1"/>
  <c r="AK17" i="19" a="1"/>
  <c r="AK17" i="19" s="1"/>
  <c r="AH17" i="19" a="1"/>
  <c r="AH17" i="19" s="1"/>
  <c r="AE17" i="19" a="1"/>
  <c r="AE17" i="19" s="1"/>
  <c r="AB17" i="19" a="1"/>
  <c r="AB17" i="19" s="1"/>
  <c r="Y17" i="19" a="1"/>
  <c r="Y17" i="19" s="1"/>
  <c r="V17" i="19" a="1"/>
  <c r="V17" i="19" s="1"/>
  <c r="S17" i="19" a="1"/>
  <c r="S17" i="19" s="1"/>
  <c r="P17" i="19" a="1"/>
  <c r="P17" i="19" s="1"/>
  <c r="M17" i="19" a="1"/>
  <c r="M17" i="19" s="1"/>
  <c r="J17" i="19" a="1"/>
  <c r="J17" i="19" s="1"/>
  <c r="G17" i="19" a="1"/>
  <c r="G17" i="19" s="1"/>
  <c r="DV13" i="19" a="1"/>
  <c r="DV13" i="19" s="1"/>
  <c r="DS13" i="19" a="1"/>
  <c r="DS13" i="19" s="1"/>
  <c r="DP13" i="19" a="1"/>
  <c r="DP13" i="19" s="1"/>
  <c r="DM13" i="19" a="1"/>
  <c r="DM13" i="19" s="1"/>
  <c r="DJ13" i="19" a="1"/>
  <c r="DJ13" i="19" s="1"/>
  <c r="DG13" i="19" a="1"/>
  <c r="DG13" i="19" s="1"/>
  <c r="DD13" i="19" a="1"/>
  <c r="DD13" i="19" s="1"/>
  <c r="DA13" i="19" a="1"/>
  <c r="DA13" i="19" s="1"/>
  <c r="CX13" i="19" a="1"/>
  <c r="CX13" i="19" s="1"/>
  <c r="CT13" i="19" a="1"/>
  <c r="CT13" i="19" s="1"/>
  <c r="CQ13" i="19" a="1"/>
  <c r="CQ13" i="19" s="1"/>
  <c r="CN13" i="19" a="1"/>
  <c r="CN13" i="19" s="1"/>
  <c r="CK13" i="19" a="1"/>
  <c r="CK13" i="19" s="1"/>
  <c r="CG13" i="19" a="1"/>
  <c r="CG13" i="19" s="1"/>
  <c r="CD13" i="19" a="1"/>
  <c r="CD13" i="19" s="1"/>
  <c r="CA13" i="19" a="1"/>
  <c r="CA13" i="19" s="1"/>
  <c r="BX13" i="19" a="1"/>
  <c r="BX13" i="19" s="1"/>
  <c r="BT13" i="19" a="1"/>
  <c r="BT13" i="19" s="1"/>
  <c r="BQ13" i="19" a="1"/>
  <c r="BQ13" i="19" s="1"/>
  <c r="BN13" i="19" a="1"/>
  <c r="BN13" i="19" s="1"/>
  <c r="BJ13" i="19" a="1"/>
  <c r="BJ13" i="19" s="1"/>
  <c r="BG13" i="19" a="1"/>
  <c r="BG13" i="19" s="1"/>
  <c r="BD13" i="19" a="1"/>
  <c r="BD13" i="19" s="1"/>
  <c r="BA13" i="19" a="1"/>
  <c r="BA13" i="19" s="1"/>
  <c r="AW13" i="19" a="1"/>
  <c r="AW13" i="19" s="1"/>
  <c r="AT13" i="19" a="1"/>
  <c r="AT13" i="19" s="1"/>
  <c r="AQ13" i="19" a="1"/>
  <c r="AQ13" i="19" s="1"/>
  <c r="AN13" i="19" a="1"/>
  <c r="AN13" i="19" s="1"/>
  <c r="AJ13" i="19" a="1"/>
  <c r="AJ13" i="19" s="1"/>
  <c r="AG13" i="19" a="1"/>
  <c r="AG13" i="19" s="1"/>
  <c r="AD13" i="19" a="1"/>
  <c r="AD13" i="19" s="1"/>
  <c r="Z13" i="19" a="1"/>
  <c r="Z13" i="19" s="1"/>
  <c r="W13" i="19" a="1"/>
  <c r="W13" i="19" s="1"/>
  <c r="T13" i="19" a="1"/>
  <c r="T13" i="19" s="1"/>
  <c r="Q13" i="19" a="1"/>
  <c r="Q13" i="19" s="1"/>
  <c r="M13" i="19" a="1"/>
  <c r="M13" i="19" s="1"/>
  <c r="J13" i="19" a="1"/>
  <c r="J13" i="19" s="1"/>
  <c r="G13" i="19" a="1"/>
  <c r="G13" i="19" s="1"/>
  <c r="D13" i="19" a="1"/>
  <c r="D13" i="19" s="1"/>
  <c r="DZ12" i="19" a="1"/>
  <c r="DZ12" i="19" s="1"/>
  <c r="DW12" i="19" a="1"/>
  <c r="DW12" i="19" s="1"/>
  <c r="DT12" i="19" a="1"/>
  <c r="DT12" i="19" s="1"/>
  <c r="DQ12" i="19" a="1"/>
  <c r="DQ12" i="19" s="1"/>
  <c r="DN12" i="19" a="1"/>
  <c r="DN12" i="19" s="1"/>
  <c r="DK12" i="19" a="1"/>
  <c r="DK12" i="19" s="1"/>
  <c r="DH12" i="19" a="1"/>
  <c r="DH12" i="19" s="1"/>
  <c r="DE12" i="19" a="1"/>
  <c r="DE12" i="19" s="1"/>
  <c r="DB12" i="19" a="1"/>
  <c r="DB12" i="19" s="1"/>
  <c r="CY12" i="19" a="1"/>
  <c r="CY12" i="19" s="1"/>
  <c r="CV12" i="19" a="1"/>
  <c r="CV12" i="19" s="1"/>
  <c r="CQ12" i="19" a="1"/>
  <c r="CQ12" i="19" s="1"/>
  <c r="CM12" i="19" a="1"/>
  <c r="CM12" i="19" s="1"/>
  <c r="CH12" i="19" a="1"/>
  <c r="CH12" i="19" s="1"/>
  <c r="CD12" i="19" a="1"/>
  <c r="CD12" i="19" s="1"/>
  <c r="BY12" i="19" a="1"/>
  <c r="BY12" i="19" s="1"/>
  <c r="BU12" i="19" a="1"/>
  <c r="BU12" i="19" s="1"/>
  <c r="BP12" i="19" a="1"/>
  <c r="BP12" i="19" s="1"/>
  <c r="BL12" i="19" a="1"/>
  <c r="BL12" i="19" s="1"/>
  <c r="BG12" i="19" a="1"/>
  <c r="BG12" i="19" s="1"/>
  <c r="BC12" i="19" a="1"/>
  <c r="BC12" i="19" s="1"/>
  <c r="AX12" i="19" a="1"/>
  <c r="AX12" i="19" s="1"/>
  <c r="AT12" i="19" a="1"/>
  <c r="AT12" i="19" s="1"/>
  <c r="AO12" i="19" a="1"/>
  <c r="AO12" i="19" s="1"/>
  <c r="AK12" i="19" a="1"/>
  <c r="AK12" i="19" s="1"/>
  <c r="AF12" i="19" a="1"/>
  <c r="AF12" i="19" s="1"/>
  <c r="AB12" i="19" a="1"/>
  <c r="AB12" i="19" s="1"/>
  <c r="W12" i="19" a="1"/>
  <c r="W12" i="19" s="1"/>
  <c r="S12" i="19" a="1"/>
  <c r="S12" i="19" s="1"/>
  <c r="N12" i="19" a="1"/>
  <c r="N12" i="19" s="1"/>
  <c r="J12" i="19" a="1"/>
  <c r="J12" i="19" s="1"/>
  <c r="E12" i="19" a="1"/>
  <c r="E12" i="19" s="1"/>
  <c r="KJ3" i="3"/>
  <c r="D298" i="14"/>
  <c r="C297" i="14"/>
  <c r="KK6" i="3"/>
  <c r="KJ5" i="3"/>
  <c r="KK3" i="3" l="1"/>
  <c r="D299" i="14"/>
  <c r="C298" i="14"/>
  <c r="KL6" i="3"/>
  <c r="KK5" i="3"/>
  <c r="KL3" i="3" l="1"/>
  <c r="D300" i="14"/>
  <c r="C299" i="14"/>
  <c r="KM6" i="3"/>
  <c r="KL5" i="3"/>
  <c r="KM3" i="3" l="1"/>
  <c r="C300" i="14"/>
  <c r="D301" i="14"/>
  <c r="KN6" i="3"/>
  <c r="KM5" i="3"/>
  <c r="KN3" i="3" l="1"/>
  <c r="C301" i="14"/>
  <c r="D302" i="14"/>
  <c r="KO6" i="3"/>
  <c r="KN5" i="3"/>
  <c r="KO3" i="3" l="1"/>
  <c r="D303" i="14"/>
  <c r="C302" i="14"/>
  <c r="KP6" i="3"/>
  <c r="KO5" i="3"/>
  <c r="KP3" i="3" l="1"/>
  <c r="C303" i="14"/>
  <c r="D304" i="14"/>
  <c r="KQ6" i="3"/>
  <c r="KP5" i="3"/>
  <c r="KQ3" i="3" l="1"/>
  <c r="C304" i="14"/>
  <c r="D305" i="14"/>
  <c r="KQ5" i="3"/>
  <c r="D30" i="10" l="1"/>
  <c r="D26" i="10"/>
  <c r="E28" i="10"/>
  <c r="E29" i="10"/>
  <c r="D29" i="10"/>
  <c r="E30" i="10"/>
  <c r="D25" i="10"/>
  <c r="E26" i="10"/>
  <c r="F29" i="10"/>
  <c r="F30" i="10"/>
  <c r="D28" i="10"/>
  <c r="F24" i="10"/>
  <c r="E25" i="10"/>
  <c r="F25" i="10"/>
  <c r="E24" i="10"/>
  <c r="F28" i="10"/>
  <c r="G29" i="10"/>
  <c r="I26" i="10"/>
  <c r="G24" i="10"/>
  <c r="G28" i="10"/>
  <c r="G26" i="10"/>
  <c r="F26" i="10"/>
  <c r="G25" i="10"/>
  <c r="G30" i="10"/>
  <c r="H28" i="10"/>
  <c r="H29" i="10"/>
  <c r="I30" i="10"/>
  <c r="H26" i="10"/>
  <c r="I29" i="10"/>
  <c r="H30" i="10"/>
  <c r="H25" i="10"/>
  <c r="H24" i="10"/>
  <c r="I24" i="10"/>
  <c r="J28" i="10"/>
  <c r="K26" i="10"/>
  <c r="I25" i="10"/>
  <c r="J29" i="10"/>
  <c r="J25" i="10"/>
  <c r="J26" i="10"/>
  <c r="I28" i="10"/>
  <c r="J30" i="10"/>
  <c r="L28" i="10"/>
  <c r="M8" i="10"/>
  <c r="M7" i="10" s="1"/>
  <c r="K28" i="10"/>
  <c r="J24" i="10"/>
  <c r="K30" i="10"/>
  <c r="K24" i="10"/>
  <c r="L25" i="10"/>
  <c r="L30" i="10"/>
  <c r="L10" i="10"/>
  <c r="L9" i="10" s="1"/>
  <c r="M29" i="10"/>
  <c r="K29" i="10"/>
  <c r="L24" i="10"/>
  <c r="L26" i="10"/>
  <c r="K25" i="10"/>
  <c r="L29" i="10"/>
  <c r="M30" i="10"/>
  <c r="M24" i="10"/>
  <c r="M10" i="10"/>
  <c r="M9" i="10" s="1"/>
  <c r="M25" i="10"/>
  <c r="O10" i="10"/>
  <c r="O9" i="10" s="1"/>
  <c r="N26" i="10"/>
  <c r="O30" i="10"/>
  <c r="M26" i="10"/>
  <c r="O29" i="10"/>
  <c r="N24" i="10"/>
  <c r="P28" i="10"/>
  <c r="N25" i="10"/>
  <c r="N28" i="10"/>
  <c r="P25" i="10"/>
  <c r="N30" i="10"/>
  <c r="N29" i="10"/>
  <c r="M28" i="10"/>
  <c r="O25" i="10"/>
  <c r="O24" i="10"/>
  <c r="O26" i="10"/>
  <c r="O28" i="10"/>
  <c r="Q28" i="10"/>
  <c r="P26" i="10"/>
  <c r="N8" i="10"/>
  <c r="N7" i="10" s="1"/>
  <c r="N10" i="10"/>
  <c r="N9" i="10" s="1"/>
  <c r="P24" i="10"/>
  <c r="P8" i="10"/>
  <c r="P7" i="10" s="1"/>
  <c r="O8" i="10"/>
  <c r="O7" i="10" s="1"/>
  <c r="Q25" i="10"/>
  <c r="P30" i="10"/>
  <c r="S10" i="10"/>
  <c r="S9" i="10" s="1"/>
  <c r="P10" i="10"/>
  <c r="P9" i="10" s="1"/>
  <c r="S25" i="10"/>
  <c r="R25" i="10"/>
  <c r="P29" i="10"/>
  <c r="R28" i="10"/>
  <c r="R29" i="10"/>
  <c r="Q8" i="10"/>
  <c r="Q7" i="10" s="1"/>
  <c r="Q10" i="10"/>
  <c r="Q9" i="10" s="1"/>
  <c r="Q24" i="10"/>
  <c r="Q30" i="10"/>
  <c r="S24" i="10"/>
  <c r="S30" i="10"/>
  <c r="R26" i="10"/>
  <c r="S29" i="10"/>
  <c r="Q29" i="10"/>
  <c r="R24" i="10"/>
  <c r="R8" i="10"/>
  <c r="R7" i="10" s="1"/>
  <c r="Q26" i="10"/>
  <c r="S8" i="10"/>
  <c r="S7" i="10" s="1"/>
  <c r="S26" i="10"/>
  <c r="T24" i="10"/>
  <c r="S28" i="10"/>
  <c r="T30" i="10"/>
  <c r="T10" i="10"/>
  <c r="T9" i="10" s="1"/>
  <c r="R10" i="10"/>
  <c r="R9" i="10" s="1"/>
  <c r="R30" i="10"/>
  <c r="T26" i="10"/>
  <c r="T29" i="10"/>
  <c r="U8" i="10"/>
  <c r="U7" i="10" s="1"/>
  <c r="U25" i="10"/>
  <c r="U26" i="10"/>
  <c r="U28" i="10"/>
  <c r="U30" i="10"/>
  <c r="T28" i="10"/>
  <c r="T25" i="10"/>
  <c r="T8" i="10"/>
  <c r="T7" i="10" s="1"/>
  <c r="V24" i="10"/>
  <c r="U24" i="10"/>
  <c r="U29" i="10"/>
  <c r="V8" i="10"/>
  <c r="V7" i="10" s="1"/>
  <c r="W30" i="10"/>
  <c r="W26" i="10"/>
  <c r="W10" i="10"/>
  <c r="W9" i="10" s="1"/>
  <c r="Y24" i="10"/>
  <c r="Y26" i="10"/>
  <c r="Z8" i="10"/>
  <c r="Z7" i="10" s="1"/>
  <c r="W24" i="10"/>
  <c r="W25" i="10"/>
  <c r="V29" i="10"/>
  <c r="W29" i="10"/>
  <c r="V10" i="10"/>
  <c r="V9" i="10" s="1"/>
  <c r="V25" i="10"/>
  <c r="V28" i="10"/>
  <c r="W8" i="10"/>
  <c r="W7" i="10" s="1"/>
  <c r="U10" i="10"/>
  <c r="U9" i="10" s="1"/>
  <c r="V26" i="10"/>
  <c r="X25" i="10"/>
  <c r="X30" i="10"/>
  <c r="Y29" i="10"/>
  <c r="Z10" i="10"/>
  <c r="Z9" i="10" s="1"/>
  <c r="X10" i="10"/>
  <c r="X9" i="10" s="1"/>
  <c r="X26" i="10"/>
  <c r="Y10" i="10"/>
  <c r="Y9" i="10" s="1"/>
  <c r="Y30" i="10"/>
  <c r="X8" i="10"/>
  <c r="X7" i="10" s="1"/>
  <c r="Y25" i="10"/>
  <c r="Y8" i="10"/>
  <c r="Y7" i="10" s="1"/>
  <c r="X29" i="10"/>
  <c r="W28" i="10"/>
  <c r="V30" i="10"/>
  <c r="X24" i="10"/>
  <c r="Z28" i="10"/>
  <c r="X28" i="10"/>
  <c r="Y28" i="10"/>
  <c r="Z26" i="10"/>
  <c r="Z25" i="10"/>
  <c r="AA24" i="10"/>
  <c r="AC30" i="10"/>
  <c r="Z30" i="10"/>
  <c r="Z29" i="10"/>
  <c r="AA25" i="10"/>
  <c r="AA10" i="10"/>
  <c r="AA9" i="10" s="1"/>
  <c r="AA30" i="10"/>
  <c r="AB8" i="10"/>
  <c r="AB7" i="10" s="1"/>
  <c r="AA29" i="10"/>
  <c r="AB28" i="10"/>
  <c r="AB30" i="10"/>
  <c r="AA26" i="10"/>
  <c r="AA28" i="10"/>
  <c r="Z24" i="10"/>
  <c r="AC8" i="10"/>
  <c r="AC7" i="10" s="1"/>
  <c r="AC25" i="10"/>
  <c r="AC10" i="10"/>
  <c r="AC9" i="10" s="1"/>
  <c r="AC28" i="10"/>
  <c r="AB10" i="10"/>
  <c r="AB9" i="10" s="1"/>
  <c r="AB29" i="10"/>
  <c r="AC24" i="10"/>
  <c r="AB25" i="10"/>
  <c r="AA8" i="10"/>
  <c r="AA7" i="10" s="1"/>
  <c r="AB24" i="10"/>
  <c r="AC29" i="10"/>
  <c r="AC26" i="10"/>
  <c r="AB26" i="10"/>
  <c r="D306" i="14"/>
  <c r="C305" i="14"/>
  <c r="D12" i="3" l="1" a="1"/>
  <c r="D12" i="3" s="1"/>
  <c r="D18" i="3" a="1"/>
  <c r="D18" i="3" s="1"/>
  <c r="E12" i="3" a="1"/>
  <c r="E12" i="3" s="1"/>
  <c r="F12" i="3" a="1"/>
  <c r="F12" i="3" s="1"/>
  <c r="G12" i="3" a="1"/>
  <c r="G12" i="3" s="1"/>
  <c r="J12" i="3" a="1"/>
  <c r="J12" i="3" s="1"/>
  <c r="I12" i="3" a="1"/>
  <c r="I12" i="3" s="1"/>
  <c r="M12" i="3" a="1"/>
  <c r="M12" i="3" s="1"/>
  <c r="L12" i="3" a="1"/>
  <c r="L12" i="3" s="1"/>
  <c r="P12" i="3" a="1"/>
  <c r="P12" i="3" s="1"/>
  <c r="O12" i="3" a="1"/>
  <c r="O12" i="3" s="1"/>
  <c r="S12" i="3" a="1"/>
  <c r="S12" i="3" s="1"/>
  <c r="R12" i="3" a="1"/>
  <c r="R12" i="3" s="1"/>
  <c r="V12" i="3" a="1"/>
  <c r="V12" i="3" s="1"/>
  <c r="U12" i="3" a="1"/>
  <c r="U12" i="3" s="1"/>
  <c r="Z12" i="3" a="1"/>
  <c r="Z12" i="3" s="1"/>
  <c r="X12" i="3" a="1"/>
  <c r="X12" i="3" s="1"/>
  <c r="Y12" i="3" a="1"/>
  <c r="Y12" i="3" s="1"/>
  <c r="AA12" i="3" a="1"/>
  <c r="AA12" i="3" s="1"/>
  <c r="AB12" i="3" a="1"/>
  <c r="AB12" i="3" s="1"/>
  <c r="AE12" i="3" a="1"/>
  <c r="AE12" i="3" s="1"/>
  <c r="AC12" i="3" a="1"/>
  <c r="AC12" i="3" s="1"/>
  <c r="AD12" i="3" a="1"/>
  <c r="AD12" i="3" s="1"/>
  <c r="AF12" i="3" a="1"/>
  <c r="AF12" i="3" s="1"/>
  <c r="AH12" i="3" a="1"/>
  <c r="AH12" i="3" s="1"/>
  <c r="AG12" i="3" a="1"/>
  <c r="AG12" i="3" s="1"/>
  <c r="AI12" i="3" a="1"/>
  <c r="AI12" i="3" s="1"/>
  <c r="AJ12" i="3" a="1"/>
  <c r="AJ12" i="3" s="1"/>
  <c r="AK12" i="3" a="1"/>
  <c r="AK12" i="3" s="1"/>
  <c r="AM12" i="3" a="1"/>
  <c r="AM12" i="3" s="1"/>
  <c r="AL12" i="3" a="1"/>
  <c r="AL12" i="3" s="1"/>
  <c r="AN12" i="3" a="1"/>
  <c r="AN12" i="3" s="1"/>
  <c r="AP12" i="3" a="1"/>
  <c r="AP12" i="3" s="1"/>
  <c r="AO12" i="3" a="1"/>
  <c r="AO12" i="3" s="1"/>
  <c r="AQ12" i="3" a="1"/>
  <c r="AQ12" i="3" s="1"/>
  <c r="AT12" i="3" a="1"/>
  <c r="AT12" i="3" s="1"/>
  <c r="AR12" i="3" a="1"/>
  <c r="AR12" i="3" s="1"/>
  <c r="AS12" i="3" a="1"/>
  <c r="AS12" i="3" s="1"/>
  <c r="AU12" i="3" a="1"/>
  <c r="AU12" i="3" s="1"/>
  <c r="AV12" i="3" a="1"/>
  <c r="AV12" i="3" s="1"/>
  <c r="AW12" i="3" a="1"/>
  <c r="AW12" i="3" s="1"/>
  <c r="AX12" i="3" a="1"/>
  <c r="AX12" i="3" s="1"/>
  <c r="BA12" i="3" a="1"/>
  <c r="BA12" i="3" s="1"/>
  <c r="AY12" i="3" a="1"/>
  <c r="AY12" i="3" s="1"/>
  <c r="AZ12" i="3" a="1"/>
  <c r="AZ12" i="3" s="1"/>
  <c r="BC12" i="3" a="1"/>
  <c r="BC12" i="3" s="1"/>
  <c r="BB12" i="3" a="1"/>
  <c r="BB12" i="3" s="1"/>
  <c r="BF12" i="3" a="1"/>
  <c r="BF12" i="3" s="1"/>
  <c r="BD12" i="3" a="1"/>
  <c r="BD12" i="3" s="1"/>
  <c r="BG12" i="3" a="1"/>
  <c r="BG12" i="3" s="1"/>
  <c r="BE12" i="3" a="1"/>
  <c r="BE12" i="3" s="1"/>
  <c r="BH12" i="3" a="1"/>
  <c r="BH12" i="3" s="1"/>
  <c r="BI12" i="3" a="1"/>
  <c r="BI12" i="3" s="1"/>
  <c r="BL12" i="3" a="1"/>
  <c r="BL12" i="3" s="1"/>
  <c r="BJ12" i="3" a="1"/>
  <c r="BJ12" i="3" s="1"/>
  <c r="BK12" i="3" a="1"/>
  <c r="BK12" i="3" s="1"/>
  <c r="BM12" i="3" a="1"/>
  <c r="BM12" i="3" s="1"/>
  <c r="BN12" i="3" a="1"/>
  <c r="BN12" i="3" s="1"/>
  <c r="BP12" i="3" a="1"/>
  <c r="BP12" i="3" s="1"/>
  <c r="BO12" i="3" a="1"/>
  <c r="BO12" i="3" s="1"/>
  <c r="BQ12" i="3" a="1"/>
  <c r="BQ12" i="3" s="1"/>
  <c r="BS12" i="3" a="1"/>
  <c r="BS12" i="3" s="1"/>
  <c r="BR12" i="3" a="1"/>
  <c r="BR12" i="3" s="1"/>
  <c r="BT12" i="3" a="1"/>
  <c r="BT12" i="3" s="1"/>
  <c r="BX12" i="3" a="1"/>
  <c r="BX12" i="3" s="1"/>
  <c r="BU12" i="3" a="1"/>
  <c r="BU12" i="3" s="1"/>
  <c r="BV12" i="3" a="1"/>
  <c r="BV12" i="3" s="1"/>
  <c r="BW12" i="3" a="1"/>
  <c r="BW12" i="3" s="1"/>
  <c r="BY12" i="3" a="1"/>
  <c r="BY12" i="3" s="1"/>
  <c r="BZ12" i="3" a="1"/>
  <c r="BZ12" i="3" s="1"/>
  <c r="CA12" i="3" a="1"/>
  <c r="CA12" i="3" s="1"/>
  <c r="CD12" i="3" a="1"/>
  <c r="CD12" i="3" s="1"/>
  <c r="CC12" i="3" a="1"/>
  <c r="CC12" i="3" s="1"/>
  <c r="CB12" i="3" a="1"/>
  <c r="CB12" i="3" s="1"/>
  <c r="CE12" i="3" a="1"/>
  <c r="CE12" i="3" s="1"/>
  <c r="CF12" i="3" a="1"/>
  <c r="CF12" i="3" s="1"/>
  <c r="CH12" i="3" a="1"/>
  <c r="CH12" i="3" s="1"/>
  <c r="CG12" i="3" a="1"/>
  <c r="CG12" i="3" s="1"/>
  <c r="CM12" i="3" a="1"/>
  <c r="CM12" i="3" s="1"/>
  <c r="CI12" i="3" a="1"/>
  <c r="CI12" i="3" s="1"/>
  <c r="CK12" i="3" a="1"/>
  <c r="CK12" i="3" s="1"/>
  <c r="CL12" i="3" a="1"/>
  <c r="CL12" i="3" s="1"/>
  <c r="CJ12" i="3" a="1"/>
  <c r="CJ12" i="3" s="1"/>
  <c r="CN12" i="3" a="1"/>
  <c r="CN12" i="3" s="1"/>
  <c r="CO12" i="3" a="1"/>
  <c r="CO12" i="3" s="1"/>
  <c r="CP12" i="3" a="1"/>
  <c r="CP12" i="3" s="1"/>
  <c r="CQ12" i="3" a="1"/>
  <c r="CQ12" i="3" s="1"/>
  <c r="CR12" i="3" a="1"/>
  <c r="CR12" i="3" s="1"/>
  <c r="CS12" i="3" a="1"/>
  <c r="CS12" i="3" s="1"/>
  <c r="CT12" i="3" a="1"/>
  <c r="CT12" i="3" s="1"/>
  <c r="CU12" i="3" a="1"/>
  <c r="CU12" i="3" s="1"/>
  <c r="CV12" i="3" a="1"/>
  <c r="CV12" i="3" s="1"/>
  <c r="CW12" i="3" a="1"/>
  <c r="CW12" i="3" s="1"/>
  <c r="CY12" i="3" a="1"/>
  <c r="CY12" i="3" s="1"/>
  <c r="CX12" i="3" a="1"/>
  <c r="CX12" i="3" s="1"/>
  <c r="DB12" i="3" a="1"/>
  <c r="DB12" i="3" s="1"/>
  <c r="CZ12" i="3" a="1"/>
  <c r="CZ12" i="3" s="1"/>
  <c r="DA12" i="3" a="1"/>
  <c r="DA12" i="3" s="1"/>
  <c r="DD12" i="3" a="1"/>
  <c r="DD12" i="3" s="1"/>
  <c r="DC12" i="3" a="1"/>
  <c r="DC12" i="3" s="1"/>
  <c r="DF12" i="3" a="1"/>
  <c r="DF12" i="3" s="1"/>
  <c r="DE12" i="3" a="1"/>
  <c r="DE12" i="3" s="1"/>
  <c r="DH12" i="3" a="1"/>
  <c r="DH12" i="3" s="1"/>
  <c r="DG12" i="3" a="1"/>
  <c r="DG12" i="3" s="1"/>
  <c r="DI12" i="3" a="1"/>
  <c r="DI12" i="3" s="1"/>
  <c r="DJ12" i="3" a="1"/>
  <c r="DJ12" i="3" s="1"/>
  <c r="DK12" i="3" a="1"/>
  <c r="DK12" i="3" s="1"/>
  <c r="DM12" i="3" a="1"/>
  <c r="DM12" i="3" s="1"/>
  <c r="DL12" i="3" a="1"/>
  <c r="DL12" i="3" s="1"/>
  <c r="DN12" i="3" a="1"/>
  <c r="DN12" i="3" s="1"/>
  <c r="DO12" i="3" a="1"/>
  <c r="DO12" i="3" s="1"/>
  <c r="DS12" i="3" a="1"/>
  <c r="DS12" i="3" s="1"/>
  <c r="DP12" i="3" a="1"/>
  <c r="DP12" i="3" s="1"/>
  <c r="DQ12" i="3" a="1"/>
  <c r="DQ12" i="3" s="1"/>
  <c r="DR12" i="3" a="1"/>
  <c r="DR12" i="3" s="1"/>
  <c r="DT12" i="3" a="1"/>
  <c r="DT12" i="3" s="1"/>
  <c r="DV12" i="3" a="1"/>
  <c r="DV12" i="3" s="1"/>
  <c r="DW12" i="3" a="1"/>
  <c r="DW12" i="3" s="1"/>
  <c r="DU12" i="3" a="1"/>
  <c r="DU12" i="3" s="1"/>
  <c r="DX12" i="3" a="1"/>
  <c r="DX12" i="3" s="1"/>
  <c r="DZ12" i="3" a="1"/>
  <c r="DZ12" i="3" s="1"/>
  <c r="DY12" i="3" a="1"/>
  <c r="DY12" i="3" s="1"/>
  <c r="EA12" i="3" a="1"/>
  <c r="EA12" i="3" s="1"/>
  <c r="EC12" i="3" a="1"/>
  <c r="EC12" i="3" s="1"/>
  <c r="EB12" i="3" a="1"/>
  <c r="EB12" i="3" s="1"/>
  <c r="ED12" i="3" a="1"/>
  <c r="ED12" i="3" s="1"/>
  <c r="KN16" i="3" a="1"/>
  <c r="KN16" i="3" s="1"/>
  <c r="FK13" i="19" a="1"/>
  <c r="FK13" i="19" s="1"/>
  <c r="FJ18" i="19" a="1"/>
  <c r="FJ18" i="19" s="1"/>
  <c r="FJ12" i="19" a="1"/>
  <c r="FJ12" i="19" s="1"/>
  <c r="FI17" i="19" a="1"/>
  <c r="FI17" i="19" s="1"/>
  <c r="FH19" i="19" a="1"/>
  <c r="FH19" i="19" s="1"/>
  <c r="FH13" i="19" a="1"/>
  <c r="FH13" i="19" s="1"/>
  <c r="FG18" i="19" a="1"/>
  <c r="FG18" i="19" s="1"/>
  <c r="FG12" i="19" a="1"/>
  <c r="FG12" i="19" s="1"/>
  <c r="FF17" i="19" a="1"/>
  <c r="FF17" i="19" s="1"/>
  <c r="FE19" i="19" a="1"/>
  <c r="FE19" i="19" s="1"/>
  <c r="FE12" i="19" a="1"/>
  <c r="FE12" i="19" s="1"/>
  <c r="FD13" i="19" a="1"/>
  <c r="FD13" i="19" s="1"/>
  <c r="FC18" i="19" a="1"/>
  <c r="FC18" i="19" s="1"/>
  <c r="FB19" i="19" a="1"/>
  <c r="FB19" i="19" s="1"/>
  <c r="FB12" i="19" a="1"/>
  <c r="FB12" i="19" s="1"/>
  <c r="FA13" i="19" a="1"/>
  <c r="FA13" i="19" s="1"/>
  <c r="EZ18" i="19" a="1"/>
  <c r="EZ18" i="19" s="1"/>
  <c r="EY19" i="19" a="1"/>
  <c r="EY19" i="19" s="1"/>
  <c r="EY12" i="19" a="1"/>
  <c r="EY12" i="19" s="1"/>
  <c r="EX13" i="19" a="1"/>
  <c r="EX13" i="19" s="1"/>
  <c r="EW18" i="19" a="1"/>
  <c r="EW18" i="19" s="1"/>
  <c r="EV19" i="19" a="1"/>
  <c r="EV19" i="19" s="1"/>
  <c r="EV12" i="19" a="1"/>
  <c r="EV12" i="19" s="1"/>
  <c r="EU13" i="19" a="1"/>
  <c r="EU13" i="19" s="1"/>
  <c r="ET18" i="19" a="1"/>
  <c r="ET18" i="19" s="1"/>
  <c r="ES19" i="19" a="1"/>
  <c r="ES19" i="19" s="1"/>
  <c r="ES12" i="19" a="1"/>
  <c r="ES12" i="19" s="1"/>
  <c r="ER13" i="19" a="1"/>
  <c r="ER13" i="19" s="1"/>
  <c r="EQ18" i="19" a="1"/>
  <c r="EQ18" i="19" s="1"/>
  <c r="EP19" i="19" a="1"/>
  <c r="EP19" i="19" s="1"/>
  <c r="EP12" i="19" a="1"/>
  <c r="EP12" i="19" s="1"/>
  <c r="EO13" i="19" a="1"/>
  <c r="EO13" i="19" s="1"/>
  <c r="EN18" i="19" a="1"/>
  <c r="EN18" i="19" s="1"/>
  <c r="EM19" i="19" a="1"/>
  <c r="EM19" i="19" s="1"/>
  <c r="EM12" i="19" a="1"/>
  <c r="EM12" i="19" s="1"/>
  <c r="EL13" i="19" a="1"/>
  <c r="EL13" i="19" s="1"/>
  <c r="EK18" i="19" a="1"/>
  <c r="EK18" i="19" s="1"/>
  <c r="EJ19" i="19" a="1"/>
  <c r="EJ19" i="19" s="1"/>
  <c r="EJ12" i="19" a="1"/>
  <c r="EJ12" i="19" s="1"/>
  <c r="EI13" i="19" a="1"/>
  <c r="EI13" i="19" s="1"/>
  <c r="EH18" i="19" a="1"/>
  <c r="EH18" i="19" s="1"/>
  <c r="EG19" i="19" a="1"/>
  <c r="EG19" i="19" s="1"/>
  <c r="EG12" i="19" a="1"/>
  <c r="EG12" i="19" s="1"/>
  <c r="EF13" i="19" a="1"/>
  <c r="EF13" i="19" s="1"/>
  <c r="EE18" i="19" a="1"/>
  <c r="EE18" i="19" s="1"/>
  <c r="ED19" i="19" a="1"/>
  <c r="ED19" i="19" s="1"/>
  <c r="ED12" i="19" a="1"/>
  <c r="ED12" i="19" s="1"/>
  <c r="EC13" i="19" a="1"/>
  <c r="EC13" i="19" s="1"/>
  <c r="EB18" i="19" a="1"/>
  <c r="EB18" i="19" s="1"/>
  <c r="EA18" i="19" a="1"/>
  <c r="EA18" i="19" s="1"/>
  <c r="DZ18" i="19" a="1"/>
  <c r="DZ18" i="19" s="1"/>
  <c r="DY18" i="19" a="1"/>
  <c r="DY18" i="19" s="1"/>
  <c r="DX18" i="19" a="1"/>
  <c r="DX18" i="19" s="1"/>
  <c r="DW18" i="19" a="1"/>
  <c r="DW18" i="19" s="1"/>
  <c r="DV18" i="19" a="1"/>
  <c r="DV18" i="19" s="1"/>
  <c r="DT19" i="19" a="1"/>
  <c r="DT19" i="19" s="1"/>
  <c r="DS18" i="19" a="1"/>
  <c r="DS18" i="19" s="1"/>
  <c r="DQ19" i="19" a="1"/>
  <c r="DQ19" i="19" s="1"/>
  <c r="DP18" i="19" a="1"/>
  <c r="DP18" i="19" s="1"/>
  <c r="DN19" i="19" a="1"/>
  <c r="DN19" i="19" s="1"/>
  <c r="DM18" i="19" a="1"/>
  <c r="DM18" i="19" s="1"/>
  <c r="DK19" i="19" a="1"/>
  <c r="DK19" i="19" s="1"/>
  <c r="DJ18" i="19" a="1"/>
  <c r="DJ18" i="19" s="1"/>
  <c r="DH19" i="19" a="1"/>
  <c r="DH19" i="19" s="1"/>
  <c r="DG18" i="19" a="1"/>
  <c r="DG18" i="19" s="1"/>
  <c r="DE19" i="19" a="1"/>
  <c r="DE19" i="19" s="1"/>
  <c r="DC18" i="19" a="1"/>
  <c r="DC18" i="19" s="1"/>
  <c r="CZ18" i="19" a="1"/>
  <c r="CZ18" i="19" s="1"/>
  <c r="CW18" i="19" a="1"/>
  <c r="CW18" i="19" s="1"/>
  <c r="CT18" i="19" a="1"/>
  <c r="CT18" i="19" s="1"/>
  <c r="CQ18" i="19" a="1"/>
  <c r="CQ18" i="19" s="1"/>
  <c r="CN18" i="19" a="1"/>
  <c r="CN18" i="19" s="1"/>
  <c r="CK18" i="19" a="1"/>
  <c r="CK18" i="19" s="1"/>
  <c r="CH18" i="19" a="1"/>
  <c r="CH18" i="19" s="1"/>
  <c r="CE18" i="19" a="1"/>
  <c r="CE18" i="19" s="1"/>
  <c r="CB18" i="19" a="1"/>
  <c r="CB18" i="19" s="1"/>
  <c r="BY18" i="19" a="1"/>
  <c r="BY18" i="19" s="1"/>
  <c r="BV18" i="19" a="1"/>
  <c r="BV18" i="19" s="1"/>
  <c r="BS18" i="19" a="1"/>
  <c r="BS18" i="19" s="1"/>
  <c r="BP18" i="19" a="1"/>
  <c r="BP18" i="19" s="1"/>
  <c r="BM18" i="19" a="1"/>
  <c r="BM18" i="19" s="1"/>
  <c r="BJ18" i="19" a="1"/>
  <c r="BJ18" i="19" s="1"/>
  <c r="BG18" i="19" a="1"/>
  <c r="BG18" i="19" s="1"/>
  <c r="BD18" i="19" a="1"/>
  <c r="BD18" i="19" s="1"/>
  <c r="BA18" i="19" a="1"/>
  <c r="BA18" i="19" s="1"/>
  <c r="FK12" i="19" a="1"/>
  <c r="FK12" i="19" s="1"/>
  <c r="FJ17" i="19" a="1"/>
  <c r="FJ17" i="19" s="1"/>
  <c r="FI19" i="19" a="1"/>
  <c r="FI19" i="19" s="1"/>
  <c r="FI13" i="19" a="1"/>
  <c r="FI13" i="19" s="1"/>
  <c r="FH18" i="19" a="1"/>
  <c r="FH18" i="19" s="1"/>
  <c r="FH12" i="19" a="1"/>
  <c r="FH12" i="19" s="1"/>
  <c r="FG17" i="19" a="1"/>
  <c r="FG17" i="19" s="1"/>
  <c r="FF19" i="19" a="1"/>
  <c r="FF19" i="19" s="1"/>
  <c r="FF13" i="19" a="1"/>
  <c r="FF13" i="19" s="1"/>
  <c r="FE18" i="19" a="1"/>
  <c r="FE18" i="19" s="1"/>
  <c r="FD19" i="19" a="1"/>
  <c r="FD19" i="19" s="1"/>
  <c r="FD12" i="19" a="1"/>
  <c r="FD12" i="19" s="1"/>
  <c r="FC13" i="19" a="1"/>
  <c r="FC13" i="19" s="1"/>
  <c r="FB18" i="19" a="1"/>
  <c r="FB18" i="19" s="1"/>
  <c r="FA19" i="19" a="1"/>
  <c r="FA19" i="19" s="1"/>
  <c r="FA12" i="19" a="1"/>
  <c r="FA12" i="19" s="1"/>
  <c r="EZ13" i="19" a="1"/>
  <c r="EZ13" i="19" s="1"/>
  <c r="EY18" i="19" a="1"/>
  <c r="EY18" i="19" s="1"/>
  <c r="EX19" i="19" a="1"/>
  <c r="EX19" i="19" s="1"/>
  <c r="EX12" i="19" a="1"/>
  <c r="EX12" i="19" s="1"/>
  <c r="EW13" i="19" a="1"/>
  <c r="EW13" i="19" s="1"/>
  <c r="EV18" i="19" a="1"/>
  <c r="EV18" i="19" s="1"/>
  <c r="EU19" i="19" a="1"/>
  <c r="EU19" i="19" s="1"/>
  <c r="EU12" i="19" a="1"/>
  <c r="EU12" i="19" s="1"/>
  <c r="ET13" i="19" a="1"/>
  <c r="ET13" i="19" s="1"/>
  <c r="ES18" i="19" a="1"/>
  <c r="ES18" i="19" s="1"/>
  <c r="ER19" i="19" a="1"/>
  <c r="ER19" i="19" s="1"/>
  <c r="ER12" i="19" a="1"/>
  <c r="ER12" i="19" s="1"/>
  <c r="EQ13" i="19" a="1"/>
  <c r="EQ13" i="19" s="1"/>
  <c r="EP18" i="19" a="1"/>
  <c r="EP18" i="19" s="1"/>
  <c r="EO19" i="19" a="1"/>
  <c r="EO19" i="19" s="1"/>
  <c r="EO12" i="19" a="1"/>
  <c r="EO12" i="19" s="1"/>
  <c r="EN13" i="19" a="1"/>
  <c r="EN13" i="19" s="1"/>
  <c r="EM18" i="19" a="1"/>
  <c r="EM18" i="19" s="1"/>
  <c r="EL19" i="19" a="1"/>
  <c r="EL19" i="19" s="1"/>
  <c r="EL12" i="19" a="1"/>
  <c r="EL12" i="19" s="1"/>
  <c r="EK13" i="19" a="1"/>
  <c r="EK13" i="19" s="1"/>
  <c r="EJ18" i="19" a="1"/>
  <c r="EJ18" i="19" s="1"/>
  <c r="EI19" i="19" a="1"/>
  <c r="EI19" i="19" s="1"/>
  <c r="EI12" i="19" a="1"/>
  <c r="EI12" i="19" s="1"/>
  <c r="EH13" i="19" a="1"/>
  <c r="EH13" i="19" s="1"/>
  <c r="EG18" i="19" a="1"/>
  <c r="EG18" i="19" s="1"/>
  <c r="EF19" i="19" a="1"/>
  <c r="EF19" i="19" s="1"/>
  <c r="EF12" i="19" a="1"/>
  <c r="EF12" i="19" s="1"/>
  <c r="EE13" i="19" a="1"/>
  <c r="EE13" i="19" s="1"/>
  <c r="ED18" i="19" a="1"/>
  <c r="ED18" i="19" s="1"/>
  <c r="EC19" i="19" a="1"/>
  <c r="EC19" i="19" s="1"/>
  <c r="EC12" i="19" a="1"/>
  <c r="EC12" i="19" s="1"/>
  <c r="EB13" i="19" a="1"/>
  <c r="EB13" i="19" s="1"/>
  <c r="EA13" i="19" a="1"/>
  <c r="EA13" i="19" s="1"/>
  <c r="DZ13" i="19" a="1"/>
  <c r="DZ13" i="19" s="1"/>
  <c r="DY13" i="19" a="1"/>
  <c r="DY13" i="19" s="1"/>
  <c r="DX13" i="19" a="1"/>
  <c r="DX13" i="19" s="1"/>
  <c r="DW13" i="19" a="1"/>
  <c r="DW13" i="19" s="1"/>
  <c r="DU19" i="19" a="1"/>
  <c r="DU19" i="19" s="1"/>
  <c r="DT18" i="19" a="1"/>
  <c r="DT18" i="19" s="1"/>
  <c r="DR19" i="19" a="1"/>
  <c r="DR19" i="19" s="1"/>
  <c r="DQ18" i="19" a="1"/>
  <c r="DQ18" i="19" s="1"/>
  <c r="DO19" i="19" a="1"/>
  <c r="DO19" i="19" s="1"/>
  <c r="DN18" i="19" a="1"/>
  <c r="DN18" i="19" s="1"/>
  <c r="DL19" i="19" a="1"/>
  <c r="DL19" i="19" s="1"/>
  <c r="DK18" i="19" a="1"/>
  <c r="DK18" i="19" s="1"/>
  <c r="DI19" i="19" a="1"/>
  <c r="DI19" i="19" s="1"/>
  <c r="DH18" i="19" a="1"/>
  <c r="DH18" i="19" s="1"/>
  <c r="DF19" i="19" a="1"/>
  <c r="DF19" i="19" s="1"/>
  <c r="DE18" i="19" a="1"/>
  <c r="DE18" i="19" s="1"/>
  <c r="DB18" i="19" a="1"/>
  <c r="DB18" i="19" s="1"/>
  <c r="CY18" i="19" a="1"/>
  <c r="CY18" i="19" s="1"/>
  <c r="CV18" i="19" a="1"/>
  <c r="CV18" i="19" s="1"/>
  <c r="CS18" i="19" a="1"/>
  <c r="CS18" i="19" s="1"/>
  <c r="CP18" i="19" a="1"/>
  <c r="CP18" i="19" s="1"/>
  <c r="CM18" i="19" a="1"/>
  <c r="CM18" i="19" s="1"/>
  <c r="CJ18" i="19" a="1"/>
  <c r="CJ18" i="19" s="1"/>
  <c r="CG18" i="19" a="1"/>
  <c r="CG18" i="19" s="1"/>
  <c r="CD18" i="19" a="1"/>
  <c r="CD18" i="19" s="1"/>
  <c r="CA18" i="19" a="1"/>
  <c r="CA18" i="19" s="1"/>
  <c r="BX18" i="19" a="1"/>
  <c r="BX18" i="19" s="1"/>
  <c r="BU18" i="19" a="1"/>
  <c r="BU18" i="19" s="1"/>
  <c r="BR18" i="19" a="1"/>
  <c r="BR18" i="19" s="1"/>
  <c r="FJ19" i="19" a="1"/>
  <c r="FJ19" i="19" s="1"/>
  <c r="FJ13" i="19" a="1"/>
  <c r="FJ13" i="19" s="1"/>
  <c r="FI18" i="19" a="1"/>
  <c r="FI18" i="19" s="1"/>
  <c r="FI12" i="19" a="1"/>
  <c r="FI12" i="19" s="1"/>
  <c r="FH17" i="19" a="1"/>
  <c r="FH17" i="19" s="1"/>
  <c r="FG19" i="19" a="1"/>
  <c r="FG19" i="19" s="1"/>
  <c r="FG13" i="19" a="1"/>
  <c r="FG13" i="19" s="1"/>
  <c r="FF18" i="19" a="1"/>
  <c r="FF18" i="19" s="1"/>
  <c r="FF12" i="19" a="1"/>
  <c r="FF12" i="19" s="1"/>
  <c r="FE13" i="19" a="1"/>
  <c r="FE13" i="19" s="1"/>
  <c r="FD18" i="19" a="1"/>
  <c r="FD18" i="19" s="1"/>
  <c r="FC19" i="19" a="1"/>
  <c r="FC19" i="19" s="1"/>
  <c r="FC12" i="19" a="1"/>
  <c r="FC12" i="19" s="1"/>
  <c r="FB13" i="19" a="1"/>
  <c r="FB13" i="19" s="1"/>
  <c r="FA18" i="19" a="1"/>
  <c r="FA18" i="19" s="1"/>
  <c r="EZ19" i="19" a="1"/>
  <c r="EZ19" i="19" s="1"/>
  <c r="EZ12" i="19" a="1"/>
  <c r="EZ12" i="19" s="1"/>
  <c r="EY13" i="19" a="1"/>
  <c r="EY13" i="19" s="1"/>
  <c r="EX18" i="19" a="1"/>
  <c r="EX18" i="19" s="1"/>
  <c r="EW19" i="19" a="1"/>
  <c r="EW19" i="19" s="1"/>
  <c r="EW12" i="19" a="1"/>
  <c r="EW12" i="19" s="1"/>
  <c r="EV13" i="19" a="1"/>
  <c r="EV13" i="19" s="1"/>
  <c r="EU18" i="19" a="1"/>
  <c r="EU18" i="19" s="1"/>
  <c r="ET19" i="19" a="1"/>
  <c r="ET19" i="19" s="1"/>
  <c r="ET12" i="19" a="1"/>
  <c r="ET12" i="19" s="1"/>
  <c r="ES13" i="19" a="1"/>
  <c r="ES13" i="19" s="1"/>
  <c r="ER18" i="19" a="1"/>
  <c r="ER18" i="19" s="1"/>
  <c r="EQ19" i="19" a="1"/>
  <c r="EQ19" i="19" s="1"/>
  <c r="EQ12" i="19" a="1"/>
  <c r="EQ12" i="19" s="1"/>
  <c r="EP13" i="19" a="1"/>
  <c r="EP13" i="19" s="1"/>
  <c r="EO18" i="19" a="1"/>
  <c r="EO18" i="19" s="1"/>
  <c r="EN19" i="19" a="1"/>
  <c r="EN19" i="19" s="1"/>
  <c r="EN12" i="19" a="1"/>
  <c r="EN12" i="19" s="1"/>
  <c r="EM13" i="19" a="1"/>
  <c r="EM13" i="19" s="1"/>
  <c r="EL18" i="19" a="1"/>
  <c r="EL18" i="19" s="1"/>
  <c r="EK19" i="19" a="1"/>
  <c r="EK19" i="19" s="1"/>
  <c r="EK12" i="19" a="1"/>
  <c r="EK12" i="19" s="1"/>
  <c r="EJ13" i="19" a="1"/>
  <c r="EJ13" i="19" s="1"/>
  <c r="EI18" i="19" a="1"/>
  <c r="EI18" i="19" s="1"/>
  <c r="EH19" i="19" a="1"/>
  <c r="EH19" i="19" s="1"/>
  <c r="EH12" i="19" a="1"/>
  <c r="EH12" i="19" s="1"/>
  <c r="EG13" i="19" a="1"/>
  <c r="EG13" i="19" s="1"/>
  <c r="EF18" i="19" a="1"/>
  <c r="EF18" i="19" s="1"/>
  <c r="EE19" i="19" a="1"/>
  <c r="EE19" i="19" s="1"/>
  <c r="EE12" i="19" a="1"/>
  <c r="EE12" i="19" s="1"/>
  <c r="ED13" i="19" a="1"/>
  <c r="ED13" i="19" s="1"/>
  <c r="EC18" i="19" a="1"/>
  <c r="EC18" i="19" s="1"/>
  <c r="EB19" i="19" a="1"/>
  <c r="EB19" i="19" s="1"/>
  <c r="EA19" i="19" a="1"/>
  <c r="EA19" i="19" s="1"/>
  <c r="DZ19" i="19" a="1"/>
  <c r="DZ19" i="19" s="1"/>
  <c r="DY19" i="19" a="1"/>
  <c r="DY19" i="19" s="1"/>
  <c r="DX19" i="19" a="1"/>
  <c r="DX19" i="19" s="1"/>
  <c r="DW19" i="19" a="1"/>
  <c r="DW19" i="19" s="1"/>
  <c r="DV19" i="19" a="1"/>
  <c r="DV19" i="19" s="1"/>
  <c r="DU18" i="19" a="1"/>
  <c r="DU18" i="19" s="1"/>
  <c r="DS19" i="19" a="1"/>
  <c r="DS19" i="19" s="1"/>
  <c r="DR18" i="19" a="1"/>
  <c r="DR18" i="19" s="1"/>
  <c r="DP19" i="19" a="1"/>
  <c r="DP19" i="19" s="1"/>
  <c r="DO18" i="19" a="1"/>
  <c r="DO18" i="19" s="1"/>
  <c r="DM19" i="19" a="1"/>
  <c r="DM19" i="19" s="1"/>
  <c r="DL18" i="19" a="1"/>
  <c r="DL18" i="19" s="1"/>
  <c r="DJ19" i="19" a="1"/>
  <c r="DJ19" i="19" s="1"/>
  <c r="DI18" i="19" a="1"/>
  <c r="DI18" i="19" s="1"/>
  <c r="DG19" i="19" a="1"/>
  <c r="DG19" i="19" s="1"/>
  <c r="DF18" i="19" a="1"/>
  <c r="DF18" i="19" s="1"/>
  <c r="CX18" i="19" a="1"/>
  <c r="CX18" i="19" s="1"/>
  <c r="CO18" i="19" a="1"/>
  <c r="CO18" i="19" s="1"/>
  <c r="CF18" i="19" a="1"/>
  <c r="CF18" i="19" s="1"/>
  <c r="BW18" i="19" a="1"/>
  <c r="BW18" i="19" s="1"/>
  <c r="BO18" i="19" a="1"/>
  <c r="BO18" i="19" s="1"/>
  <c r="BK18" i="19" a="1"/>
  <c r="BK18" i="19" s="1"/>
  <c r="BF18" i="19" a="1"/>
  <c r="BF18" i="19" s="1"/>
  <c r="BB18" i="19" a="1"/>
  <c r="BB18" i="19" s="1"/>
  <c r="Z18" i="19" a="1"/>
  <c r="Z18" i="19" s="1"/>
  <c r="W18" i="19" a="1"/>
  <c r="W18" i="19" s="1"/>
  <c r="T18" i="19" a="1"/>
  <c r="T18" i="19" s="1"/>
  <c r="Q18" i="19" a="1"/>
  <c r="Q18" i="19" s="1"/>
  <c r="N18" i="19" a="1"/>
  <c r="N18" i="19" s="1"/>
  <c r="K18" i="19" a="1"/>
  <c r="K18" i="19" s="1"/>
  <c r="H18" i="19" a="1"/>
  <c r="H18" i="19" s="1"/>
  <c r="E18" i="19" a="1"/>
  <c r="E18" i="19" s="1"/>
  <c r="AA18" i="19" a="1"/>
  <c r="AA18" i="19" s="1"/>
  <c r="AR18" i="19" a="1"/>
  <c r="AR18" i="19" s="1"/>
  <c r="AD18" i="19" a="1"/>
  <c r="AD18" i="19" s="1"/>
  <c r="AH18" i="19" a="1"/>
  <c r="AH18" i="19" s="1"/>
  <c r="AX18" i="19" a="1"/>
  <c r="AX18" i="19" s="1"/>
  <c r="AV18" i="19" a="1"/>
  <c r="AV18" i="19" s="1"/>
  <c r="AU18" i="19" a="1"/>
  <c r="AU18" i="19" s="1"/>
  <c r="AN18" i="19" a="1"/>
  <c r="AN18" i="19" s="1"/>
  <c r="D19" i="19" a="1"/>
  <c r="D19" i="19" s="1"/>
  <c r="E19" i="19" a="1"/>
  <c r="E19" i="19" s="1"/>
  <c r="H19" i="19" a="1"/>
  <c r="H19" i="19" s="1"/>
  <c r="K19" i="19" a="1"/>
  <c r="K19" i="19" s="1"/>
  <c r="DC19" i="19" a="1"/>
  <c r="DC19" i="19" s="1"/>
  <c r="CZ19" i="19" a="1"/>
  <c r="CZ19" i="19" s="1"/>
  <c r="CW19" i="19" a="1"/>
  <c r="CW19" i="19" s="1"/>
  <c r="CT19" i="19" a="1"/>
  <c r="CT19" i="19" s="1"/>
  <c r="CQ19" i="19" a="1"/>
  <c r="CQ19" i="19" s="1"/>
  <c r="CN19" i="19" a="1"/>
  <c r="CN19" i="19" s="1"/>
  <c r="CK19" i="19" a="1"/>
  <c r="CK19" i="19" s="1"/>
  <c r="CH19" i="19" a="1"/>
  <c r="CH19" i="19" s="1"/>
  <c r="CE19" i="19" a="1"/>
  <c r="CE19" i="19" s="1"/>
  <c r="CB19" i="19" a="1"/>
  <c r="CB19" i="19" s="1"/>
  <c r="BY19" i="19" a="1"/>
  <c r="BY19" i="19" s="1"/>
  <c r="BV19" i="19" a="1"/>
  <c r="BV19" i="19" s="1"/>
  <c r="BS19" i="19" a="1"/>
  <c r="BS19" i="19" s="1"/>
  <c r="BP19" i="19" a="1"/>
  <c r="BP19" i="19" s="1"/>
  <c r="BM19" i="19" a="1"/>
  <c r="BM19" i="19" s="1"/>
  <c r="BJ19" i="19" a="1"/>
  <c r="BJ19" i="19" s="1"/>
  <c r="BG19" i="19" a="1"/>
  <c r="BG19" i="19" s="1"/>
  <c r="BD19" i="19" a="1"/>
  <c r="BD19" i="19" s="1"/>
  <c r="BA19" i="19" a="1"/>
  <c r="BA19" i="19" s="1"/>
  <c r="AX19" i="19" a="1"/>
  <c r="AX19" i="19" s="1"/>
  <c r="AU19" i="19" a="1"/>
  <c r="AU19" i="19" s="1"/>
  <c r="AR19" i="19" a="1"/>
  <c r="AR19" i="19" s="1"/>
  <c r="AO19" i="19" a="1"/>
  <c r="AO19" i="19" s="1"/>
  <c r="AL19" i="19" a="1"/>
  <c r="AL19" i="19" s="1"/>
  <c r="AI19" i="19" a="1"/>
  <c r="AI19" i="19" s="1"/>
  <c r="AF19" i="19" a="1"/>
  <c r="AF19" i="19" s="1"/>
  <c r="AC19" i="19" a="1"/>
  <c r="AC19" i="19" s="1"/>
  <c r="Z19" i="19" a="1"/>
  <c r="Z19" i="19" s="1"/>
  <c r="W19" i="19" a="1"/>
  <c r="W19" i="19" s="1"/>
  <c r="T19" i="19" a="1"/>
  <c r="T19" i="19" s="1"/>
  <c r="Q19" i="19" a="1"/>
  <c r="Q19" i="19" s="1"/>
  <c r="KQ18" i="19" a="1"/>
  <c r="KQ18" i="19" s="1"/>
  <c r="KQ12" i="19" a="1"/>
  <c r="KQ12" i="19" s="1"/>
  <c r="KP17" i="19" a="1"/>
  <c r="KP17" i="19" s="1"/>
  <c r="KO19" i="19" a="1"/>
  <c r="KO19" i="19" s="1"/>
  <c r="KO13" i="19" a="1"/>
  <c r="KO13" i="19" s="1"/>
  <c r="KN18" i="19" a="1"/>
  <c r="KN18" i="19" s="1"/>
  <c r="KN12" i="19" a="1"/>
  <c r="KN12" i="19" s="1"/>
  <c r="KM17" i="19" a="1"/>
  <c r="KM17" i="19" s="1"/>
  <c r="KL19" i="19" a="1"/>
  <c r="KL19" i="19" s="1"/>
  <c r="KL13" i="19" a="1"/>
  <c r="KL13" i="19" s="1"/>
  <c r="KK18" i="19" a="1"/>
  <c r="KK18" i="19" s="1"/>
  <c r="KK12" i="19" a="1"/>
  <c r="KK12" i="19" s="1"/>
  <c r="KJ17" i="19" a="1"/>
  <c r="KJ17" i="19" s="1"/>
  <c r="KI19" i="19" a="1"/>
  <c r="KI19" i="19" s="1"/>
  <c r="KI13" i="19" a="1"/>
  <c r="KI13" i="19" s="1"/>
  <c r="KH18" i="19" a="1"/>
  <c r="KH18" i="19" s="1"/>
  <c r="KH12" i="19" a="1"/>
  <c r="KH12" i="19" s="1"/>
  <c r="KG17" i="19" a="1"/>
  <c r="KG17" i="19" s="1"/>
  <c r="KF19" i="19" a="1"/>
  <c r="KF19" i="19" s="1"/>
  <c r="KF13" i="19" a="1"/>
  <c r="KF13" i="19" s="1"/>
  <c r="KE18" i="19" a="1"/>
  <c r="KE18" i="19" s="1"/>
  <c r="KE12" i="19" a="1"/>
  <c r="KE12" i="19" s="1"/>
  <c r="KD17" i="19" a="1"/>
  <c r="KD17" i="19" s="1"/>
  <c r="KC19" i="19" a="1"/>
  <c r="KC19" i="19" s="1"/>
  <c r="KC13" i="19" a="1"/>
  <c r="KC13" i="19" s="1"/>
  <c r="KB18" i="19" a="1"/>
  <c r="KB18" i="19" s="1"/>
  <c r="KB12" i="19" a="1"/>
  <c r="KB12" i="19" s="1"/>
  <c r="KA17" i="19" a="1"/>
  <c r="KA17" i="19" s="1"/>
  <c r="JZ19" i="19" a="1"/>
  <c r="JZ19" i="19" s="1"/>
  <c r="JZ13" i="19" a="1"/>
  <c r="JZ13" i="19" s="1"/>
  <c r="JY18" i="19" a="1"/>
  <c r="JY18" i="19" s="1"/>
  <c r="JY12" i="19" a="1"/>
  <c r="JY12" i="19" s="1"/>
  <c r="JX17" i="19" a="1"/>
  <c r="JX17" i="19" s="1"/>
  <c r="JW19" i="19" a="1"/>
  <c r="JW19" i="19" s="1"/>
  <c r="JW13" i="19" a="1"/>
  <c r="JW13" i="19" s="1"/>
  <c r="JV18" i="19" a="1"/>
  <c r="JV18" i="19" s="1"/>
  <c r="JV12" i="19" a="1"/>
  <c r="JV12" i="19" s="1"/>
  <c r="DD18" i="19" a="1"/>
  <c r="DD18" i="19" s="1"/>
  <c r="CU18" i="19" a="1"/>
  <c r="CU18" i="19" s="1"/>
  <c r="CL18" i="19" a="1"/>
  <c r="CL18" i="19" s="1"/>
  <c r="CC18" i="19" a="1"/>
  <c r="CC18" i="19" s="1"/>
  <c r="BT18" i="19" a="1"/>
  <c r="BT18" i="19" s="1"/>
  <c r="BN18" i="19" a="1"/>
  <c r="BN18" i="19" s="1"/>
  <c r="BI18" i="19" a="1"/>
  <c r="BI18" i="19" s="1"/>
  <c r="BE18" i="19" a="1"/>
  <c r="BE18" i="19" s="1"/>
  <c r="AZ18" i="19" a="1"/>
  <c r="AZ18" i="19" s="1"/>
  <c r="Y18" i="19" a="1"/>
  <c r="Y18" i="19" s="1"/>
  <c r="V18" i="19" a="1"/>
  <c r="V18" i="19" s="1"/>
  <c r="S18" i="19" a="1"/>
  <c r="S18" i="19" s="1"/>
  <c r="P18" i="19" a="1"/>
  <c r="P18" i="19" s="1"/>
  <c r="M18" i="19" a="1"/>
  <c r="M18" i="19" s="1"/>
  <c r="J18" i="19" a="1"/>
  <c r="J18" i="19" s="1"/>
  <c r="G18" i="19" a="1"/>
  <c r="G18" i="19" s="1"/>
  <c r="AO18" i="19" a="1"/>
  <c r="AO18" i="19" s="1"/>
  <c r="AQ18" i="19" a="1"/>
  <c r="AQ18" i="19" s="1"/>
  <c r="AC18" i="19" a="1"/>
  <c r="AC18" i="19" s="1"/>
  <c r="AT18" i="19" a="1"/>
  <c r="AT18" i="19" s="1"/>
  <c r="AI18" i="19" a="1"/>
  <c r="AI18" i="19" s="1"/>
  <c r="AJ18" i="19" a="1"/>
  <c r="AJ18" i="19" s="1"/>
  <c r="AG18" i="19" a="1"/>
  <c r="AG18" i="19" s="1"/>
  <c r="AM18" i="19" a="1"/>
  <c r="AM18" i="19" s="1"/>
  <c r="M19" i="19" a="1"/>
  <c r="M19" i="19" s="1"/>
  <c r="L19" i="19" a="1"/>
  <c r="L19" i="19" s="1"/>
  <c r="F19" i="19" a="1"/>
  <c r="F19" i="19" s="1"/>
  <c r="I19" i="19" a="1"/>
  <c r="I19" i="19" s="1"/>
  <c r="D18" i="19" a="1"/>
  <c r="D18" i="19" s="1"/>
  <c r="DB19" i="19" a="1"/>
  <c r="DB19" i="19" s="1"/>
  <c r="CY19" i="19" a="1"/>
  <c r="CY19" i="19" s="1"/>
  <c r="CV19" i="19" a="1"/>
  <c r="CV19" i="19" s="1"/>
  <c r="CS19" i="19" a="1"/>
  <c r="CS19" i="19" s="1"/>
  <c r="CP19" i="19" a="1"/>
  <c r="CP19" i="19" s="1"/>
  <c r="CM19" i="19" a="1"/>
  <c r="CM19" i="19" s="1"/>
  <c r="CJ19" i="19" a="1"/>
  <c r="CJ19" i="19" s="1"/>
  <c r="CG19" i="19" a="1"/>
  <c r="CG19" i="19" s="1"/>
  <c r="CD19" i="19" a="1"/>
  <c r="CD19" i="19" s="1"/>
  <c r="CA19" i="19" a="1"/>
  <c r="CA19" i="19" s="1"/>
  <c r="BX19" i="19" a="1"/>
  <c r="BX19" i="19" s="1"/>
  <c r="BU19" i="19" a="1"/>
  <c r="BU19" i="19" s="1"/>
  <c r="BR19" i="19" a="1"/>
  <c r="BR19" i="19" s="1"/>
  <c r="BO19" i="19" a="1"/>
  <c r="BO19" i="19" s="1"/>
  <c r="BL19" i="19" a="1"/>
  <c r="BL19" i="19" s="1"/>
  <c r="BI19" i="19" a="1"/>
  <c r="BI19" i="19" s="1"/>
  <c r="BF19" i="19" a="1"/>
  <c r="BF19" i="19" s="1"/>
  <c r="BC19" i="19" a="1"/>
  <c r="BC19" i="19" s="1"/>
  <c r="AZ19" i="19" a="1"/>
  <c r="AZ19" i="19" s="1"/>
  <c r="AW19" i="19" a="1"/>
  <c r="AW19" i="19" s="1"/>
  <c r="AT19" i="19" a="1"/>
  <c r="AT19" i="19" s="1"/>
  <c r="AQ19" i="19" a="1"/>
  <c r="AQ19" i="19" s="1"/>
  <c r="AN19" i="19" a="1"/>
  <c r="AN19" i="19" s="1"/>
  <c r="AK19" i="19" a="1"/>
  <c r="AK19" i="19" s="1"/>
  <c r="AH19" i="19" a="1"/>
  <c r="AH19" i="19" s="1"/>
  <c r="AE19" i="19" a="1"/>
  <c r="AE19" i="19" s="1"/>
  <c r="AB19" i="19" a="1"/>
  <c r="AB19" i="19" s="1"/>
  <c r="Y19" i="19" a="1"/>
  <c r="Y19" i="19" s="1"/>
  <c r="V19" i="19" a="1"/>
  <c r="V19" i="19" s="1"/>
  <c r="S19" i="19" a="1"/>
  <c r="S19" i="19" s="1"/>
  <c r="P19" i="19" a="1"/>
  <c r="P19" i="19" s="1"/>
  <c r="KQ17" i="19" a="1"/>
  <c r="KQ17" i="19" s="1"/>
  <c r="KP19" i="19" a="1"/>
  <c r="KP19" i="19" s="1"/>
  <c r="KP13" i="19" a="1"/>
  <c r="KP13" i="19" s="1"/>
  <c r="KO18" i="19" a="1"/>
  <c r="KO18" i="19" s="1"/>
  <c r="KO12" i="19" a="1"/>
  <c r="KO12" i="19" s="1"/>
  <c r="KN17" i="19" a="1"/>
  <c r="KN17" i="19" s="1"/>
  <c r="KM19" i="19" a="1"/>
  <c r="KM19" i="19" s="1"/>
  <c r="KM13" i="19" a="1"/>
  <c r="KM13" i="19" s="1"/>
  <c r="KL18" i="19" a="1"/>
  <c r="KL18" i="19" s="1"/>
  <c r="KL12" i="19" a="1"/>
  <c r="KL12" i="19" s="1"/>
  <c r="KK17" i="19" a="1"/>
  <c r="KK17" i="19" s="1"/>
  <c r="KJ19" i="19" a="1"/>
  <c r="KJ19" i="19" s="1"/>
  <c r="KJ13" i="19" a="1"/>
  <c r="KJ13" i="19" s="1"/>
  <c r="KI18" i="19" a="1"/>
  <c r="KI18" i="19" s="1"/>
  <c r="KI12" i="19" a="1"/>
  <c r="KI12" i="19" s="1"/>
  <c r="KH17" i="19" a="1"/>
  <c r="KH17" i="19" s="1"/>
  <c r="KG19" i="19" a="1"/>
  <c r="KG19" i="19" s="1"/>
  <c r="KG13" i="19" a="1"/>
  <c r="KG13" i="19" s="1"/>
  <c r="KF18" i="19" a="1"/>
  <c r="KF18" i="19" s="1"/>
  <c r="KF12" i="19" a="1"/>
  <c r="KF12" i="19" s="1"/>
  <c r="KE17" i="19" a="1"/>
  <c r="KE17" i="19" s="1"/>
  <c r="KD19" i="19" a="1"/>
  <c r="KD19" i="19" s="1"/>
  <c r="KD13" i="19" a="1"/>
  <c r="KD13" i="19" s="1"/>
  <c r="KC18" i="19" a="1"/>
  <c r="KC18" i="19" s="1"/>
  <c r="KC12" i="19" a="1"/>
  <c r="KC12" i="19" s="1"/>
  <c r="DA18" i="19" a="1"/>
  <c r="DA18" i="19" s="1"/>
  <c r="CR18" i="19" a="1"/>
  <c r="CR18" i="19" s="1"/>
  <c r="CI18" i="19" a="1"/>
  <c r="CI18" i="19" s="1"/>
  <c r="BZ18" i="19" a="1"/>
  <c r="BZ18" i="19" s="1"/>
  <c r="BQ18" i="19" a="1"/>
  <c r="BQ18" i="19" s="1"/>
  <c r="BL18" i="19" a="1"/>
  <c r="BL18" i="19" s="1"/>
  <c r="BH18" i="19" a="1"/>
  <c r="BH18" i="19" s="1"/>
  <c r="BC18" i="19" a="1"/>
  <c r="BC18" i="19" s="1"/>
  <c r="AY18" i="19" a="1"/>
  <c r="AY18" i="19" s="1"/>
  <c r="X18" i="19" a="1"/>
  <c r="X18" i="19" s="1"/>
  <c r="U18" i="19" a="1"/>
  <c r="U18" i="19" s="1"/>
  <c r="R18" i="19" a="1"/>
  <c r="R18" i="19" s="1"/>
  <c r="O18" i="19" a="1"/>
  <c r="O18" i="19" s="1"/>
  <c r="L18" i="19" a="1"/>
  <c r="L18" i="19" s="1"/>
  <c r="I18" i="19" a="1"/>
  <c r="I18" i="19" s="1"/>
  <c r="F18" i="19" a="1"/>
  <c r="F18" i="19" s="1"/>
  <c r="AP18" i="19" a="1"/>
  <c r="AP18" i="19" s="1"/>
  <c r="AB18" i="19" a="1"/>
  <c r="AB18" i="19" s="1"/>
  <c r="AS18" i="19" a="1"/>
  <c r="AS18" i="19" s="1"/>
  <c r="AE18" i="19" a="1"/>
  <c r="AE18" i="19" s="1"/>
  <c r="AF18" i="19" a="1"/>
  <c r="AF18" i="19" s="1"/>
  <c r="AK18" i="19" a="1"/>
  <c r="AK18" i="19" s="1"/>
  <c r="AL18" i="19" a="1"/>
  <c r="AL18" i="19" s="1"/>
  <c r="AW18" i="19" a="1"/>
  <c r="AW18" i="19" s="1"/>
  <c r="O19" i="19" a="1"/>
  <c r="O19" i="19" s="1"/>
  <c r="N19" i="19" a="1"/>
  <c r="N19" i="19" s="1"/>
  <c r="G19" i="19" a="1"/>
  <c r="G19" i="19" s="1"/>
  <c r="J19" i="19" a="1"/>
  <c r="J19" i="19" s="1"/>
  <c r="DD19" i="19" a="1"/>
  <c r="DD19" i="19" s="1"/>
  <c r="DA19" i="19" a="1"/>
  <c r="DA19" i="19" s="1"/>
  <c r="CX19" i="19" a="1"/>
  <c r="CX19" i="19" s="1"/>
  <c r="CU19" i="19" a="1"/>
  <c r="CU19" i="19" s="1"/>
  <c r="CR19" i="19" a="1"/>
  <c r="CR19" i="19" s="1"/>
  <c r="CO19" i="19" a="1"/>
  <c r="CO19" i="19" s="1"/>
  <c r="CL19" i="19" a="1"/>
  <c r="CL19" i="19" s="1"/>
  <c r="CI19" i="19" a="1"/>
  <c r="CI19" i="19" s="1"/>
  <c r="CF19" i="19" a="1"/>
  <c r="CF19" i="19" s="1"/>
  <c r="CC19" i="19" a="1"/>
  <c r="CC19" i="19" s="1"/>
  <c r="BZ19" i="19" a="1"/>
  <c r="BZ19" i="19" s="1"/>
  <c r="BW19" i="19" a="1"/>
  <c r="BW19" i="19" s="1"/>
  <c r="BT19" i="19" a="1"/>
  <c r="BT19" i="19" s="1"/>
  <c r="BQ19" i="19" a="1"/>
  <c r="BQ19" i="19" s="1"/>
  <c r="BN19" i="19" a="1"/>
  <c r="BN19" i="19" s="1"/>
  <c r="BK19" i="19" a="1"/>
  <c r="BK19" i="19" s="1"/>
  <c r="BH19" i="19" a="1"/>
  <c r="BH19" i="19" s="1"/>
  <c r="BE19" i="19" a="1"/>
  <c r="BE19" i="19" s="1"/>
  <c r="BB19" i="19" a="1"/>
  <c r="BB19" i="19" s="1"/>
  <c r="AY19" i="19" a="1"/>
  <c r="AY19" i="19" s="1"/>
  <c r="AV19" i="19" a="1"/>
  <c r="AV19" i="19" s="1"/>
  <c r="AS19" i="19" a="1"/>
  <c r="AS19" i="19" s="1"/>
  <c r="AP19" i="19" a="1"/>
  <c r="AP19" i="19" s="1"/>
  <c r="AM19" i="19" a="1"/>
  <c r="AM19" i="19" s="1"/>
  <c r="AJ19" i="19" a="1"/>
  <c r="AJ19" i="19" s="1"/>
  <c r="AG19" i="19" a="1"/>
  <c r="AG19" i="19" s="1"/>
  <c r="AD19" i="19" a="1"/>
  <c r="AD19" i="19" s="1"/>
  <c r="AA19" i="19" a="1"/>
  <c r="AA19" i="19" s="1"/>
  <c r="X19" i="19" a="1"/>
  <c r="X19" i="19" s="1"/>
  <c r="U19" i="19" a="1"/>
  <c r="U19" i="19" s="1"/>
  <c r="R19" i="19" a="1"/>
  <c r="R19" i="19" s="1"/>
  <c r="KQ19" i="19" a="1"/>
  <c r="KQ19" i="19" s="1"/>
  <c r="KQ13" i="19" a="1"/>
  <c r="KQ13" i="19" s="1"/>
  <c r="KP18" i="19" a="1"/>
  <c r="KP18" i="19" s="1"/>
  <c r="KP12" i="19" a="1"/>
  <c r="KP12" i="19" s="1"/>
  <c r="KO17" i="19" a="1"/>
  <c r="KO17" i="19" s="1"/>
  <c r="KN19" i="19" a="1"/>
  <c r="KN19" i="19" s="1"/>
  <c r="KN13" i="19" a="1"/>
  <c r="KN13" i="19" s="1"/>
  <c r="KM18" i="19" a="1"/>
  <c r="KM18" i="19" s="1"/>
  <c r="KM12" i="19" a="1"/>
  <c r="KM12" i="19" s="1"/>
  <c r="KL17" i="19" a="1"/>
  <c r="KL17" i="19" s="1"/>
  <c r="KK19" i="19" a="1"/>
  <c r="KK19" i="19" s="1"/>
  <c r="KK13" i="19" a="1"/>
  <c r="KK13" i="19" s="1"/>
  <c r="KJ18" i="19" a="1"/>
  <c r="KJ18" i="19" s="1"/>
  <c r="KJ12" i="19" a="1"/>
  <c r="KJ12" i="19" s="1"/>
  <c r="KI17" i="19" a="1"/>
  <c r="KI17" i="19" s="1"/>
  <c r="KH19" i="19" a="1"/>
  <c r="KH19" i="19" s="1"/>
  <c r="KH13" i="19" a="1"/>
  <c r="KH13" i="19" s="1"/>
  <c r="KG18" i="19" a="1"/>
  <c r="KG18" i="19" s="1"/>
  <c r="KG12" i="19" a="1"/>
  <c r="KG12" i="19" s="1"/>
  <c r="KF17" i="19" a="1"/>
  <c r="KF17" i="19" s="1"/>
  <c r="KF20" i="19" s="1"/>
  <c r="KD18" i="19" a="1"/>
  <c r="KD18" i="19" s="1"/>
  <c r="KB19" i="19" a="1"/>
  <c r="KB19" i="19" s="1"/>
  <c r="KA19" i="19" a="1"/>
  <c r="KA19" i="19" s="1"/>
  <c r="KA12" i="19" a="1"/>
  <c r="KA12" i="19" s="1"/>
  <c r="JZ12" i="19" a="1"/>
  <c r="JZ12" i="19" s="1"/>
  <c r="JY13" i="19" a="1"/>
  <c r="JY13" i="19" s="1"/>
  <c r="JX13" i="19" a="1"/>
  <c r="JX13" i="19" s="1"/>
  <c r="JW17" i="19" a="1"/>
  <c r="JW17" i="19" s="1"/>
  <c r="JV17" i="19" a="1"/>
  <c r="JV17" i="19" s="1"/>
  <c r="JU18" i="19" a="1"/>
  <c r="JU18" i="19" s="1"/>
  <c r="JU12" i="19" a="1"/>
  <c r="JU12" i="19" s="1"/>
  <c r="JT17" i="19" a="1"/>
  <c r="JT17" i="19" s="1"/>
  <c r="JS19" i="19" a="1"/>
  <c r="JS19" i="19" s="1"/>
  <c r="JS13" i="19" a="1"/>
  <c r="JS13" i="19" s="1"/>
  <c r="JR18" i="19" a="1"/>
  <c r="JR18" i="19" s="1"/>
  <c r="JR12" i="19" a="1"/>
  <c r="JR12" i="19" s="1"/>
  <c r="JQ17" i="19" a="1"/>
  <c r="JQ17" i="19" s="1"/>
  <c r="JP19" i="19" a="1"/>
  <c r="JP19" i="19" s="1"/>
  <c r="JP13" i="19" a="1"/>
  <c r="JP13" i="19" s="1"/>
  <c r="JO18" i="19" a="1"/>
  <c r="JO18" i="19" s="1"/>
  <c r="JO12" i="19" a="1"/>
  <c r="JO12" i="19" s="1"/>
  <c r="JN17" i="19" a="1"/>
  <c r="JN17" i="19" s="1"/>
  <c r="JM19" i="19" a="1"/>
  <c r="JM19" i="19" s="1"/>
  <c r="JM13" i="19" a="1"/>
  <c r="JM13" i="19" s="1"/>
  <c r="JL18" i="19" a="1"/>
  <c r="JL18" i="19" s="1"/>
  <c r="JL12" i="19" a="1"/>
  <c r="JL12" i="19" s="1"/>
  <c r="JK17" i="19" a="1"/>
  <c r="JK17" i="19" s="1"/>
  <c r="JJ19" i="19" a="1"/>
  <c r="JJ19" i="19" s="1"/>
  <c r="JJ13" i="19" a="1"/>
  <c r="JJ13" i="19" s="1"/>
  <c r="JI18" i="19" a="1"/>
  <c r="JI18" i="19" s="1"/>
  <c r="JI12" i="19" a="1"/>
  <c r="JI12" i="19" s="1"/>
  <c r="JH17" i="19" a="1"/>
  <c r="JH17" i="19" s="1"/>
  <c r="JG19" i="19" a="1"/>
  <c r="JG19" i="19" s="1"/>
  <c r="JG13" i="19" a="1"/>
  <c r="JG13" i="19" s="1"/>
  <c r="JF18" i="19" a="1"/>
  <c r="JF18" i="19" s="1"/>
  <c r="JF12" i="19" a="1"/>
  <c r="JF12" i="19" s="1"/>
  <c r="JE17" i="19" a="1"/>
  <c r="JE17" i="19" s="1"/>
  <c r="JD19" i="19" a="1"/>
  <c r="JD19" i="19" s="1"/>
  <c r="JD13" i="19" a="1"/>
  <c r="JD13" i="19" s="1"/>
  <c r="JC18" i="19" a="1"/>
  <c r="JC18" i="19" s="1"/>
  <c r="JC12" i="19" a="1"/>
  <c r="JC12" i="19" s="1"/>
  <c r="JB17" i="19" a="1"/>
  <c r="JB17" i="19" s="1"/>
  <c r="JA19" i="19" a="1"/>
  <c r="JA19" i="19" s="1"/>
  <c r="JA13" i="19" a="1"/>
  <c r="JA13" i="19" s="1"/>
  <c r="IZ18" i="19" a="1"/>
  <c r="IZ18" i="19" s="1"/>
  <c r="IZ12" i="19" a="1"/>
  <c r="IZ12" i="19" s="1"/>
  <c r="IY17" i="19" a="1"/>
  <c r="IY17" i="19" s="1"/>
  <c r="IX19" i="19" a="1"/>
  <c r="IX19" i="19" s="1"/>
  <c r="IX13" i="19" a="1"/>
  <c r="IX13" i="19" s="1"/>
  <c r="IW18" i="19" a="1"/>
  <c r="IW18" i="19" s="1"/>
  <c r="IW12" i="19" a="1"/>
  <c r="IW12" i="19" s="1"/>
  <c r="IV17" i="19" a="1"/>
  <c r="IV17" i="19" s="1"/>
  <c r="IU19" i="19" a="1"/>
  <c r="IU19" i="19" s="1"/>
  <c r="IU13" i="19" a="1"/>
  <c r="IU13" i="19" s="1"/>
  <c r="IT18" i="19" a="1"/>
  <c r="IT18" i="19" s="1"/>
  <c r="IT12" i="19" a="1"/>
  <c r="IT12" i="19" s="1"/>
  <c r="IS17" i="19" a="1"/>
  <c r="IS17" i="19" s="1"/>
  <c r="IR19" i="19" a="1"/>
  <c r="IR19" i="19" s="1"/>
  <c r="IR13" i="19" a="1"/>
  <c r="IR13" i="19" s="1"/>
  <c r="IQ18" i="19" a="1"/>
  <c r="IQ18" i="19" s="1"/>
  <c r="IQ12" i="19" a="1"/>
  <c r="IQ12" i="19" s="1"/>
  <c r="IP17" i="19" a="1"/>
  <c r="IP17" i="19" s="1"/>
  <c r="IO19" i="19" a="1"/>
  <c r="IO19" i="19" s="1"/>
  <c r="IO13" i="19" a="1"/>
  <c r="IO13" i="19" s="1"/>
  <c r="IN18" i="19" a="1"/>
  <c r="IN18" i="19" s="1"/>
  <c r="IN12" i="19" a="1"/>
  <c r="IN12" i="19" s="1"/>
  <c r="IM17" i="19" a="1"/>
  <c r="IM17" i="19" s="1"/>
  <c r="IL19" i="19" a="1"/>
  <c r="IL19" i="19" s="1"/>
  <c r="IL13" i="19" a="1"/>
  <c r="IL13" i="19" s="1"/>
  <c r="IK18" i="19" a="1"/>
  <c r="IK18" i="19" s="1"/>
  <c r="IK12" i="19" a="1"/>
  <c r="IK12" i="19" s="1"/>
  <c r="IJ17" i="19" a="1"/>
  <c r="IJ17" i="19" s="1"/>
  <c r="II19" i="19" a="1"/>
  <c r="II19" i="19" s="1"/>
  <c r="II13" i="19" a="1"/>
  <c r="II13" i="19" s="1"/>
  <c r="IH18" i="19" a="1"/>
  <c r="IH18" i="19" s="1"/>
  <c r="IH12" i="19" a="1"/>
  <c r="IH12" i="19" s="1"/>
  <c r="IG17" i="19" a="1"/>
  <c r="IG17" i="19" s="1"/>
  <c r="IF19" i="19" a="1"/>
  <c r="IF19" i="19" s="1"/>
  <c r="IF13" i="19" a="1"/>
  <c r="IF13" i="19" s="1"/>
  <c r="IE18" i="19" a="1"/>
  <c r="IE18" i="19" s="1"/>
  <c r="IE12" i="19" a="1"/>
  <c r="IE12" i="19" s="1"/>
  <c r="ID17" i="19" a="1"/>
  <c r="ID17" i="19" s="1"/>
  <c r="IC19" i="19" a="1"/>
  <c r="IC19" i="19" s="1"/>
  <c r="IC13" i="19" a="1"/>
  <c r="IC13" i="19" s="1"/>
  <c r="IB18" i="19" a="1"/>
  <c r="IB18" i="19" s="1"/>
  <c r="IB12" i="19" a="1"/>
  <c r="IB12" i="19" s="1"/>
  <c r="IA17" i="19" a="1"/>
  <c r="IA17" i="19" s="1"/>
  <c r="HZ19" i="19" a="1"/>
  <c r="HZ19" i="19" s="1"/>
  <c r="HZ13" i="19" a="1"/>
  <c r="HZ13" i="19" s="1"/>
  <c r="HY18" i="19" a="1"/>
  <c r="HY18" i="19" s="1"/>
  <c r="HY12" i="19" a="1"/>
  <c r="HY12" i="19" s="1"/>
  <c r="HX17" i="19" a="1"/>
  <c r="HX17" i="19" s="1"/>
  <c r="HW19" i="19" a="1"/>
  <c r="HW19" i="19" s="1"/>
  <c r="HW13" i="19" a="1"/>
  <c r="HW13" i="19" s="1"/>
  <c r="HV18" i="19" a="1"/>
  <c r="HV18" i="19" s="1"/>
  <c r="HV12" i="19" a="1"/>
  <c r="HV12" i="19" s="1"/>
  <c r="HU17" i="19" a="1"/>
  <c r="HU17" i="19" s="1"/>
  <c r="HT19" i="19" a="1"/>
  <c r="HT19" i="19" s="1"/>
  <c r="HT13" i="19" a="1"/>
  <c r="HT13" i="19" s="1"/>
  <c r="HS18" i="19" a="1"/>
  <c r="HS18" i="19" s="1"/>
  <c r="HS12" i="19" a="1"/>
  <c r="HS12" i="19" s="1"/>
  <c r="HR17" i="19" a="1"/>
  <c r="HR17" i="19" s="1"/>
  <c r="KE19" i="19" a="1"/>
  <c r="KE19" i="19" s="1"/>
  <c r="KD12" i="19" a="1"/>
  <c r="KD12" i="19" s="1"/>
  <c r="KB17" i="19" a="1"/>
  <c r="KB17" i="19" s="1"/>
  <c r="KA18" i="19" a="1"/>
  <c r="KA18" i="19" s="1"/>
  <c r="JZ18" i="19" a="1"/>
  <c r="JZ18" i="19" s="1"/>
  <c r="JY19" i="19" a="1"/>
  <c r="JY19" i="19" s="1"/>
  <c r="JX19" i="19" a="1"/>
  <c r="JX19" i="19" s="1"/>
  <c r="JX12" i="19" a="1"/>
  <c r="JX12" i="19" s="1"/>
  <c r="JW12" i="19" a="1"/>
  <c r="JW12" i="19" s="1"/>
  <c r="JV13" i="19" a="1"/>
  <c r="JV13" i="19" s="1"/>
  <c r="JU17" i="19" a="1"/>
  <c r="JU17" i="19" s="1"/>
  <c r="JT19" i="19" a="1"/>
  <c r="JT19" i="19" s="1"/>
  <c r="JT13" i="19" a="1"/>
  <c r="JT13" i="19" s="1"/>
  <c r="JS18" i="19" a="1"/>
  <c r="JS18" i="19" s="1"/>
  <c r="JS12" i="19" a="1"/>
  <c r="JS12" i="19" s="1"/>
  <c r="JR17" i="19" a="1"/>
  <c r="JR17" i="19" s="1"/>
  <c r="JQ19" i="19" a="1"/>
  <c r="JQ19" i="19" s="1"/>
  <c r="JQ13" i="19" a="1"/>
  <c r="JQ13" i="19" s="1"/>
  <c r="JP18" i="19" a="1"/>
  <c r="JP18" i="19" s="1"/>
  <c r="JP12" i="19" a="1"/>
  <c r="JP12" i="19" s="1"/>
  <c r="JO17" i="19" a="1"/>
  <c r="JO17" i="19" s="1"/>
  <c r="JN19" i="19" a="1"/>
  <c r="JN19" i="19" s="1"/>
  <c r="JN13" i="19" a="1"/>
  <c r="JN13" i="19" s="1"/>
  <c r="JM18" i="19" a="1"/>
  <c r="JM18" i="19" s="1"/>
  <c r="JM12" i="19" a="1"/>
  <c r="JM12" i="19" s="1"/>
  <c r="JL17" i="19" a="1"/>
  <c r="JL17" i="19" s="1"/>
  <c r="JK19" i="19" a="1"/>
  <c r="JK19" i="19" s="1"/>
  <c r="JK13" i="19" a="1"/>
  <c r="JK13" i="19" s="1"/>
  <c r="JJ18" i="19" a="1"/>
  <c r="JJ18" i="19" s="1"/>
  <c r="JJ12" i="19" a="1"/>
  <c r="JJ12" i="19" s="1"/>
  <c r="JI17" i="19" a="1"/>
  <c r="JI17" i="19" s="1"/>
  <c r="JH19" i="19" a="1"/>
  <c r="JH19" i="19" s="1"/>
  <c r="JH13" i="19" a="1"/>
  <c r="JH13" i="19" s="1"/>
  <c r="JG18" i="19" a="1"/>
  <c r="JG18" i="19" s="1"/>
  <c r="JG12" i="19" a="1"/>
  <c r="JG12" i="19" s="1"/>
  <c r="JF17" i="19" a="1"/>
  <c r="JF17" i="19" s="1"/>
  <c r="JE19" i="19" a="1"/>
  <c r="JE19" i="19" s="1"/>
  <c r="JE13" i="19" a="1"/>
  <c r="JE13" i="19" s="1"/>
  <c r="JD18" i="19" a="1"/>
  <c r="JD18" i="19" s="1"/>
  <c r="JD12" i="19" a="1"/>
  <c r="JD12" i="19" s="1"/>
  <c r="JC17" i="19" a="1"/>
  <c r="JC17" i="19" s="1"/>
  <c r="JB19" i="19" a="1"/>
  <c r="JB19" i="19" s="1"/>
  <c r="JB13" i="19" a="1"/>
  <c r="JB13" i="19" s="1"/>
  <c r="JA18" i="19" a="1"/>
  <c r="JA18" i="19" s="1"/>
  <c r="JA12" i="19" a="1"/>
  <c r="JA12" i="19" s="1"/>
  <c r="IZ17" i="19" a="1"/>
  <c r="IZ17" i="19" s="1"/>
  <c r="IY19" i="19" a="1"/>
  <c r="IY19" i="19" s="1"/>
  <c r="IY13" i="19" a="1"/>
  <c r="IY13" i="19" s="1"/>
  <c r="IX18" i="19" a="1"/>
  <c r="IX18" i="19" s="1"/>
  <c r="IX12" i="19" a="1"/>
  <c r="IX12" i="19" s="1"/>
  <c r="IW17" i="19" a="1"/>
  <c r="IW17" i="19" s="1"/>
  <c r="IV19" i="19" a="1"/>
  <c r="IV19" i="19" s="1"/>
  <c r="IV13" i="19" a="1"/>
  <c r="IV13" i="19" s="1"/>
  <c r="IU18" i="19" a="1"/>
  <c r="IU18" i="19" s="1"/>
  <c r="IU12" i="19" a="1"/>
  <c r="IU12" i="19" s="1"/>
  <c r="IT17" i="19" a="1"/>
  <c r="IT17" i="19" s="1"/>
  <c r="IS19" i="19" a="1"/>
  <c r="IS19" i="19" s="1"/>
  <c r="IS13" i="19" a="1"/>
  <c r="IS13" i="19" s="1"/>
  <c r="IR18" i="19" a="1"/>
  <c r="IR18" i="19" s="1"/>
  <c r="IR12" i="19" a="1"/>
  <c r="IR12" i="19" s="1"/>
  <c r="IQ17" i="19" a="1"/>
  <c r="IQ17" i="19" s="1"/>
  <c r="IP19" i="19" a="1"/>
  <c r="IP19" i="19" s="1"/>
  <c r="IP13" i="19" a="1"/>
  <c r="IP13" i="19" s="1"/>
  <c r="IO18" i="19" a="1"/>
  <c r="IO18" i="19" s="1"/>
  <c r="IO12" i="19" a="1"/>
  <c r="IO12" i="19" s="1"/>
  <c r="IN17" i="19" a="1"/>
  <c r="IN17" i="19" s="1"/>
  <c r="IM19" i="19" a="1"/>
  <c r="IM19" i="19" s="1"/>
  <c r="IM13" i="19" a="1"/>
  <c r="IM13" i="19" s="1"/>
  <c r="IL18" i="19" a="1"/>
  <c r="IL18" i="19" s="1"/>
  <c r="IL12" i="19" a="1"/>
  <c r="IL12" i="19" s="1"/>
  <c r="IK17" i="19" a="1"/>
  <c r="IK17" i="19" s="1"/>
  <c r="IJ19" i="19" a="1"/>
  <c r="IJ19" i="19" s="1"/>
  <c r="IJ13" i="19" a="1"/>
  <c r="IJ13" i="19" s="1"/>
  <c r="II18" i="19" a="1"/>
  <c r="II18" i="19" s="1"/>
  <c r="II12" i="19" a="1"/>
  <c r="II12" i="19" s="1"/>
  <c r="IH17" i="19" a="1"/>
  <c r="IH17" i="19" s="1"/>
  <c r="IG19" i="19" a="1"/>
  <c r="IG19" i="19" s="1"/>
  <c r="IG13" i="19" a="1"/>
  <c r="IG13" i="19" s="1"/>
  <c r="IF18" i="19" a="1"/>
  <c r="IF18" i="19" s="1"/>
  <c r="IF12" i="19" a="1"/>
  <c r="IF12" i="19" s="1"/>
  <c r="IE17" i="19" a="1"/>
  <c r="IE17" i="19" s="1"/>
  <c r="ID19" i="19" a="1"/>
  <c r="ID19" i="19" s="1"/>
  <c r="ID13" i="19" a="1"/>
  <c r="ID13" i="19" s="1"/>
  <c r="IC18" i="19" a="1"/>
  <c r="IC18" i="19" s="1"/>
  <c r="IC12" i="19" a="1"/>
  <c r="IC12" i="19" s="1"/>
  <c r="IB17" i="19" a="1"/>
  <c r="IB17" i="19" s="1"/>
  <c r="IA19" i="19" a="1"/>
  <c r="IA19" i="19" s="1"/>
  <c r="IA13" i="19" a="1"/>
  <c r="IA13" i="19" s="1"/>
  <c r="HZ18" i="19" a="1"/>
  <c r="HZ18" i="19" s="1"/>
  <c r="HZ12" i="19" a="1"/>
  <c r="HZ12" i="19" s="1"/>
  <c r="HY17" i="19" a="1"/>
  <c r="HY17" i="19" s="1"/>
  <c r="HX19" i="19" a="1"/>
  <c r="HX19" i="19" s="1"/>
  <c r="HX13" i="19" a="1"/>
  <c r="HX13" i="19" s="1"/>
  <c r="KE13" i="19" a="1"/>
  <c r="KE13" i="19" s="1"/>
  <c r="KC17" i="19" a="1"/>
  <c r="KC17" i="19" s="1"/>
  <c r="KB13" i="19" a="1"/>
  <c r="KB13" i="19" s="1"/>
  <c r="KA13" i="19" a="1"/>
  <c r="KA13" i="19" s="1"/>
  <c r="JZ17" i="19" a="1"/>
  <c r="JZ17" i="19" s="1"/>
  <c r="JY17" i="19" a="1"/>
  <c r="JY17" i="19" s="1"/>
  <c r="JX18" i="19" a="1"/>
  <c r="JX18" i="19" s="1"/>
  <c r="JW18" i="19" a="1"/>
  <c r="JW18" i="19" s="1"/>
  <c r="JV19" i="19" a="1"/>
  <c r="JV19" i="19" s="1"/>
  <c r="JU19" i="19" a="1"/>
  <c r="JU19" i="19" s="1"/>
  <c r="JU13" i="19" a="1"/>
  <c r="JU13" i="19" s="1"/>
  <c r="JT18" i="19" a="1"/>
  <c r="JT18" i="19" s="1"/>
  <c r="JT12" i="19" a="1"/>
  <c r="JT12" i="19" s="1"/>
  <c r="JS17" i="19" a="1"/>
  <c r="JS17" i="19" s="1"/>
  <c r="JR19" i="19" a="1"/>
  <c r="JR19" i="19" s="1"/>
  <c r="JR13" i="19" a="1"/>
  <c r="JR13" i="19" s="1"/>
  <c r="JQ18" i="19" a="1"/>
  <c r="JQ18" i="19" s="1"/>
  <c r="JQ12" i="19" a="1"/>
  <c r="JQ12" i="19" s="1"/>
  <c r="JP17" i="19" a="1"/>
  <c r="JP17" i="19" s="1"/>
  <c r="JO19" i="19" a="1"/>
  <c r="JO19" i="19" s="1"/>
  <c r="JO13" i="19" a="1"/>
  <c r="JO13" i="19" s="1"/>
  <c r="JN18" i="19" a="1"/>
  <c r="JN18" i="19" s="1"/>
  <c r="JN12" i="19" a="1"/>
  <c r="JN12" i="19" s="1"/>
  <c r="JM17" i="19" a="1"/>
  <c r="JM17" i="19" s="1"/>
  <c r="JL19" i="19" a="1"/>
  <c r="JL19" i="19" s="1"/>
  <c r="JL13" i="19" a="1"/>
  <c r="JL13" i="19" s="1"/>
  <c r="JK18" i="19" a="1"/>
  <c r="JK18" i="19" s="1"/>
  <c r="JK12" i="19" a="1"/>
  <c r="JK12" i="19" s="1"/>
  <c r="JJ17" i="19" a="1"/>
  <c r="JJ17" i="19" s="1"/>
  <c r="JI19" i="19" a="1"/>
  <c r="JI19" i="19" s="1"/>
  <c r="JI13" i="19" a="1"/>
  <c r="JI13" i="19" s="1"/>
  <c r="JH18" i="19" a="1"/>
  <c r="JH18" i="19" s="1"/>
  <c r="JH12" i="19" a="1"/>
  <c r="JH12" i="19" s="1"/>
  <c r="JG17" i="19" a="1"/>
  <c r="JG17" i="19" s="1"/>
  <c r="JF19" i="19" a="1"/>
  <c r="JF19" i="19" s="1"/>
  <c r="JF13" i="19" a="1"/>
  <c r="JF13" i="19" s="1"/>
  <c r="JE18" i="19" a="1"/>
  <c r="JE18" i="19" s="1"/>
  <c r="JE12" i="19" a="1"/>
  <c r="JE12" i="19" s="1"/>
  <c r="JD17" i="19" a="1"/>
  <c r="JD17" i="19" s="1"/>
  <c r="JC19" i="19" a="1"/>
  <c r="JC19" i="19" s="1"/>
  <c r="JC13" i="19" a="1"/>
  <c r="JC13" i="19" s="1"/>
  <c r="JB18" i="19" a="1"/>
  <c r="JB18" i="19" s="1"/>
  <c r="JB12" i="19" a="1"/>
  <c r="JB12" i="19" s="1"/>
  <c r="JA17" i="19" a="1"/>
  <c r="JA17" i="19" s="1"/>
  <c r="IZ19" i="19" a="1"/>
  <c r="IZ19" i="19" s="1"/>
  <c r="IZ13" i="19" a="1"/>
  <c r="IZ13" i="19" s="1"/>
  <c r="IY18" i="19" a="1"/>
  <c r="IY18" i="19" s="1"/>
  <c r="IY12" i="19" a="1"/>
  <c r="IY12" i="19" s="1"/>
  <c r="IX17" i="19" a="1"/>
  <c r="IX17" i="19" s="1"/>
  <c r="IW19" i="19" a="1"/>
  <c r="IW19" i="19" s="1"/>
  <c r="IW13" i="19" a="1"/>
  <c r="IW13" i="19" s="1"/>
  <c r="IV18" i="19" a="1"/>
  <c r="IV18" i="19" s="1"/>
  <c r="IV12" i="19" a="1"/>
  <c r="IV12" i="19" s="1"/>
  <c r="IU17" i="19" a="1"/>
  <c r="IU17" i="19" s="1"/>
  <c r="IT19" i="19" a="1"/>
  <c r="IT19" i="19" s="1"/>
  <c r="IT13" i="19" a="1"/>
  <c r="IT13" i="19" s="1"/>
  <c r="IS18" i="19" a="1"/>
  <c r="IS18" i="19" s="1"/>
  <c r="IS12" i="19" a="1"/>
  <c r="IS12" i="19" s="1"/>
  <c r="IR17" i="19" a="1"/>
  <c r="IR17" i="19" s="1"/>
  <c r="IQ19" i="19" a="1"/>
  <c r="IQ19" i="19" s="1"/>
  <c r="IQ13" i="19" a="1"/>
  <c r="IQ13" i="19" s="1"/>
  <c r="IP18" i="19" a="1"/>
  <c r="IP18" i="19" s="1"/>
  <c r="IP12" i="19" a="1"/>
  <c r="IP12" i="19" s="1"/>
  <c r="IO17" i="19" a="1"/>
  <c r="IO17" i="19" s="1"/>
  <c r="IN19" i="19" a="1"/>
  <c r="IN19" i="19" s="1"/>
  <c r="IN13" i="19" a="1"/>
  <c r="IN13" i="19" s="1"/>
  <c r="IM18" i="19" a="1"/>
  <c r="IM18" i="19" s="1"/>
  <c r="IM12" i="19" a="1"/>
  <c r="IM12" i="19" s="1"/>
  <c r="IL17" i="19" a="1"/>
  <c r="IL17" i="19" s="1"/>
  <c r="IK19" i="19" a="1"/>
  <c r="IK19" i="19" s="1"/>
  <c r="IK13" i="19" a="1"/>
  <c r="IK13" i="19" s="1"/>
  <c r="IJ18" i="19" a="1"/>
  <c r="IJ18" i="19" s="1"/>
  <c r="IJ12" i="19" a="1"/>
  <c r="IJ12" i="19" s="1"/>
  <c r="II17" i="19" a="1"/>
  <c r="II17" i="19" s="1"/>
  <c r="IH19" i="19" a="1"/>
  <c r="IH19" i="19" s="1"/>
  <c r="IH13" i="19" a="1"/>
  <c r="IH13" i="19" s="1"/>
  <c r="IG18" i="19" a="1"/>
  <c r="IG18" i="19" s="1"/>
  <c r="IG12" i="19" a="1"/>
  <c r="IG12" i="19" s="1"/>
  <c r="IF17" i="19" a="1"/>
  <c r="IF17" i="19" s="1"/>
  <c r="IE19" i="19" a="1"/>
  <c r="IE19" i="19" s="1"/>
  <c r="IE13" i="19" a="1"/>
  <c r="IE13" i="19" s="1"/>
  <c r="ID18" i="19" a="1"/>
  <c r="ID18" i="19" s="1"/>
  <c r="ID12" i="19" a="1"/>
  <c r="ID12" i="19" s="1"/>
  <c r="IC17" i="19" a="1"/>
  <c r="IC17" i="19" s="1"/>
  <c r="IB19" i="19" a="1"/>
  <c r="IB19" i="19" s="1"/>
  <c r="IB13" i="19" a="1"/>
  <c r="IB13" i="19" s="1"/>
  <c r="HZ17" i="19" a="1"/>
  <c r="HZ17" i="19" s="1"/>
  <c r="HX18" i="19" a="1"/>
  <c r="HX18" i="19" s="1"/>
  <c r="HW17" i="19" a="1"/>
  <c r="HW17" i="19" s="1"/>
  <c r="HV17" i="19" a="1"/>
  <c r="HV17" i="19" s="1"/>
  <c r="HU18" i="19" a="1"/>
  <c r="HU18" i="19" s="1"/>
  <c r="HT18" i="19" a="1"/>
  <c r="HT18" i="19" s="1"/>
  <c r="HS19" i="19" a="1"/>
  <c r="HS19" i="19" s="1"/>
  <c r="HR19" i="19" a="1"/>
  <c r="HR19" i="19" s="1"/>
  <c r="IA18" i="19" a="1"/>
  <c r="IA18" i="19" s="1"/>
  <c r="HY19" i="19" a="1"/>
  <c r="HY19" i="19" s="1"/>
  <c r="HX12" i="19" a="1"/>
  <c r="HX12" i="19" s="1"/>
  <c r="HW12" i="19" a="1"/>
  <c r="HW12" i="19" s="1"/>
  <c r="HV13" i="19" a="1"/>
  <c r="HV13" i="19" s="1"/>
  <c r="HU13" i="19" a="1"/>
  <c r="HU13" i="19" s="1"/>
  <c r="HT17" i="19" a="1"/>
  <c r="HT17" i="19" s="1"/>
  <c r="HS17" i="19" a="1"/>
  <c r="HS17" i="19" s="1"/>
  <c r="HR18" i="19" a="1"/>
  <c r="HR18" i="19" s="1"/>
  <c r="IA12" i="19" a="1"/>
  <c r="IA12" i="19" s="1"/>
  <c r="HY13" i="19" a="1"/>
  <c r="HY13" i="19" s="1"/>
  <c r="HW18" i="19" a="1"/>
  <c r="HW18" i="19" s="1"/>
  <c r="HV19" i="19" a="1"/>
  <c r="HV19" i="19" s="1"/>
  <c r="HU19" i="19" a="1"/>
  <c r="HU19" i="19" s="1"/>
  <c r="HU12" i="19" a="1"/>
  <c r="HU12" i="19" s="1"/>
  <c r="HT12" i="19" a="1"/>
  <c r="HT12" i="19" s="1"/>
  <c r="HS13" i="19" a="1"/>
  <c r="HS13" i="19" s="1"/>
  <c r="HR13" i="19" a="1"/>
  <c r="HR13" i="19" s="1"/>
  <c r="HR12" i="19" a="1"/>
  <c r="HR12" i="19" s="1"/>
  <c r="HQ17" i="19" a="1"/>
  <c r="HQ17" i="19" s="1"/>
  <c r="HP19" i="19" a="1"/>
  <c r="HP19" i="19" s="1"/>
  <c r="HP13" i="19" a="1"/>
  <c r="HP13" i="19" s="1"/>
  <c r="HO18" i="19" a="1"/>
  <c r="HO18" i="19" s="1"/>
  <c r="HO12" i="19" a="1"/>
  <c r="HO12" i="19" s="1"/>
  <c r="HN17" i="19" a="1"/>
  <c r="HN17" i="19" s="1"/>
  <c r="HM19" i="19" a="1"/>
  <c r="HM19" i="19" s="1"/>
  <c r="HM13" i="19" a="1"/>
  <c r="HM13" i="19" s="1"/>
  <c r="HL18" i="19" a="1"/>
  <c r="HL18" i="19" s="1"/>
  <c r="HL12" i="19" a="1"/>
  <c r="HL12" i="19" s="1"/>
  <c r="HK17" i="19" a="1"/>
  <c r="HK17" i="19" s="1"/>
  <c r="HJ19" i="19" a="1"/>
  <c r="HJ19" i="19" s="1"/>
  <c r="HJ13" i="19" a="1"/>
  <c r="HJ13" i="19" s="1"/>
  <c r="HI18" i="19" a="1"/>
  <c r="HI18" i="19" s="1"/>
  <c r="HI12" i="19" a="1"/>
  <c r="HI12" i="19" s="1"/>
  <c r="HH17" i="19" a="1"/>
  <c r="HH17" i="19" s="1"/>
  <c r="HG19" i="19" a="1"/>
  <c r="HG19" i="19" s="1"/>
  <c r="HG13" i="19" a="1"/>
  <c r="HG13" i="19" s="1"/>
  <c r="HF18" i="19" a="1"/>
  <c r="HF18" i="19" s="1"/>
  <c r="HF12" i="19" a="1"/>
  <c r="HF12" i="19" s="1"/>
  <c r="HE17" i="19" a="1"/>
  <c r="HE17" i="19" s="1"/>
  <c r="HD19" i="19" a="1"/>
  <c r="HD19" i="19" s="1"/>
  <c r="HD13" i="19" a="1"/>
  <c r="HD13" i="19" s="1"/>
  <c r="HC18" i="19" a="1"/>
  <c r="HC18" i="19" s="1"/>
  <c r="HC12" i="19" a="1"/>
  <c r="HC12" i="19" s="1"/>
  <c r="HB17" i="19" a="1"/>
  <c r="HB17" i="19" s="1"/>
  <c r="HA19" i="19" a="1"/>
  <c r="HA19" i="19" s="1"/>
  <c r="HA13" i="19" a="1"/>
  <c r="HA13" i="19" s="1"/>
  <c r="GZ18" i="19" a="1"/>
  <c r="GZ18" i="19" s="1"/>
  <c r="GZ12" i="19" a="1"/>
  <c r="GZ12" i="19" s="1"/>
  <c r="GY17" i="19" a="1"/>
  <c r="GY17" i="19" s="1"/>
  <c r="GX19" i="19" a="1"/>
  <c r="GX19" i="19" s="1"/>
  <c r="GX13" i="19" a="1"/>
  <c r="GX13" i="19" s="1"/>
  <c r="GW18" i="19" a="1"/>
  <c r="GW18" i="19" s="1"/>
  <c r="GW12" i="19" a="1"/>
  <c r="GW12" i="19" s="1"/>
  <c r="GV17" i="19" a="1"/>
  <c r="GV17" i="19" s="1"/>
  <c r="GU19" i="19" a="1"/>
  <c r="GU19" i="19" s="1"/>
  <c r="GU13" i="19" a="1"/>
  <c r="GU13" i="19" s="1"/>
  <c r="GT18" i="19" a="1"/>
  <c r="GT18" i="19" s="1"/>
  <c r="GT12" i="19" a="1"/>
  <c r="GT12" i="19" s="1"/>
  <c r="GS17" i="19" a="1"/>
  <c r="GS17" i="19" s="1"/>
  <c r="GR19" i="19" a="1"/>
  <c r="GR19" i="19" s="1"/>
  <c r="GR13" i="19" a="1"/>
  <c r="GR13" i="19" s="1"/>
  <c r="GQ18" i="19" a="1"/>
  <c r="GQ18" i="19" s="1"/>
  <c r="GQ12" i="19" a="1"/>
  <c r="GQ12" i="19" s="1"/>
  <c r="GP17" i="19" a="1"/>
  <c r="GP17" i="19" s="1"/>
  <c r="GO19" i="19" a="1"/>
  <c r="GO19" i="19" s="1"/>
  <c r="GO13" i="19" a="1"/>
  <c r="GO13" i="19" s="1"/>
  <c r="GN18" i="19" a="1"/>
  <c r="GN18" i="19" s="1"/>
  <c r="GN12" i="19" a="1"/>
  <c r="GN12" i="19" s="1"/>
  <c r="GM17" i="19" a="1"/>
  <c r="GM17" i="19" s="1"/>
  <c r="GL19" i="19" a="1"/>
  <c r="GL19" i="19" s="1"/>
  <c r="GL13" i="19" a="1"/>
  <c r="GL13" i="19" s="1"/>
  <c r="GK18" i="19" a="1"/>
  <c r="GK18" i="19" s="1"/>
  <c r="GK12" i="19" a="1"/>
  <c r="GK12" i="19" s="1"/>
  <c r="GJ17" i="19" a="1"/>
  <c r="GJ17" i="19" s="1"/>
  <c r="GI19" i="19" a="1"/>
  <c r="GI19" i="19" s="1"/>
  <c r="GI13" i="19" a="1"/>
  <c r="GI13" i="19" s="1"/>
  <c r="GH18" i="19" a="1"/>
  <c r="GH18" i="19" s="1"/>
  <c r="GH12" i="19" a="1"/>
  <c r="GH12" i="19" s="1"/>
  <c r="GG17" i="19" a="1"/>
  <c r="GG17" i="19" s="1"/>
  <c r="GF19" i="19" a="1"/>
  <c r="GF19" i="19" s="1"/>
  <c r="GF13" i="19" a="1"/>
  <c r="GF13" i="19" s="1"/>
  <c r="GE18" i="19" a="1"/>
  <c r="GE18" i="19" s="1"/>
  <c r="GE12" i="19" a="1"/>
  <c r="GE12" i="19" s="1"/>
  <c r="GD17" i="19" a="1"/>
  <c r="GD17" i="19" s="1"/>
  <c r="GC19" i="19" a="1"/>
  <c r="GC19" i="19" s="1"/>
  <c r="GC13" i="19" a="1"/>
  <c r="GC13" i="19" s="1"/>
  <c r="GB18" i="19" a="1"/>
  <c r="GB18" i="19" s="1"/>
  <c r="GB12" i="19" a="1"/>
  <c r="GB12" i="19" s="1"/>
  <c r="GA17" i="19" a="1"/>
  <c r="GA17" i="19" s="1"/>
  <c r="FZ19" i="19" a="1"/>
  <c r="FZ19" i="19" s="1"/>
  <c r="FZ13" i="19" a="1"/>
  <c r="FZ13" i="19" s="1"/>
  <c r="FY18" i="19" a="1"/>
  <c r="FY18" i="19" s="1"/>
  <c r="FY12" i="19" a="1"/>
  <c r="FY12" i="19" s="1"/>
  <c r="FX17" i="19" a="1"/>
  <c r="FX17" i="19" s="1"/>
  <c r="FW19" i="19" a="1"/>
  <c r="FW19" i="19" s="1"/>
  <c r="FW13" i="19" a="1"/>
  <c r="FW13" i="19" s="1"/>
  <c r="FV18" i="19" a="1"/>
  <c r="FV18" i="19" s="1"/>
  <c r="FV12" i="19" a="1"/>
  <c r="FV12" i="19" s="1"/>
  <c r="FU17" i="19" a="1"/>
  <c r="FU17" i="19" s="1"/>
  <c r="FT19" i="19" a="1"/>
  <c r="FT19" i="19" s="1"/>
  <c r="FT13" i="19" a="1"/>
  <c r="FT13" i="19" s="1"/>
  <c r="FS18" i="19" a="1"/>
  <c r="FS18" i="19" s="1"/>
  <c r="FS12" i="19" a="1"/>
  <c r="FS12" i="19" s="1"/>
  <c r="FR17" i="19" a="1"/>
  <c r="FR17" i="19" s="1"/>
  <c r="FQ19" i="19" a="1"/>
  <c r="FQ19" i="19" s="1"/>
  <c r="FQ13" i="19" a="1"/>
  <c r="FQ13" i="19" s="1"/>
  <c r="FP18" i="19" a="1"/>
  <c r="FP18" i="19" s="1"/>
  <c r="FP12" i="19" a="1"/>
  <c r="FP12" i="19" s="1"/>
  <c r="FO17" i="19" a="1"/>
  <c r="FO17" i="19" s="1"/>
  <c r="FN19" i="19" a="1"/>
  <c r="FN19" i="19" s="1"/>
  <c r="FN13" i="19" a="1"/>
  <c r="FN13" i="19" s="1"/>
  <c r="FM18" i="19" a="1"/>
  <c r="FM18" i="19" s="1"/>
  <c r="FM12" i="19" a="1"/>
  <c r="FM12" i="19" s="1"/>
  <c r="FL17" i="19" a="1"/>
  <c r="FL17" i="19" s="1"/>
  <c r="FK19" i="19" a="1"/>
  <c r="FK19" i="19" s="1"/>
  <c r="FO19" i="19" a="1"/>
  <c r="FO19" i="19" s="1"/>
  <c r="FN18" i="19" a="1"/>
  <c r="FN18" i="19" s="1"/>
  <c r="FM17" i="19" a="1"/>
  <c r="FM17" i="19" s="1"/>
  <c r="FL13" i="19" a="1"/>
  <c r="FL13" i="19" s="1"/>
  <c r="FQ17" i="19" a="1"/>
  <c r="FQ17" i="19" s="1"/>
  <c r="FO18" i="19" a="1"/>
  <c r="FO18" i="19" s="1"/>
  <c r="FM19" i="19" a="1"/>
  <c r="FM19" i="19" s="1"/>
  <c r="FL12" i="19" a="1"/>
  <c r="FL12" i="19" s="1"/>
  <c r="HQ19" i="19" a="1"/>
  <c r="HQ19" i="19" s="1"/>
  <c r="HQ13" i="19" a="1"/>
  <c r="HQ13" i="19" s="1"/>
  <c r="HP18" i="19" a="1"/>
  <c r="HP18" i="19" s="1"/>
  <c r="HP12" i="19" a="1"/>
  <c r="HP12" i="19" s="1"/>
  <c r="HO17" i="19" a="1"/>
  <c r="HO17" i="19" s="1"/>
  <c r="HN19" i="19" a="1"/>
  <c r="HN19" i="19" s="1"/>
  <c r="HN13" i="19" a="1"/>
  <c r="HN13" i="19" s="1"/>
  <c r="HM18" i="19" a="1"/>
  <c r="HM18" i="19" s="1"/>
  <c r="HM12" i="19" a="1"/>
  <c r="HM12" i="19" s="1"/>
  <c r="HL17" i="19" a="1"/>
  <c r="HL17" i="19" s="1"/>
  <c r="HK19" i="19" a="1"/>
  <c r="HK19" i="19" s="1"/>
  <c r="HK13" i="19" a="1"/>
  <c r="HK13" i="19" s="1"/>
  <c r="HJ18" i="19" a="1"/>
  <c r="HJ18" i="19" s="1"/>
  <c r="HJ12" i="19" a="1"/>
  <c r="HJ12" i="19" s="1"/>
  <c r="HI17" i="19" a="1"/>
  <c r="HI17" i="19" s="1"/>
  <c r="HH19" i="19" a="1"/>
  <c r="HH19" i="19" s="1"/>
  <c r="HH13" i="19" a="1"/>
  <c r="HH13" i="19" s="1"/>
  <c r="HG18" i="19" a="1"/>
  <c r="HG18" i="19" s="1"/>
  <c r="HG12" i="19" a="1"/>
  <c r="HG12" i="19" s="1"/>
  <c r="HF17" i="19" a="1"/>
  <c r="HF17" i="19" s="1"/>
  <c r="HE19" i="19" a="1"/>
  <c r="HE19" i="19" s="1"/>
  <c r="HE13" i="19" a="1"/>
  <c r="HE13" i="19" s="1"/>
  <c r="HD18" i="19" a="1"/>
  <c r="HD18" i="19" s="1"/>
  <c r="HD12" i="19" a="1"/>
  <c r="HD12" i="19" s="1"/>
  <c r="HC17" i="19" a="1"/>
  <c r="HC17" i="19" s="1"/>
  <c r="HB19" i="19" a="1"/>
  <c r="HB19" i="19" s="1"/>
  <c r="HB13" i="19" a="1"/>
  <c r="HB13" i="19" s="1"/>
  <c r="HA18" i="19" a="1"/>
  <c r="HA18" i="19" s="1"/>
  <c r="HA12" i="19" a="1"/>
  <c r="HA12" i="19" s="1"/>
  <c r="GZ17" i="19" a="1"/>
  <c r="GZ17" i="19" s="1"/>
  <c r="GY19" i="19" a="1"/>
  <c r="GY19" i="19" s="1"/>
  <c r="GY13" i="19" a="1"/>
  <c r="GY13" i="19" s="1"/>
  <c r="GX18" i="19" a="1"/>
  <c r="GX18" i="19" s="1"/>
  <c r="GX12" i="19" a="1"/>
  <c r="GX12" i="19" s="1"/>
  <c r="GW17" i="19" a="1"/>
  <c r="GW17" i="19" s="1"/>
  <c r="GV19" i="19" a="1"/>
  <c r="GV19" i="19" s="1"/>
  <c r="GV13" i="19" a="1"/>
  <c r="GV13" i="19" s="1"/>
  <c r="GU18" i="19" a="1"/>
  <c r="GU18" i="19" s="1"/>
  <c r="GU12" i="19" a="1"/>
  <c r="GU12" i="19" s="1"/>
  <c r="GT17" i="19" a="1"/>
  <c r="GT17" i="19" s="1"/>
  <c r="GS19" i="19" a="1"/>
  <c r="GS19" i="19" s="1"/>
  <c r="GS13" i="19" a="1"/>
  <c r="GS13" i="19" s="1"/>
  <c r="GR18" i="19" a="1"/>
  <c r="GR18" i="19" s="1"/>
  <c r="GR12" i="19" a="1"/>
  <c r="GR12" i="19" s="1"/>
  <c r="GQ17" i="19" a="1"/>
  <c r="GQ17" i="19" s="1"/>
  <c r="GP19" i="19" a="1"/>
  <c r="GP19" i="19" s="1"/>
  <c r="GP13" i="19" a="1"/>
  <c r="GP13" i="19" s="1"/>
  <c r="GO18" i="19" a="1"/>
  <c r="GO18" i="19" s="1"/>
  <c r="GO12" i="19" a="1"/>
  <c r="GO12" i="19" s="1"/>
  <c r="GN17" i="19" a="1"/>
  <c r="GN17" i="19" s="1"/>
  <c r="GM19" i="19" a="1"/>
  <c r="GM19" i="19" s="1"/>
  <c r="GM13" i="19" a="1"/>
  <c r="GM13" i="19" s="1"/>
  <c r="GL18" i="19" a="1"/>
  <c r="GL18" i="19" s="1"/>
  <c r="GL12" i="19" a="1"/>
  <c r="GL12" i="19" s="1"/>
  <c r="GK17" i="19" a="1"/>
  <c r="GK17" i="19" s="1"/>
  <c r="GJ19" i="19" a="1"/>
  <c r="GJ19" i="19" s="1"/>
  <c r="GJ13" i="19" a="1"/>
  <c r="GJ13" i="19" s="1"/>
  <c r="GI18" i="19" a="1"/>
  <c r="GI18" i="19" s="1"/>
  <c r="GI12" i="19" a="1"/>
  <c r="GI12" i="19" s="1"/>
  <c r="GH17" i="19" a="1"/>
  <c r="GH17" i="19" s="1"/>
  <c r="GG19" i="19" a="1"/>
  <c r="GG19" i="19" s="1"/>
  <c r="GG13" i="19" a="1"/>
  <c r="GG13" i="19" s="1"/>
  <c r="GF18" i="19" a="1"/>
  <c r="GF18" i="19" s="1"/>
  <c r="GF12" i="19" a="1"/>
  <c r="GF12" i="19" s="1"/>
  <c r="GE17" i="19" a="1"/>
  <c r="GE17" i="19" s="1"/>
  <c r="GD19" i="19" a="1"/>
  <c r="GD19" i="19" s="1"/>
  <c r="GD13" i="19" a="1"/>
  <c r="GD13" i="19" s="1"/>
  <c r="GC18" i="19" a="1"/>
  <c r="GC18" i="19" s="1"/>
  <c r="GC12" i="19" a="1"/>
  <c r="GC12" i="19" s="1"/>
  <c r="GB17" i="19" a="1"/>
  <c r="GB17" i="19" s="1"/>
  <c r="GA19" i="19" a="1"/>
  <c r="GA19" i="19" s="1"/>
  <c r="GA13" i="19" a="1"/>
  <c r="GA13" i="19" s="1"/>
  <c r="FZ18" i="19" a="1"/>
  <c r="FZ18" i="19" s="1"/>
  <c r="FZ12" i="19" a="1"/>
  <c r="FZ12" i="19" s="1"/>
  <c r="FY17" i="19" a="1"/>
  <c r="FY17" i="19" s="1"/>
  <c r="FX19" i="19" a="1"/>
  <c r="FX19" i="19" s="1"/>
  <c r="FX13" i="19" a="1"/>
  <c r="FX13" i="19" s="1"/>
  <c r="FW18" i="19" a="1"/>
  <c r="FW18" i="19" s="1"/>
  <c r="FW12" i="19" a="1"/>
  <c r="FW12" i="19" s="1"/>
  <c r="FV17" i="19" a="1"/>
  <c r="FV17" i="19" s="1"/>
  <c r="FU19" i="19" a="1"/>
  <c r="FU19" i="19" s="1"/>
  <c r="FU13" i="19" a="1"/>
  <c r="FU13" i="19" s="1"/>
  <c r="FT18" i="19" a="1"/>
  <c r="FT18" i="19" s="1"/>
  <c r="FT12" i="19" a="1"/>
  <c r="FT12" i="19" s="1"/>
  <c r="FS17" i="19" a="1"/>
  <c r="FS17" i="19" s="1"/>
  <c r="FR19" i="19" a="1"/>
  <c r="FR19" i="19" s="1"/>
  <c r="FR13" i="19" a="1"/>
  <c r="FR13" i="19" s="1"/>
  <c r="FQ18" i="19" a="1"/>
  <c r="FQ18" i="19" s="1"/>
  <c r="FQ12" i="19" a="1"/>
  <c r="FQ12" i="19" s="1"/>
  <c r="FP17" i="19" a="1"/>
  <c r="FP17" i="19" s="1"/>
  <c r="FO13" i="19" a="1"/>
  <c r="FO13" i="19" s="1"/>
  <c r="FN12" i="19" a="1"/>
  <c r="FN12" i="19" s="1"/>
  <c r="FL19" i="19" a="1"/>
  <c r="FL19" i="19" s="1"/>
  <c r="FK18" i="19" a="1"/>
  <c r="FK18" i="19" s="1"/>
  <c r="FP19" i="19" a="1"/>
  <c r="FP19" i="19" s="1"/>
  <c r="FO12" i="19" a="1"/>
  <c r="FO12" i="19" s="1"/>
  <c r="FM13" i="19" a="1"/>
  <c r="FM13" i="19" s="1"/>
  <c r="FK17" i="19" a="1"/>
  <c r="FK17" i="19" s="1"/>
  <c r="HQ18" i="19" a="1"/>
  <c r="HQ18" i="19" s="1"/>
  <c r="HQ12" i="19" a="1"/>
  <c r="HQ12" i="19" s="1"/>
  <c r="HP17" i="19" a="1"/>
  <c r="HP17" i="19" s="1"/>
  <c r="HO19" i="19" a="1"/>
  <c r="HO19" i="19" s="1"/>
  <c r="HO13" i="19" a="1"/>
  <c r="HO13" i="19" s="1"/>
  <c r="HN18" i="19" a="1"/>
  <c r="HN18" i="19" s="1"/>
  <c r="HN12" i="19" a="1"/>
  <c r="HN12" i="19" s="1"/>
  <c r="HM17" i="19" a="1"/>
  <c r="HM17" i="19" s="1"/>
  <c r="HL19" i="19" a="1"/>
  <c r="HL19" i="19" s="1"/>
  <c r="HL13" i="19" a="1"/>
  <c r="HL13" i="19" s="1"/>
  <c r="HK18" i="19" a="1"/>
  <c r="HK18" i="19" s="1"/>
  <c r="HK12" i="19" a="1"/>
  <c r="HK12" i="19" s="1"/>
  <c r="HJ17" i="19" a="1"/>
  <c r="HJ17" i="19" s="1"/>
  <c r="HI19" i="19" a="1"/>
  <c r="HI19" i="19" s="1"/>
  <c r="HI13" i="19" a="1"/>
  <c r="HI13" i="19" s="1"/>
  <c r="HH18" i="19" a="1"/>
  <c r="HH18" i="19" s="1"/>
  <c r="HH12" i="19" a="1"/>
  <c r="HH12" i="19" s="1"/>
  <c r="HG17" i="19" a="1"/>
  <c r="HG17" i="19" s="1"/>
  <c r="HF19" i="19" a="1"/>
  <c r="HF19" i="19" s="1"/>
  <c r="HF13" i="19" a="1"/>
  <c r="HF13" i="19" s="1"/>
  <c r="HE18" i="19" a="1"/>
  <c r="HE18" i="19" s="1"/>
  <c r="HE12" i="19" a="1"/>
  <c r="HE12" i="19" s="1"/>
  <c r="HD17" i="19" a="1"/>
  <c r="HD17" i="19" s="1"/>
  <c r="HC19" i="19" a="1"/>
  <c r="HC19" i="19" s="1"/>
  <c r="HC13" i="19" a="1"/>
  <c r="HC13" i="19" s="1"/>
  <c r="HB18" i="19" a="1"/>
  <c r="HB18" i="19" s="1"/>
  <c r="HB12" i="19" a="1"/>
  <c r="HB12" i="19" s="1"/>
  <c r="HA17" i="19" a="1"/>
  <c r="HA17" i="19" s="1"/>
  <c r="GZ19" i="19" a="1"/>
  <c r="GZ19" i="19" s="1"/>
  <c r="GZ13" i="19" a="1"/>
  <c r="GZ13" i="19" s="1"/>
  <c r="GY18" i="19" a="1"/>
  <c r="GY18" i="19" s="1"/>
  <c r="GY12" i="19" a="1"/>
  <c r="GY12" i="19" s="1"/>
  <c r="GX17" i="19" a="1"/>
  <c r="GX17" i="19" s="1"/>
  <c r="GW19" i="19" a="1"/>
  <c r="GW19" i="19" s="1"/>
  <c r="GW13" i="19" a="1"/>
  <c r="GW13" i="19" s="1"/>
  <c r="GV18" i="19" a="1"/>
  <c r="GV18" i="19" s="1"/>
  <c r="GV12" i="19" a="1"/>
  <c r="GV12" i="19" s="1"/>
  <c r="GU17" i="19" a="1"/>
  <c r="GU17" i="19" s="1"/>
  <c r="GT19" i="19" a="1"/>
  <c r="GT19" i="19" s="1"/>
  <c r="GT13" i="19" a="1"/>
  <c r="GT13" i="19" s="1"/>
  <c r="GS18" i="19" a="1"/>
  <c r="GS18" i="19" s="1"/>
  <c r="GS12" i="19" a="1"/>
  <c r="GS12" i="19" s="1"/>
  <c r="GR17" i="19" a="1"/>
  <c r="GR17" i="19" s="1"/>
  <c r="GQ19" i="19" a="1"/>
  <c r="GQ19" i="19" s="1"/>
  <c r="GQ13" i="19" a="1"/>
  <c r="GQ13" i="19" s="1"/>
  <c r="GP18" i="19" a="1"/>
  <c r="GP18" i="19" s="1"/>
  <c r="GP12" i="19" a="1"/>
  <c r="GP12" i="19" s="1"/>
  <c r="GO17" i="19" a="1"/>
  <c r="GO17" i="19" s="1"/>
  <c r="GN19" i="19" a="1"/>
  <c r="GN19" i="19" s="1"/>
  <c r="GN13" i="19" a="1"/>
  <c r="GN13" i="19" s="1"/>
  <c r="GM18" i="19" a="1"/>
  <c r="GM18" i="19" s="1"/>
  <c r="GM12" i="19" a="1"/>
  <c r="GM12" i="19" s="1"/>
  <c r="GL17" i="19" a="1"/>
  <c r="GL17" i="19" s="1"/>
  <c r="GK19" i="19" a="1"/>
  <c r="GK19" i="19" s="1"/>
  <c r="GK13" i="19" a="1"/>
  <c r="GK13" i="19" s="1"/>
  <c r="GJ18" i="19" a="1"/>
  <c r="GJ18" i="19" s="1"/>
  <c r="GJ12" i="19" a="1"/>
  <c r="GJ12" i="19" s="1"/>
  <c r="GI17" i="19" a="1"/>
  <c r="GI17" i="19" s="1"/>
  <c r="GH19" i="19" a="1"/>
  <c r="GH19" i="19" s="1"/>
  <c r="GH13" i="19" a="1"/>
  <c r="GH13" i="19" s="1"/>
  <c r="GG18" i="19" a="1"/>
  <c r="GG18" i="19" s="1"/>
  <c r="GG12" i="19" a="1"/>
  <c r="GG12" i="19" s="1"/>
  <c r="GF17" i="19" a="1"/>
  <c r="GF17" i="19" s="1"/>
  <c r="GE19" i="19" a="1"/>
  <c r="GE19" i="19" s="1"/>
  <c r="GE13" i="19" a="1"/>
  <c r="GE13" i="19" s="1"/>
  <c r="GD18" i="19" a="1"/>
  <c r="GD18" i="19" s="1"/>
  <c r="GD12" i="19" a="1"/>
  <c r="GD12" i="19" s="1"/>
  <c r="GC17" i="19" a="1"/>
  <c r="GC17" i="19" s="1"/>
  <c r="GB19" i="19" a="1"/>
  <c r="GB19" i="19" s="1"/>
  <c r="GB13" i="19" a="1"/>
  <c r="GB13" i="19" s="1"/>
  <c r="GA18" i="19" a="1"/>
  <c r="GA18" i="19" s="1"/>
  <c r="GA12" i="19" a="1"/>
  <c r="GA12" i="19" s="1"/>
  <c r="FZ17" i="19" a="1"/>
  <c r="FZ17" i="19" s="1"/>
  <c r="FY19" i="19" a="1"/>
  <c r="FY19" i="19" s="1"/>
  <c r="FY13" i="19" a="1"/>
  <c r="FY13" i="19" s="1"/>
  <c r="FX18" i="19" a="1"/>
  <c r="FX18" i="19" s="1"/>
  <c r="FX12" i="19" a="1"/>
  <c r="FX12" i="19" s="1"/>
  <c r="FW17" i="19" a="1"/>
  <c r="FW17" i="19" s="1"/>
  <c r="FV19" i="19" a="1"/>
  <c r="FV19" i="19" s="1"/>
  <c r="FV13" i="19" a="1"/>
  <c r="FV13" i="19" s="1"/>
  <c r="FU18" i="19" a="1"/>
  <c r="FU18" i="19" s="1"/>
  <c r="FU12" i="19" a="1"/>
  <c r="FU12" i="19" s="1"/>
  <c r="FT17" i="19" a="1"/>
  <c r="FT17" i="19" s="1"/>
  <c r="FS19" i="19" a="1"/>
  <c r="FS19" i="19" s="1"/>
  <c r="FS13" i="19" a="1"/>
  <c r="FS13" i="19" s="1"/>
  <c r="FR18" i="19" a="1"/>
  <c r="FR18" i="19" s="1"/>
  <c r="FR12" i="19" a="1"/>
  <c r="FR12" i="19" s="1"/>
  <c r="FP13" i="19" a="1"/>
  <c r="FP13" i="19" s="1"/>
  <c r="FN17" i="19" a="1"/>
  <c r="FN17" i="19" s="1"/>
  <c r="FL18" i="19" a="1"/>
  <c r="FL18" i="19" s="1"/>
  <c r="KM17" i="3" a="1"/>
  <c r="KM17" i="3" s="1"/>
  <c r="D16" i="3" a="1"/>
  <c r="D16" i="3" s="1"/>
  <c r="T11" i="10"/>
  <c r="AB11" i="10"/>
  <c r="AA11" i="10"/>
  <c r="S11" i="10"/>
  <c r="KJ13" i="3" a="1"/>
  <c r="KJ13" i="3" s="1"/>
  <c r="KP16" i="3" a="1"/>
  <c r="KP16" i="3" s="1"/>
  <c r="KN13" i="3" a="1"/>
  <c r="KN13" i="3" s="1"/>
  <c r="W11" i="10"/>
  <c r="KN12" i="3" a="1"/>
  <c r="KN12" i="3" s="1"/>
  <c r="X11" i="10"/>
  <c r="KM12" i="3" a="1"/>
  <c r="KM12" i="3" s="1"/>
  <c r="AC11" i="10"/>
  <c r="Z11" i="10"/>
  <c r="C25" i="10"/>
  <c r="N11" i="10"/>
  <c r="C306" i="14"/>
  <c r="D17" i="3" a="1"/>
  <c r="D17" i="3" s="1"/>
  <c r="E18" i="3" a="1"/>
  <c r="E18" i="3" s="1"/>
  <c r="D13" i="3" a="1"/>
  <c r="D13" i="3" s="1"/>
  <c r="E17" i="3" a="1"/>
  <c r="E17" i="3" s="1"/>
  <c r="E13" i="3" a="1"/>
  <c r="E13" i="3" s="1"/>
  <c r="E16" i="3" a="1"/>
  <c r="E16" i="3" s="1"/>
  <c r="F17" i="3" a="1"/>
  <c r="F17" i="3" s="1"/>
  <c r="G17" i="3" a="1"/>
  <c r="G17" i="3" s="1"/>
  <c r="F16" i="3" a="1"/>
  <c r="F16" i="3" s="1"/>
  <c r="F13" i="3" a="1"/>
  <c r="F13" i="3" s="1"/>
  <c r="H13" i="3" a="1"/>
  <c r="H13" i="3" s="1"/>
  <c r="F18" i="3" a="1"/>
  <c r="F18" i="3" s="1"/>
  <c r="J17" i="3" a="1"/>
  <c r="J17" i="3" s="1"/>
  <c r="G13" i="3" a="1"/>
  <c r="G13" i="3" s="1"/>
  <c r="I17" i="3" a="1"/>
  <c r="I17" i="3" s="1"/>
  <c r="H16" i="3" a="1"/>
  <c r="H16" i="3" s="1"/>
  <c r="G16" i="3" a="1"/>
  <c r="G16" i="3" s="1"/>
  <c r="H18" i="3" a="1"/>
  <c r="H18" i="3" s="1"/>
  <c r="I13" i="3" a="1"/>
  <c r="I13" i="3" s="1"/>
  <c r="J13" i="3" a="1"/>
  <c r="J13" i="3" s="1"/>
  <c r="H17" i="3" a="1"/>
  <c r="H17" i="3" s="1"/>
  <c r="I18" i="3" a="1"/>
  <c r="I18" i="3" s="1"/>
  <c r="G18" i="3" a="1"/>
  <c r="G18" i="3" s="1"/>
  <c r="J18" i="3" a="1"/>
  <c r="J18" i="3" s="1"/>
  <c r="K18" i="3" a="1"/>
  <c r="K18" i="3" s="1"/>
  <c r="I16" i="3" a="1"/>
  <c r="I16" i="3" s="1"/>
  <c r="J16" i="3" a="1"/>
  <c r="J16" i="3" s="1"/>
  <c r="M13" i="3" a="1"/>
  <c r="M13" i="3" s="1"/>
  <c r="K16" i="3" a="1"/>
  <c r="K16" i="3" s="1"/>
  <c r="K13" i="3" a="1"/>
  <c r="K13" i="3" s="1"/>
  <c r="K17" i="3" a="1"/>
  <c r="K17" i="3" s="1"/>
  <c r="M16" i="3" a="1"/>
  <c r="M16" i="3" s="1"/>
  <c r="N16" i="3" a="1"/>
  <c r="N16" i="3" s="1"/>
  <c r="L16" i="3" a="1"/>
  <c r="L16" i="3" s="1"/>
  <c r="M17" i="3" a="1"/>
  <c r="M17" i="3" s="1"/>
  <c r="L13" i="3" a="1"/>
  <c r="L13" i="3" s="1"/>
  <c r="O17" i="3" a="1"/>
  <c r="O17" i="3" s="1"/>
  <c r="L17" i="3" a="1"/>
  <c r="L17" i="3" s="1"/>
  <c r="L18" i="3" a="1"/>
  <c r="L18" i="3" s="1"/>
  <c r="M18" i="3" a="1"/>
  <c r="M18" i="3" s="1"/>
  <c r="N18" i="3" a="1"/>
  <c r="N18" i="3" s="1"/>
  <c r="N17" i="3" a="1"/>
  <c r="N17" i="3" s="1"/>
  <c r="O16" i="3" a="1"/>
  <c r="O16" i="3" s="1"/>
  <c r="O18" i="3" a="1"/>
  <c r="O18" i="3" s="1"/>
  <c r="P18" i="3" a="1"/>
  <c r="P18" i="3" s="1"/>
  <c r="P17" i="3" a="1"/>
  <c r="P17" i="3" s="1"/>
  <c r="Q18" i="3" a="1"/>
  <c r="Q18" i="3" s="1"/>
  <c r="P16" i="3" a="1"/>
  <c r="P16" i="3" s="1"/>
  <c r="Q16" i="3" a="1"/>
  <c r="Q16" i="3" s="1"/>
  <c r="R16" i="3" a="1"/>
  <c r="R16" i="3" s="1"/>
  <c r="R18" i="3" a="1"/>
  <c r="R18" i="3" s="1"/>
  <c r="S18" i="3" a="1"/>
  <c r="S18" i="3" s="1"/>
  <c r="R13" i="3" a="1"/>
  <c r="R13" i="3" s="1"/>
  <c r="Q17" i="3" a="1"/>
  <c r="Q17" i="3" s="1"/>
  <c r="P13" i="3" a="1"/>
  <c r="P13" i="3" s="1"/>
  <c r="Q13" i="3" a="1"/>
  <c r="Q13" i="3" s="1"/>
  <c r="R17" i="3" a="1"/>
  <c r="R17" i="3" s="1"/>
  <c r="T13" i="3" a="1"/>
  <c r="T13" i="3" s="1"/>
  <c r="S16" i="3" a="1"/>
  <c r="S16" i="3" s="1"/>
  <c r="T16" i="3" a="1"/>
  <c r="T16" i="3" s="1"/>
  <c r="T18" i="3" a="1"/>
  <c r="T18" i="3" s="1"/>
  <c r="V18" i="3" a="1"/>
  <c r="V18" i="3" s="1"/>
  <c r="T17" i="3" a="1"/>
  <c r="T17" i="3" s="1"/>
  <c r="U17" i="3" a="1"/>
  <c r="U17" i="3" s="1"/>
  <c r="V17" i="3" a="1"/>
  <c r="V17" i="3" s="1"/>
  <c r="S17" i="3" a="1"/>
  <c r="S17" i="3" s="1"/>
  <c r="W17" i="3" a="1"/>
  <c r="W17" i="3" s="1"/>
  <c r="V13" i="3" a="1"/>
  <c r="V13" i="3" s="1"/>
  <c r="U18" i="3" a="1"/>
  <c r="U18" i="3" s="1"/>
  <c r="W18" i="3" a="1"/>
  <c r="W18" i="3" s="1"/>
  <c r="U16" i="3" a="1"/>
  <c r="U16" i="3" s="1"/>
  <c r="V16" i="3" a="1"/>
  <c r="V16" i="3" s="1"/>
  <c r="U13" i="3" a="1"/>
  <c r="U13" i="3" s="1"/>
  <c r="X16" i="3" a="1"/>
  <c r="X16" i="3" s="1"/>
  <c r="W13" i="3" a="1"/>
  <c r="W13" i="3" s="1"/>
  <c r="W16" i="3" a="1"/>
  <c r="W16" i="3" s="1"/>
  <c r="Z18" i="3" a="1"/>
  <c r="Z18" i="3" s="1"/>
  <c r="Z16" i="3" a="1"/>
  <c r="Z16" i="3" s="1"/>
  <c r="X18" i="3" a="1"/>
  <c r="X18" i="3" s="1"/>
  <c r="Y18" i="3" a="1"/>
  <c r="Y18" i="3" s="1"/>
  <c r="Z17" i="3" a="1"/>
  <c r="Z17" i="3" s="1"/>
  <c r="Y17" i="3" a="1"/>
  <c r="Y17" i="3" s="1"/>
  <c r="Y16" i="3" a="1"/>
  <c r="Y16" i="3" s="1"/>
  <c r="X17" i="3" a="1"/>
  <c r="X17" i="3" s="1"/>
  <c r="AA18" i="3" a="1"/>
  <c r="AA18" i="3" s="1"/>
  <c r="AA16" i="3" a="1"/>
  <c r="AA16" i="3" s="1"/>
  <c r="X13" i="3" a="1"/>
  <c r="X13" i="3" s="1"/>
  <c r="AA17" i="3" a="1"/>
  <c r="AA17" i="3" s="1"/>
  <c r="AB16" i="3" a="1"/>
  <c r="AB16" i="3" s="1"/>
  <c r="AB17" i="3" a="1"/>
  <c r="AB17" i="3" s="1"/>
  <c r="AD17" i="3" a="1"/>
  <c r="AD17" i="3" s="1"/>
  <c r="AD18" i="3" a="1"/>
  <c r="AD18" i="3" s="1"/>
  <c r="AC16" i="3" a="1"/>
  <c r="AC16" i="3" s="1"/>
  <c r="AC17" i="3" a="1"/>
  <c r="AC17" i="3" s="1"/>
  <c r="AD13" i="3" a="1"/>
  <c r="AD13" i="3" s="1"/>
  <c r="AC18" i="3" a="1"/>
  <c r="AC18" i="3" s="1"/>
  <c r="AB13" i="3" a="1"/>
  <c r="AB13" i="3" s="1"/>
  <c r="AC13" i="3" a="1"/>
  <c r="AC13" i="3" s="1"/>
  <c r="AB18" i="3" a="1"/>
  <c r="AB18" i="3" s="1"/>
  <c r="AE16" i="3" a="1"/>
  <c r="AE16" i="3" s="1"/>
  <c r="AD16" i="3" a="1"/>
  <c r="AD16" i="3" s="1"/>
  <c r="AG16" i="3" a="1"/>
  <c r="AG16" i="3" s="1"/>
  <c r="AJ13" i="3" a="1"/>
  <c r="AJ13" i="3" s="1"/>
  <c r="AF18" i="3" a="1"/>
  <c r="AF18" i="3" s="1"/>
  <c r="AE18" i="3" a="1"/>
  <c r="AE18" i="3" s="1"/>
  <c r="AG17" i="3" a="1"/>
  <c r="AG17" i="3" s="1"/>
  <c r="AF17" i="3" a="1"/>
  <c r="AF17" i="3" s="1"/>
  <c r="AF13" i="3" a="1"/>
  <c r="AF13" i="3" s="1"/>
  <c r="AE17" i="3" a="1"/>
  <c r="AE17" i="3" s="1"/>
  <c r="AG18" i="3" a="1"/>
  <c r="AG18" i="3" s="1"/>
  <c r="AF16" i="3" a="1"/>
  <c r="AF16" i="3" s="1"/>
  <c r="AI16" i="3" a="1"/>
  <c r="AI16" i="3" s="1"/>
  <c r="AI13" i="3" a="1"/>
  <c r="AI13" i="3" s="1"/>
  <c r="AI18" i="3" a="1"/>
  <c r="AI18" i="3" s="1"/>
  <c r="AH18" i="3" a="1"/>
  <c r="AH18" i="3" s="1"/>
  <c r="AH16" i="3" a="1"/>
  <c r="AH16" i="3" s="1"/>
  <c r="AH13" i="3" a="1"/>
  <c r="AH13" i="3" s="1"/>
  <c r="AJ18" i="3" a="1"/>
  <c r="AJ18" i="3" s="1"/>
  <c r="AJ16" i="3" a="1"/>
  <c r="AJ16" i="3" s="1"/>
  <c r="AH17" i="3" a="1"/>
  <c r="AH17" i="3" s="1"/>
  <c r="AG13" i="3" a="1"/>
  <c r="AG13" i="3" s="1"/>
  <c r="AI17" i="3" a="1"/>
  <c r="AI17" i="3" s="1"/>
  <c r="AL13" i="3" a="1"/>
  <c r="AL13" i="3" s="1"/>
  <c r="AK16" i="3" a="1"/>
  <c r="AK16" i="3" s="1"/>
  <c r="AL16" i="3" a="1"/>
  <c r="AL16" i="3" s="1"/>
  <c r="AJ17" i="3" a="1"/>
  <c r="AJ17" i="3" s="1"/>
  <c r="AL17" i="3" a="1"/>
  <c r="AL17" i="3" s="1"/>
  <c r="AK17" i="3" a="1"/>
  <c r="AK17" i="3" s="1"/>
  <c r="AL18" i="3" a="1"/>
  <c r="AL18" i="3" s="1"/>
  <c r="AK18" i="3" a="1"/>
  <c r="AK18" i="3" s="1"/>
  <c r="AN16" i="3" a="1"/>
  <c r="AN16" i="3" s="1"/>
  <c r="AN13" i="3" a="1"/>
  <c r="AN13" i="3" s="1"/>
  <c r="AM17" i="3" a="1"/>
  <c r="AM17" i="3" s="1"/>
  <c r="AM18" i="3" a="1"/>
  <c r="AM18" i="3" s="1"/>
  <c r="AM16" i="3" a="1"/>
  <c r="AM16" i="3" s="1"/>
  <c r="AN17" i="3" a="1"/>
  <c r="AN17" i="3" s="1"/>
  <c r="AO18" i="3" a="1"/>
  <c r="AO18" i="3" s="1"/>
  <c r="AO16" i="3" a="1"/>
  <c r="AO16" i="3" s="1"/>
  <c r="AP18" i="3" a="1"/>
  <c r="AP18" i="3" s="1"/>
  <c r="AN18" i="3" a="1"/>
  <c r="AN18" i="3" s="1"/>
  <c r="AO13" i="3" a="1"/>
  <c r="AO13" i="3" s="1"/>
  <c r="AP17" i="3" a="1"/>
  <c r="AP17" i="3" s="1"/>
  <c r="AO17" i="3" a="1"/>
  <c r="AO17" i="3" s="1"/>
  <c r="AQ16" i="3" a="1"/>
  <c r="AQ16" i="3" s="1"/>
  <c r="AP16" i="3" a="1"/>
  <c r="AP16" i="3" s="1"/>
  <c r="AR17" i="3" a="1"/>
  <c r="AR17" i="3" s="1"/>
  <c r="AT13" i="3" a="1"/>
  <c r="AT13" i="3" s="1"/>
  <c r="AR16" i="3" a="1"/>
  <c r="AR16" i="3" s="1"/>
  <c r="AQ18" i="3" a="1"/>
  <c r="AQ18" i="3" s="1"/>
  <c r="AS18" i="3" a="1"/>
  <c r="AS18" i="3" s="1"/>
  <c r="AV13" i="3" a="1"/>
  <c r="AV13" i="3" s="1"/>
  <c r="AQ17" i="3" a="1"/>
  <c r="AQ17" i="3" s="1"/>
  <c r="AS13" i="3" a="1"/>
  <c r="AS13" i="3" s="1"/>
  <c r="AR18" i="3" a="1"/>
  <c r="AR18" i="3" s="1"/>
  <c r="AS17" i="3" a="1"/>
  <c r="AS17" i="3" s="1"/>
  <c r="AS16" i="3" a="1"/>
  <c r="AS16" i="3" s="1"/>
  <c r="AU13" i="3" a="1"/>
  <c r="AU13" i="3" s="1"/>
  <c r="AR13" i="3" a="1"/>
  <c r="AR13" i="3" s="1"/>
  <c r="AT18" i="3" a="1"/>
  <c r="AT18" i="3" s="1"/>
  <c r="AT16" i="3" a="1"/>
  <c r="AT16" i="3" s="1"/>
  <c r="AT17" i="3" a="1"/>
  <c r="AT17" i="3" s="1"/>
  <c r="AU16" i="3" a="1"/>
  <c r="AU16" i="3" s="1"/>
  <c r="AU17" i="3" a="1"/>
  <c r="AU17" i="3" s="1"/>
  <c r="AU18" i="3" a="1"/>
  <c r="AU18" i="3" s="1"/>
  <c r="AV16" i="3" a="1"/>
  <c r="AV16" i="3" s="1"/>
  <c r="AV17" i="3" a="1"/>
  <c r="AV17" i="3" s="1"/>
  <c r="AY17" i="3" a="1"/>
  <c r="AY17" i="3" s="1"/>
  <c r="AX16" i="3" a="1"/>
  <c r="AX16" i="3" s="1"/>
  <c r="AZ17" i="3" a="1"/>
  <c r="AZ17" i="3" s="1"/>
  <c r="AW18" i="3" a="1"/>
  <c r="AW18" i="3" s="1"/>
  <c r="AW16" i="3" a="1"/>
  <c r="AW16" i="3" s="1"/>
  <c r="AV18" i="3" a="1"/>
  <c r="AV18" i="3" s="1"/>
  <c r="AY18" i="3" a="1"/>
  <c r="AY18" i="3" s="1"/>
  <c r="AW17" i="3" a="1"/>
  <c r="AW17" i="3" s="1"/>
  <c r="AX18" i="3" a="1"/>
  <c r="AX18" i="3" s="1"/>
  <c r="AZ18" i="3" a="1"/>
  <c r="AZ18" i="3" s="1"/>
  <c r="AX17" i="3" a="1"/>
  <c r="AX17" i="3" s="1"/>
  <c r="AX13" i="3" a="1"/>
  <c r="AX13" i="3" s="1"/>
  <c r="AY16" i="3" a="1"/>
  <c r="AY16" i="3" s="1"/>
  <c r="AZ16" i="3" a="1"/>
  <c r="AZ16" i="3" s="1"/>
  <c r="BB17" i="3" a="1"/>
  <c r="BB17" i="3" s="1"/>
  <c r="BB18" i="3" a="1"/>
  <c r="BB18" i="3" s="1"/>
  <c r="BA17" i="3" a="1"/>
  <c r="BA17" i="3" s="1"/>
  <c r="BA16" i="3" a="1"/>
  <c r="BA16" i="3" s="1"/>
  <c r="BB13" i="3" a="1"/>
  <c r="BB13" i="3" s="1"/>
  <c r="AZ13" i="3" a="1"/>
  <c r="AZ13" i="3" s="1"/>
  <c r="BB16" i="3" a="1"/>
  <c r="BB16" i="3" s="1"/>
  <c r="BC18" i="3" a="1"/>
  <c r="BC18" i="3" s="1"/>
  <c r="BD16" i="3" a="1"/>
  <c r="BD16" i="3" s="1"/>
  <c r="BA13" i="3" a="1"/>
  <c r="BA13" i="3" s="1"/>
  <c r="BC16" i="3" a="1"/>
  <c r="BC16" i="3" s="1"/>
  <c r="BA18" i="3" a="1"/>
  <c r="BA18" i="3" s="1"/>
  <c r="BE17" i="3" a="1"/>
  <c r="BE17" i="3" s="1"/>
  <c r="BD13" i="3" a="1"/>
  <c r="BD13" i="3" s="1"/>
  <c r="BD17" i="3" a="1"/>
  <c r="BD17" i="3" s="1"/>
  <c r="BF16" i="3" a="1"/>
  <c r="BF16" i="3" s="1"/>
  <c r="BC17" i="3" a="1"/>
  <c r="BC17" i="3" s="1"/>
  <c r="BH13" i="3" a="1"/>
  <c r="BH13" i="3" s="1"/>
  <c r="BG13" i="3" a="1"/>
  <c r="BG13" i="3" s="1"/>
  <c r="BE13" i="3" a="1"/>
  <c r="BE13" i="3" s="1"/>
  <c r="BF17" i="3" a="1"/>
  <c r="BF17" i="3" s="1"/>
  <c r="BE18" i="3" a="1"/>
  <c r="BE18" i="3" s="1"/>
  <c r="BD18" i="3" a="1"/>
  <c r="BD18" i="3" s="1"/>
  <c r="BE16" i="3" a="1"/>
  <c r="BE16" i="3" s="1"/>
  <c r="BJ13" i="3" a="1"/>
  <c r="BJ13" i="3" s="1"/>
  <c r="BG18" i="3" a="1"/>
  <c r="BG18" i="3" s="1"/>
  <c r="BF18" i="3" a="1"/>
  <c r="BF18" i="3" s="1"/>
  <c r="BG17" i="3" a="1"/>
  <c r="BG17" i="3" s="1"/>
  <c r="BG16" i="3" a="1"/>
  <c r="BG16" i="3" s="1"/>
  <c r="BF13" i="3" a="1"/>
  <c r="BF13" i="3" s="1"/>
  <c r="BH17" i="3" a="1"/>
  <c r="BH17" i="3" s="1"/>
  <c r="BH18" i="3" a="1"/>
  <c r="BH18" i="3" s="1"/>
  <c r="BI16" i="3" a="1"/>
  <c r="BI16" i="3" s="1"/>
  <c r="BH16" i="3" a="1"/>
  <c r="BH16" i="3" s="1"/>
  <c r="BI17" i="3" a="1"/>
  <c r="BI17" i="3" s="1"/>
  <c r="BI18" i="3" a="1"/>
  <c r="BI18" i="3" s="1"/>
  <c r="BJ18" i="3" a="1"/>
  <c r="BJ18" i="3" s="1"/>
  <c r="BL13" i="3" a="1"/>
  <c r="BL13" i="3" s="1"/>
  <c r="BJ16" i="3" a="1"/>
  <c r="BJ16" i="3" s="1"/>
  <c r="BJ17" i="3" a="1"/>
  <c r="BJ17" i="3" s="1"/>
  <c r="BL16" i="3" a="1"/>
  <c r="BL16" i="3" s="1"/>
  <c r="BO17" i="3" a="1"/>
  <c r="BO17" i="3" s="1"/>
  <c r="BL17" i="3" a="1"/>
  <c r="BL17" i="3" s="1"/>
  <c r="BL18" i="3" a="1"/>
  <c r="BL18" i="3" s="1"/>
  <c r="BK16" i="3" a="1"/>
  <c r="BK16" i="3" s="1"/>
  <c r="BK18" i="3" a="1"/>
  <c r="BK18" i="3" s="1"/>
  <c r="BM16" i="3" a="1"/>
  <c r="BM16" i="3" s="1"/>
  <c r="BM18" i="3" a="1"/>
  <c r="BM18" i="3" s="1"/>
  <c r="BK17" i="3" a="1"/>
  <c r="BK17" i="3" s="1"/>
  <c r="BN17" i="3" a="1"/>
  <c r="BN17" i="3" s="1"/>
  <c r="BM17" i="3" a="1"/>
  <c r="BM17" i="3" s="1"/>
  <c r="BO13" i="3" a="1"/>
  <c r="BO13" i="3" s="1"/>
  <c r="BM13" i="3" a="1"/>
  <c r="BM13" i="3" s="1"/>
  <c r="BN18" i="3" a="1"/>
  <c r="BN18" i="3" s="1"/>
  <c r="BO18" i="3" a="1"/>
  <c r="BO18" i="3" s="1"/>
  <c r="BP13" i="3" a="1"/>
  <c r="BP13" i="3" s="1"/>
  <c r="BP17" i="3" a="1"/>
  <c r="BP17" i="3" s="1"/>
  <c r="BQ13" i="3" a="1"/>
  <c r="BQ13" i="3" s="1"/>
  <c r="BO16" i="3" a="1"/>
  <c r="BO16" i="3" s="1"/>
  <c r="BN16" i="3" a="1"/>
  <c r="BN16" i="3" s="1"/>
  <c r="BP16" i="3" a="1"/>
  <c r="BP16" i="3" s="1"/>
  <c r="BR18" i="3" a="1"/>
  <c r="BR18" i="3" s="1"/>
  <c r="BR13" i="3" a="1"/>
  <c r="BR13" i="3" s="1"/>
  <c r="BQ18" i="3" a="1"/>
  <c r="BQ18" i="3" s="1"/>
  <c r="BQ17" i="3" a="1"/>
  <c r="BQ17" i="3" s="1"/>
  <c r="BP18" i="3" a="1"/>
  <c r="BP18" i="3" s="1"/>
  <c r="BQ16" i="3" a="1"/>
  <c r="BQ16" i="3" s="1"/>
  <c r="BS17" i="3" a="1"/>
  <c r="BS17" i="3" s="1"/>
  <c r="BS13" i="3" a="1"/>
  <c r="BS13" i="3" s="1"/>
  <c r="BR17" i="3" a="1"/>
  <c r="BR17" i="3" s="1"/>
  <c r="BR16" i="3" a="1"/>
  <c r="BR16" i="3" s="1"/>
  <c r="BS16" i="3" a="1"/>
  <c r="BS16" i="3" s="1"/>
  <c r="BT17" i="3" a="1"/>
  <c r="BT17" i="3" s="1"/>
  <c r="BU17" i="3" a="1"/>
  <c r="BU17" i="3" s="1"/>
  <c r="BT16" i="3" a="1"/>
  <c r="BT16" i="3" s="1"/>
  <c r="BU16" i="3" a="1"/>
  <c r="BU16" i="3" s="1"/>
  <c r="BT18" i="3" a="1"/>
  <c r="BT18" i="3" s="1"/>
  <c r="BV16" i="3" a="1"/>
  <c r="BV16" i="3" s="1"/>
  <c r="BS18" i="3" a="1"/>
  <c r="BS18" i="3" s="1"/>
  <c r="BV13" i="3" a="1"/>
  <c r="BV13" i="3" s="1"/>
  <c r="BU18" i="3" a="1"/>
  <c r="BU18" i="3" s="1"/>
  <c r="BT13" i="3" a="1"/>
  <c r="BT13" i="3" s="1"/>
  <c r="BY13" i="3" a="1"/>
  <c r="BY13" i="3" s="1"/>
  <c r="BX13" i="3" a="1"/>
  <c r="BX13" i="3" s="1"/>
  <c r="BV18" i="3" a="1"/>
  <c r="BV18" i="3" s="1"/>
  <c r="BV17" i="3" a="1"/>
  <c r="BV17" i="3" s="1"/>
  <c r="BX17" i="3" a="1"/>
  <c r="BX17" i="3" s="1"/>
  <c r="BY16" i="3" a="1"/>
  <c r="BY16" i="3" s="1"/>
  <c r="BY18" i="3" a="1"/>
  <c r="BY18" i="3" s="1"/>
  <c r="BX16" i="3" a="1"/>
  <c r="BX16" i="3" s="1"/>
  <c r="BY17" i="3" a="1"/>
  <c r="BY17" i="3" s="1"/>
  <c r="BX18" i="3" a="1"/>
  <c r="BX18" i="3" s="1"/>
  <c r="BW16" i="3" a="1"/>
  <c r="BW16" i="3" s="1"/>
  <c r="CA18" i="3" a="1"/>
  <c r="CA18" i="3" s="1"/>
  <c r="BW17" i="3" a="1"/>
  <c r="BW17" i="3" s="1"/>
  <c r="BW18" i="3" a="1"/>
  <c r="BW18" i="3" s="1"/>
  <c r="CC13" i="3" a="1"/>
  <c r="CC13" i="3" s="1"/>
  <c r="CA17" i="3" a="1"/>
  <c r="CA17" i="3" s="1"/>
  <c r="CB16" i="3" a="1"/>
  <c r="CB16" i="3" s="1"/>
  <c r="BZ18" i="3" a="1"/>
  <c r="BZ18" i="3" s="1"/>
  <c r="CB17" i="3" a="1"/>
  <c r="CB17" i="3" s="1"/>
  <c r="CA16" i="3" a="1"/>
  <c r="CA16" i="3" s="1"/>
  <c r="CB13" i="3" a="1"/>
  <c r="CB13" i="3" s="1"/>
  <c r="CE13" i="3" a="1"/>
  <c r="CE13" i="3" s="1"/>
  <c r="CD13" i="3" a="1"/>
  <c r="CD13" i="3" s="1"/>
  <c r="CE18" i="3" a="1"/>
  <c r="CE18" i="3" s="1"/>
  <c r="BZ13" i="3" a="1"/>
  <c r="BZ13" i="3" s="1"/>
  <c r="CA13" i="3" a="1"/>
  <c r="CA13" i="3" s="1"/>
  <c r="BZ16" i="3" a="1"/>
  <c r="BZ16" i="3" s="1"/>
  <c r="BZ17" i="3" a="1"/>
  <c r="BZ17" i="3" s="1"/>
  <c r="CD17" i="3" a="1"/>
  <c r="CD17" i="3" s="1"/>
  <c r="CC16" i="3" a="1"/>
  <c r="CC16" i="3" s="1"/>
  <c r="CE17" i="3" a="1"/>
  <c r="CE17" i="3" s="1"/>
  <c r="CC18" i="3" a="1"/>
  <c r="CC18" i="3" s="1"/>
  <c r="CB18" i="3" a="1"/>
  <c r="CB18" i="3" s="1"/>
  <c r="CF13" i="3" a="1"/>
  <c r="CF13" i="3" s="1"/>
  <c r="CF17" i="3" a="1"/>
  <c r="CF17" i="3" s="1"/>
  <c r="CE16" i="3" a="1"/>
  <c r="CE16" i="3" s="1"/>
  <c r="CD18" i="3" a="1"/>
  <c r="CD18" i="3" s="1"/>
  <c r="CC17" i="3" a="1"/>
  <c r="CC17" i="3" s="1"/>
  <c r="CF18" i="3" a="1"/>
  <c r="CF18" i="3" s="1"/>
  <c r="CF16" i="3" a="1"/>
  <c r="CF16" i="3" s="1"/>
  <c r="CD16" i="3" a="1"/>
  <c r="CD16" i="3" s="1"/>
  <c r="CG18" i="3" a="1"/>
  <c r="CG18" i="3" s="1"/>
  <c r="CH16" i="3" a="1"/>
  <c r="CH16" i="3" s="1"/>
  <c r="CG16" i="3" a="1"/>
  <c r="CG16" i="3" s="1"/>
  <c r="CH13" i="3" a="1"/>
  <c r="CH13" i="3" s="1"/>
  <c r="CJ13" i="3" a="1"/>
  <c r="CJ13" i="3" s="1"/>
  <c r="CH18" i="3" a="1"/>
  <c r="CH18" i="3" s="1"/>
  <c r="CG17" i="3" a="1"/>
  <c r="CG17" i="3" s="1"/>
  <c r="CJ18" i="3" a="1"/>
  <c r="CJ18" i="3" s="1"/>
  <c r="CI18" i="3" a="1"/>
  <c r="CI18" i="3" s="1"/>
  <c r="CK13" i="3" a="1"/>
  <c r="CK13" i="3" s="1"/>
  <c r="CI16" i="3" a="1"/>
  <c r="CI16" i="3" s="1"/>
  <c r="CI17" i="3" a="1"/>
  <c r="CI17" i="3" s="1"/>
  <c r="CH17" i="3" a="1"/>
  <c r="CH17" i="3" s="1"/>
  <c r="CK17" i="3" a="1"/>
  <c r="CK17" i="3" s="1"/>
  <c r="CJ16" i="3" a="1"/>
  <c r="CJ16" i="3" s="1"/>
  <c r="CJ17" i="3" a="1"/>
  <c r="CJ17" i="3" s="1"/>
  <c r="CM16" i="3" a="1"/>
  <c r="CM16" i="3" s="1"/>
  <c r="CN13" i="3" a="1"/>
  <c r="CN13" i="3" s="1"/>
  <c r="CL17" i="3" a="1"/>
  <c r="CL17" i="3" s="1"/>
  <c r="CM17" i="3" a="1"/>
  <c r="CM17" i="3" s="1"/>
  <c r="CL18" i="3" a="1"/>
  <c r="CL18" i="3" s="1"/>
  <c r="CK16" i="3" a="1"/>
  <c r="CK16" i="3" s="1"/>
  <c r="CK18" i="3" a="1"/>
  <c r="CK18" i="3" s="1"/>
  <c r="CO17" i="3" a="1"/>
  <c r="CO17" i="3" s="1"/>
  <c r="CL16" i="3" a="1"/>
  <c r="CL16" i="3" s="1"/>
  <c r="CM18" i="3" a="1"/>
  <c r="CM18" i="3" s="1"/>
  <c r="CL13" i="3" a="1"/>
  <c r="CL13" i="3" s="1"/>
  <c r="CN16" i="3" a="1"/>
  <c r="CN16" i="3" s="1"/>
  <c r="CN17" i="3" a="1"/>
  <c r="CN17" i="3" s="1"/>
  <c r="CM13" i="3" a="1"/>
  <c r="CM13" i="3" s="1"/>
  <c r="CO16" i="3" a="1"/>
  <c r="CO16" i="3" s="1"/>
  <c r="CN18" i="3" a="1"/>
  <c r="CN18" i="3" s="1"/>
  <c r="CP13" i="3" a="1"/>
  <c r="CP13" i="3" s="1"/>
  <c r="CO18" i="3" a="1"/>
  <c r="CO18" i="3" s="1"/>
  <c r="CQ13" i="3" a="1"/>
  <c r="CQ13" i="3" s="1"/>
  <c r="CP16" i="3" a="1"/>
  <c r="CP16" i="3" s="1"/>
  <c r="CP18" i="3" a="1"/>
  <c r="CP18" i="3" s="1"/>
  <c r="CP17" i="3" a="1"/>
  <c r="CP17" i="3" s="1"/>
  <c r="CO13" i="3" a="1"/>
  <c r="CO13" i="3" s="1"/>
  <c r="CQ16" i="3" a="1"/>
  <c r="CQ16" i="3" s="1"/>
  <c r="CT13" i="3" a="1"/>
  <c r="CT13" i="3" s="1"/>
  <c r="CR13" i="3" a="1"/>
  <c r="CR13" i="3" s="1"/>
  <c r="CS16" i="3" a="1"/>
  <c r="CS16" i="3" s="1"/>
  <c r="CR17" i="3" a="1"/>
  <c r="CR17" i="3" s="1"/>
  <c r="CQ17" i="3" a="1"/>
  <c r="CQ17" i="3" s="1"/>
  <c r="CQ18" i="3" a="1"/>
  <c r="CQ18" i="3" s="1"/>
  <c r="CT17" i="3" a="1"/>
  <c r="CT17" i="3" s="1"/>
  <c r="CR16" i="3" a="1"/>
  <c r="CR16" i="3" s="1"/>
  <c r="CS18" i="3" a="1"/>
  <c r="CS18" i="3" s="1"/>
  <c r="CR18" i="3" a="1"/>
  <c r="CR18" i="3" s="1"/>
  <c r="CW13" i="3" a="1"/>
  <c r="CW13" i="3" s="1"/>
  <c r="CS17" i="3" a="1"/>
  <c r="CS17" i="3" s="1"/>
  <c r="CU18" i="3" a="1"/>
  <c r="CU18" i="3" s="1"/>
  <c r="CT18" i="3" a="1"/>
  <c r="CT18" i="3" s="1"/>
  <c r="CT16" i="3" a="1"/>
  <c r="CT16" i="3" s="1"/>
  <c r="CU16" i="3" a="1"/>
  <c r="CU16" i="3" s="1"/>
  <c r="CZ16" i="3" a="1"/>
  <c r="CZ16" i="3" s="1"/>
  <c r="CV17" i="3" a="1"/>
  <c r="CV17" i="3" s="1"/>
  <c r="CY17" i="3" a="1"/>
  <c r="CY17" i="3" s="1"/>
  <c r="CW18" i="3" a="1"/>
  <c r="CW18" i="3" s="1"/>
  <c r="CV13" i="3" a="1"/>
  <c r="CV13" i="3" s="1"/>
  <c r="CW16" i="3" a="1"/>
  <c r="CW16" i="3" s="1"/>
  <c r="CV16" i="3" a="1"/>
  <c r="CV16" i="3" s="1"/>
  <c r="CV18" i="3" a="1"/>
  <c r="CV18" i="3" s="1"/>
  <c r="CU17" i="3" a="1"/>
  <c r="CU17" i="3" s="1"/>
  <c r="CW17" i="3" a="1"/>
  <c r="CW17" i="3" s="1"/>
  <c r="CY13" i="3" a="1"/>
  <c r="CY13" i="3" s="1"/>
  <c r="CY18" i="3" a="1"/>
  <c r="CY18" i="3" s="1"/>
  <c r="CX13" i="3" a="1"/>
  <c r="CX13" i="3" s="1"/>
  <c r="CX17" i="3" a="1"/>
  <c r="CX17" i="3" s="1"/>
  <c r="CZ13" i="3" a="1"/>
  <c r="CZ13" i="3" s="1"/>
  <c r="DA13" i="3" a="1"/>
  <c r="DA13" i="3" s="1"/>
  <c r="DA16" i="3" a="1"/>
  <c r="DA16" i="3" s="1"/>
  <c r="CY16" i="3" a="1"/>
  <c r="CY16" i="3" s="1"/>
  <c r="CZ17" i="3" a="1"/>
  <c r="CZ17" i="3" s="1"/>
  <c r="CZ18" i="3" a="1"/>
  <c r="CZ18" i="3" s="1"/>
  <c r="CX16" i="3" a="1"/>
  <c r="CX16" i="3" s="1"/>
  <c r="CX18" i="3" a="1"/>
  <c r="CX18" i="3" s="1"/>
  <c r="DC16" i="3" a="1"/>
  <c r="DC16" i="3" s="1"/>
  <c r="DA17" i="3" a="1"/>
  <c r="DA17" i="3" s="1"/>
  <c r="DB18" i="3" a="1"/>
  <c r="DB18" i="3" s="1"/>
  <c r="DD13" i="3" a="1"/>
  <c r="DD13" i="3" s="1"/>
  <c r="DB17" i="3" a="1"/>
  <c r="DB17" i="3" s="1"/>
  <c r="DA18" i="3" a="1"/>
  <c r="DA18" i="3" s="1"/>
  <c r="DB16" i="3" a="1"/>
  <c r="DB16" i="3" s="1"/>
  <c r="DC13" i="3" a="1"/>
  <c r="DC13" i="3" s="1"/>
  <c r="DB13" i="3" a="1"/>
  <c r="DB13" i="3" s="1"/>
  <c r="DC17" i="3" a="1"/>
  <c r="DC17" i="3" s="1"/>
  <c r="DG16" i="3" a="1"/>
  <c r="DG16" i="3" s="1"/>
  <c r="DC18" i="3" a="1"/>
  <c r="DC18" i="3" s="1"/>
  <c r="DD17" i="3" a="1"/>
  <c r="DD17" i="3" s="1"/>
  <c r="DE18" i="3" a="1"/>
  <c r="DE18" i="3" s="1"/>
  <c r="DD18" i="3" a="1"/>
  <c r="DD18" i="3" s="1"/>
  <c r="DD16" i="3" a="1"/>
  <c r="DD16" i="3" s="1"/>
  <c r="DG13" i="3" a="1"/>
  <c r="DG13" i="3" s="1"/>
  <c r="DF16" i="3" a="1"/>
  <c r="DF16" i="3" s="1"/>
  <c r="DH16" i="3" a="1"/>
  <c r="DH16" i="3" s="1"/>
  <c r="DE16" i="3" a="1"/>
  <c r="DE16" i="3" s="1"/>
  <c r="DF17" i="3" a="1"/>
  <c r="DF17" i="3" s="1"/>
  <c r="DF18" i="3" a="1"/>
  <c r="DF18" i="3" s="1"/>
  <c r="DE17" i="3" a="1"/>
  <c r="DE17" i="3" s="1"/>
  <c r="DH13" i="3" a="1"/>
  <c r="DH13" i="3" s="1"/>
  <c r="DJ13" i="3" a="1"/>
  <c r="DJ13" i="3" s="1"/>
  <c r="DG17" i="3" a="1"/>
  <c r="DG17" i="3" s="1"/>
  <c r="DI13" i="3" a="1"/>
  <c r="DI13" i="3" s="1"/>
  <c r="DH17" i="3" a="1"/>
  <c r="DH17" i="3" s="1"/>
  <c r="DH18" i="3" a="1"/>
  <c r="DH18" i="3" s="1"/>
  <c r="DG18" i="3" a="1"/>
  <c r="DG18" i="3" s="1"/>
  <c r="DF13" i="3" a="1"/>
  <c r="DF13" i="3" s="1"/>
  <c r="DJ16" i="3" a="1"/>
  <c r="DJ16" i="3" s="1"/>
  <c r="DK16" i="3" a="1"/>
  <c r="DK16" i="3" s="1"/>
  <c r="DK13" i="3" a="1"/>
  <c r="DK13" i="3" s="1"/>
  <c r="DI18" i="3" a="1"/>
  <c r="DI18" i="3" s="1"/>
  <c r="DI16" i="3" a="1"/>
  <c r="DI16" i="3" s="1"/>
  <c r="DL13" i="3" a="1"/>
  <c r="DL13" i="3" s="1"/>
  <c r="DI17" i="3" a="1"/>
  <c r="DI17" i="3" s="1"/>
  <c r="DN13" i="3" a="1"/>
  <c r="DN13" i="3" s="1"/>
  <c r="DL17" i="3" a="1"/>
  <c r="DL17" i="3" s="1"/>
  <c r="DM13" i="3" a="1"/>
  <c r="DM13" i="3" s="1"/>
  <c r="DJ18" i="3" a="1"/>
  <c r="DJ18" i="3" s="1"/>
  <c r="DN16" i="3" a="1"/>
  <c r="DN16" i="3" s="1"/>
  <c r="DM16" i="3" a="1"/>
  <c r="DM16" i="3" s="1"/>
  <c r="DJ17" i="3" a="1"/>
  <c r="DJ17" i="3" s="1"/>
  <c r="DK17" i="3" a="1"/>
  <c r="DK17" i="3" s="1"/>
  <c r="DM17" i="3" a="1"/>
  <c r="DM17" i="3" s="1"/>
  <c r="DL16" i="3" a="1"/>
  <c r="DL16" i="3" s="1"/>
  <c r="DK18" i="3" a="1"/>
  <c r="DK18" i="3" s="1"/>
  <c r="DN17" i="3" a="1"/>
  <c r="DN17" i="3" s="1"/>
  <c r="DL18" i="3" a="1"/>
  <c r="DL18" i="3" s="1"/>
  <c r="DP16" i="3" a="1"/>
  <c r="DP16" i="3" s="1"/>
  <c r="DM18" i="3" a="1"/>
  <c r="DM18" i="3" s="1"/>
  <c r="DO18" i="3" a="1"/>
  <c r="DO18" i="3" s="1"/>
  <c r="DN18" i="3" a="1"/>
  <c r="DN18" i="3" s="1"/>
  <c r="DO17" i="3" a="1"/>
  <c r="DO17" i="3" s="1"/>
  <c r="DP18" i="3" a="1"/>
  <c r="DP18" i="3" s="1"/>
  <c r="DP17" i="3" a="1"/>
  <c r="DP17" i="3" s="1"/>
  <c r="DO16" i="3" a="1"/>
  <c r="DO16" i="3" s="1"/>
  <c r="DO13" i="3" a="1"/>
  <c r="DO13" i="3" s="1"/>
  <c r="DQ16" i="3" a="1"/>
  <c r="DQ16" i="3" s="1"/>
  <c r="DR17" i="3" a="1"/>
  <c r="DR17" i="3" s="1"/>
  <c r="DR13" i="3" a="1"/>
  <c r="DR13" i="3" s="1"/>
  <c r="DQ17" i="3" a="1"/>
  <c r="DQ17" i="3" s="1"/>
  <c r="DQ18" i="3" a="1"/>
  <c r="DQ18" i="3" s="1"/>
  <c r="DP13" i="3" a="1"/>
  <c r="DP13" i="3" s="1"/>
  <c r="DS13" i="3" a="1"/>
  <c r="DS13" i="3" s="1"/>
  <c r="DU13" i="3" a="1"/>
  <c r="DU13" i="3" s="1"/>
  <c r="DR16" i="3" a="1"/>
  <c r="DR16" i="3" s="1"/>
  <c r="DR18" i="3" a="1"/>
  <c r="DR18" i="3" s="1"/>
  <c r="DT13" i="3" a="1"/>
  <c r="DT13" i="3" s="1"/>
  <c r="DT18" i="3" a="1"/>
  <c r="DT18" i="3" s="1"/>
  <c r="DS18" i="3" a="1"/>
  <c r="DS18" i="3" s="1"/>
  <c r="DS16" i="3" a="1"/>
  <c r="DS16" i="3" s="1"/>
  <c r="DU18" i="3" a="1"/>
  <c r="DU18" i="3" s="1"/>
  <c r="DS17" i="3" a="1"/>
  <c r="DS17" i="3" s="1"/>
  <c r="DU17" i="3" a="1"/>
  <c r="DU17" i="3" s="1"/>
  <c r="DT16" i="3" a="1"/>
  <c r="DT16" i="3" s="1"/>
  <c r="DT17" i="3" a="1"/>
  <c r="DT17" i="3" s="1"/>
  <c r="DV13" i="3" a="1"/>
  <c r="DV13" i="3" s="1"/>
  <c r="DW18" i="3" a="1"/>
  <c r="DW18" i="3" s="1"/>
  <c r="DW13" i="3" a="1"/>
  <c r="DW13" i="3" s="1"/>
  <c r="DX13" i="3" a="1"/>
  <c r="DX13" i="3" s="1"/>
  <c r="DU16" i="3" a="1"/>
  <c r="DU16" i="3" s="1"/>
  <c r="DV16" i="3" a="1"/>
  <c r="DV16" i="3" s="1"/>
  <c r="DV17" i="3" a="1"/>
  <c r="DV17" i="3" s="1"/>
  <c r="DW16" i="3" a="1"/>
  <c r="DW16" i="3" s="1"/>
  <c r="DY16" i="3" a="1"/>
  <c r="DY16" i="3" s="1"/>
  <c r="DX17" i="3" a="1"/>
  <c r="DX17" i="3" s="1"/>
  <c r="DW17" i="3" a="1"/>
  <c r="DW17" i="3" s="1"/>
  <c r="DV18" i="3" a="1"/>
  <c r="DV18" i="3" s="1"/>
  <c r="DX16" i="3" a="1"/>
  <c r="DX16" i="3" s="1"/>
  <c r="DY13" i="3" a="1"/>
  <c r="DY13" i="3" s="1"/>
  <c r="EA13" i="3" a="1"/>
  <c r="EA13" i="3" s="1"/>
  <c r="DY17" i="3" a="1"/>
  <c r="DY17" i="3" s="1"/>
  <c r="DX18" i="3" a="1"/>
  <c r="DX18" i="3" s="1"/>
  <c r="DZ16" i="3" a="1"/>
  <c r="DZ16" i="3" s="1"/>
  <c r="DY18" i="3" a="1"/>
  <c r="DY18" i="3" s="1"/>
  <c r="EB13" i="3" a="1"/>
  <c r="EB13" i="3" s="1"/>
  <c r="DZ18" i="3" a="1"/>
  <c r="DZ18" i="3" s="1"/>
  <c r="DZ17" i="3" a="1"/>
  <c r="DZ17" i="3" s="1"/>
  <c r="ED13" i="3" a="1"/>
  <c r="ED13" i="3" s="1"/>
  <c r="EA16" i="3" a="1"/>
  <c r="EA16" i="3" s="1"/>
  <c r="EB17" i="3" a="1"/>
  <c r="EB17" i="3" s="1"/>
  <c r="EA18" i="3" a="1"/>
  <c r="EA18" i="3" s="1"/>
  <c r="DZ13" i="3" a="1"/>
  <c r="DZ13" i="3" s="1"/>
  <c r="EC17" i="3" a="1"/>
  <c r="EC17" i="3" s="1"/>
  <c r="EA17" i="3" a="1"/>
  <c r="EA17" i="3" s="1"/>
  <c r="EB18" i="3" a="1"/>
  <c r="EB18" i="3" s="1"/>
  <c r="EC16" i="3" a="1"/>
  <c r="EC16" i="3" s="1"/>
  <c r="ED16" i="3" a="1"/>
  <c r="ED16" i="3" s="1"/>
  <c r="EC18" i="3" a="1"/>
  <c r="EC18" i="3" s="1"/>
  <c r="EB16" i="3" a="1"/>
  <c r="EB16" i="3" s="1"/>
  <c r="ED18" i="3" a="1"/>
  <c r="ED18" i="3" s="1"/>
  <c r="EE17" i="3" a="1"/>
  <c r="EE17" i="3" s="1"/>
  <c r="ED17" i="3" a="1"/>
  <c r="ED17" i="3" s="1"/>
  <c r="EF13" i="3" a="1"/>
  <c r="EF13" i="3" s="1"/>
  <c r="EG17" i="3" a="1"/>
  <c r="EG17" i="3" s="1"/>
  <c r="EE13" i="3" a="1"/>
  <c r="EE13" i="3" s="1"/>
  <c r="EE12" i="3" a="1"/>
  <c r="EE12" i="3" s="1"/>
  <c r="EE18" i="3" a="1"/>
  <c r="EE18" i="3" s="1"/>
  <c r="EE16" i="3" a="1"/>
  <c r="EE16" i="3" s="1"/>
  <c r="EG16" i="3" a="1"/>
  <c r="EG16" i="3" s="1"/>
  <c r="EG18" i="3" a="1"/>
  <c r="EG18" i="3" s="1"/>
  <c r="EG13" i="3" a="1"/>
  <c r="EG13" i="3" s="1"/>
  <c r="EF17" i="3" a="1"/>
  <c r="EF17" i="3" s="1"/>
  <c r="EH12" i="3" a="1"/>
  <c r="EH12" i="3" s="1"/>
  <c r="EI13" i="3" a="1"/>
  <c r="EI13" i="3" s="1"/>
  <c r="EF16" i="3" a="1"/>
  <c r="EF16" i="3" s="1"/>
  <c r="EG12" i="3" a="1"/>
  <c r="EG12" i="3" s="1"/>
  <c r="EH17" i="3" a="1"/>
  <c r="EH17" i="3" s="1"/>
  <c r="EJ13" i="3" a="1"/>
  <c r="EJ13" i="3" s="1"/>
  <c r="EI16" i="3" a="1"/>
  <c r="EI16" i="3" s="1"/>
  <c r="EH18" i="3" a="1"/>
  <c r="EH18" i="3" s="1"/>
  <c r="EF18" i="3" a="1"/>
  <c r="EF18" i="3" s="1"/>
  <c r="EF12" i="3" a="1"/>
  <c r="EF12" i="3" s="1"/>
  <c r="EH13" i="3" a="1"/>
  <c r="EH13" i="3" s="1"/>
  <c r="EI18" i="3" a="1"/>
  <c r="EI18" i="3" s="1"/>
  <c r="EH16" i="3" a="1"/>
  <c r="EH16" i="3" s="1"/>
  <c r="EJ12" i="3" a="1"/>
  <c r="EJ12" i="3" s="1"/>
  <c r="EL13" i="3" a="1"/>
  <c r="EL13" i="3" s="1"/>
  <c r="EJ16" i="3" a="1"/>
  <c r="EJ16" i="3" s="1"/>
  <c r="EJ18" i="3" a="1"/>
  <c r="EJ18" i="3" s="1"/>
  <c r="EK12" i="3" a="1"/>
  <c r="EK12" i="3" s="1"/>
  <c r="EI12" i="3" a="1"/>
  <c r="EI12" i="3" s="1"/>
  <c r="EJ17" i="3" a="1"/>
  <c r="EJ17" i="3" s="1"/>
  <c r="EK16" i="3" a="1"/>
  <c r="EK16" i="3" s="1"/>
  <c r="EI17" i="3" a="1"/>
  <c r="EI17" i="3" s="1"/>
  <c r="EK17" i="3" a="1"/>
  <c r="EK17" i="3" s="1"/>
  <c r="EL16" i="3" a="1"/>
  <c r="EL16" i="3" s="1"/>
  <c r="EL17" i="3" a="1"/>
  <c r="EL17" i="3" s="1"/>
  <c r="EK13" i="3" a="1"/>
  <c r="EK13" i="3" s="1"/>
  <c r="EK18" i="3" a="1"/>
  <c r="EK18" i="3" s="1"/>
  <c r="EN13" i="3" a="1"/>
  <c r="EN13" i="3" s="1"/>
  <c r="EL12" i="3" a="1"/>
  <c r="EL12" i="3" s="1"/>
  <c r="EM18" i="3" a="1"/>
  <c r="EM18" i="3" s="1"/>
  <c r="EM17" i="3" a="1"/>
  <c r="EM17" i="3" s="1"/>
  <c r="EM16" i="3" a="1"/>
  <c r="EM16" i="3" s="1"/>
  <c r="EM12" i="3" a="1"/>
  <c r="EM12" i="3" s="1"/>
  <c r="EL18" i="3" a="1"/>
  <c r="EL18" i="3" s="1"/>
  <c r="EN17" i="3" a="1"/>
  <c r="EN17" i="3" s="1"/>
  <c r="EN16" i="3" a="1"/>
  <c r="EN16" i="3" s="1"/>
  <c r="EN18" i="3" a="1"/>
  <c r="EN18" i="3" s="1"/>
  <c r="EN12" i="3" a="1"/>
  <c r="EN12" i="3" s="1"/>
  <c r="EP18" i="3" a="1"/>
  <c r="EP18" i="3" s="1"/>
  <c r="EO16" i="3" a="1"/>
  <c r="EO16" i="3" s="1"/>
  <c r="EM13" i="3" a="1"/>
  <c r="EM13" i="3" s="1"/>
  <c r="AP13" i="3" a="1"/>
  <c r="AP13" i="3" s="1"/>
  <c r="EQ18" i="3" a="1"/>
  <c r="EQ18" i="3" s="1"/>
  <c r="EO12" i="3" a="1"/>
  <c r="EO12" i="3" s="1"/>
  <c r="EP17" i="3" a="1"/>
  <c r="EP17" i="3" s="1"/>
  <c r="EO17" i="3" a="1"/>
  <c r="EO17" i="3" s="1"/>
  <c r="EP13" i="3" a="1"/>
  <c r="EP13" i="3" s="1"/>
  <c r="EO18" i="3" a="1"/>
  <c r="EO18" i="3" s="1"/>
  <c r="EP16" i="3" a="1"/>
  <c r="EP16" i="3" s="1"/>
  <c r="ES18" i="3" a="1"/>
  <c r="ES18" i="3" s="1"/>
  <c r="ET16" i="3" a="1"/>
  <c r="ET16" i="3" s="1"/>
  <c r="EQ12" i="3" a="1"/>
  <c r="EQ12" i="3" s="1"/>
  <c r="EQ13" i="3" a="1"/>
  <c r="EQ13" i="3" s="1"/>
  <c r="EQ16" i="3" a="1"/>
  <c r="EQ16" i="3" s="1"/>
  <c r="EP12" i="3" a="1"/>
  <c r="EP12" i="3" s="1"/>
  <c r="ER16" i="3" a="1"/>
  <c r="ER16" i="3" s="1"/>
  <c r="EQ17" i="3" a="1"/>
  <c r="EQ17" i="3" s="1"/>
  <c r="ES16" i="3" a="1"/>
  <c r="ES16" i="3" s="1"/>
  <c r="EU13" i="3" a="1"/>
  <c r="EU13" i="3" s="1"/>
  <c r="ES13" i="3" a="1"/>
  <c r="ES13" i="3" s="1"/>
  <c r="ET17" i="3" a="1"/>
  <c r="ET17" i="3" s="1"/>
  <c r="ER13" i="3" a="1"/>
  <c r="ER13" i="3" s="1"/>
  <c r="ES12" i="3" a="1"/>
  <c r="ES12" i="3" s="1"/>
  <c r="ET18" i="3" a="1"/>
  <c r="ET18" i="3" s="1"/>
  <c r="ER17" i="3" a="1"/>
  <c r="ER17" i="3" s="1"/>
  <c r="EV13" i="3" a="1"/>
  <c r="EV13" i="3" s="1"/>
  <c r="ER18" i="3" a="1"/>
  <c r="ER18" i="3" s="1"/>
  <c r="ER12" i="3" a="1"/>
  <c r="ER12" i="3" s="1"/>
  <c r="ET13" i="3" a="1"/>
  <c r="ET13" i="3" s="1"/>
  <c r="ES17" i="3" a="1"/>
  <c r="ES17" i="3" s="1"/>
  <c r="EV12" i="3" a="1"/>
  <c r="EV12" i="3" s="1"/>
  <c r="EU12" i="3" a="1"/>
  <c r="EU12" i="3" s="1"/>
  <c r="ET12" i="3" a="1"/>
  <c r="ET12" i="3" s="1"/>
  <c r="EV16" i="3" a="1"/>
  <c r="EV16" i="3" s="1"/>
  <c r="EV18" i="3" a="1"/>
  <c r="EV18" i="3" s="1"/>
  <c r="EU16" i="3" a="1"/>
  <c r="EU16" i="3" s="1"/>
  <c r="EU18" i="3" a="1"/>
  <c r="EU18" i="3" s="1"/>
  <c r="EV17" i="3" a="1"/>
  <c r="EV17" i="3" s="1"/>
  <c r="EW16" i="3" a="1"/>
  <c r="EW16" i="3" s="1"/>
  <c r="EU17" i="3" a="1"/>
  <c r="EU17" i="3" s="1"/>
  <c r="EX13" i="3" a="1"/>
  <c r="EX13" i="3" s="1"/>
  <c r="EW12" i="3" a="1"/>
  <c r="EW12" i="3" s="1"/>
  <c r="EW17" i="3" a="1"/>
  <c r="EW17" i="3" s="1"/>
  <c r="EW13" i="3" a="1"/>
  <c r="EW13" i="3" s="1"/>
  <c r="EW18" i="3" a="1"/>
  <c r="EW18" i="3" s="1"/>
  <c r="EY18" i="3" a="1"/>
  <c r="EY18" i="3" s="1"/>
  <c r="EX12" i="3" a="1"/>
  <c r="EX12" i="3" s="1"/>
  <c r="EX18" i="3" a="1"/>
  <c r="EX18" i="3" s="1"/>
  <c r="EY13" i="3" a="1"/>
  <c r="EY13" i="3" s="1"/>
  <c r="EY17" i="3" a="1"/>
  <c r="EY17" i="3" s="1"/>
  <c r="EY12" i="3" a="1"/>
  <c r="EY12" i="3" s="1"/>
  <c r="EZ17" i="3" a="1"/>
  <c r="EZ17" i="3" s="1"/>
  <c r="EZ12" i="3" a="1"/>
  <c r="EZ12" i="3" s="1"/>
  <c r="EY16" i="3" a="1"/>
  <c r="EY16" i="3" s="1"/>
  <c r="EX17" i="3" a="1"/>
  <c r="EX17" i="3" s="1"/>
  <c r="EZ16" i="3" a="1"/>
  <c r="EZ16" i="3" s="1"/>
  <c r="EX16" i="3" a="1"/>
  <c r="EX16" i="3" s="1"/>
  <c r="EZ18" i="3" a="1"/>
  <c r="EZ18" i="3" s="1"/>
  <c r="FC13" i="3" a="1"/>
  <c r="FC13" i="3" s="1"/>
  <c r="FA16" i="3" a="1"/>
  <c r="FA16" i="3" s="1"/>
  <c r="FB18" i="3" a="1"/>
  <c r="FB18" i="3" s="1"/>
  <c r="FB13" i="3" a="1"/>
  <c r="FB13" i="3" s="1"/>
  <c r="EZ13" i="3" a="1"/>
  <c r="EZ13" i="3" s="1"/>
  <c r="FB16" i="3" a="1"/>
  <c r="FB16" i="3" s="1"/>
  <c r="FA12" i="3" a="1"/>
  <c r="FA12" i="3" s="1"/>
  <c r="FA13" i="3" a="1"/>
  <c r="FA13" i="3" s="1"/>
  <c r="FB17" i="3" a="1"/>
  <c r="FB17" i="3" s="1"/>
  <c r="FA18" i="3" a="1"/>
  <c r="FA18" i="3" s="1"/>
  <c r="FC16" i="3" a="1"/>
  <c r="FC16" i="3" s="1"/>
  <c r="FC17" i="3" a="1"/>
  <c r="FC17" i="3" s="1"/>
  <c r="FA17" i="3" a="1"/>
  <c r="FA17" i="3" s="1"/>
  <c r="FC18" i="3" a="1"/>
  <c r="FC18" i="3" s="1"/>
  <c r="FD13" i="3" a="1"/>
  <c r="FD13" i="3" s="1"/>
  <c r="FB12" i="3" a="1"/>
  <c r="FB12" i="3" s="1"/>
  <c r="FD12" i="3" a="1"/>
  <c r="FD12" i="3" s="1"/>
  <c r="FC12" i="3" a="1"/>
  <c r="FC12" i="3" s="1"/>
  <c r="FF18" i="3" a="1"/>
  <c r="FF18" i="3" s="1"/>
  <c r="FE12" i="3" a="1"/>
  <c r="FE12" i="3" s="1"/>
  <c r="FE13" i="3" a="1"/>
  <c r="FE13" i="3" s="1"/>
  <c r="FE17" i="3" a="1"/>
  <c r="FE17" i="3" s="1"/>
  <c r="FD17" i="3" a="1"/>
  <c r="FD17" i="3" s="1"/>
  <c r="FD16" i="3" a="1"/>
  <c r="FD16" i="3" s="1"/>
  <c r="FE18" i="3" a="1"/>
  <c r="FE18" i="3" s="1"/>
  <c r="FE16" i="3" a="1"/>
  <c r="FE16" i="3" s="1"/>
  <c r="FD18" i="3" a="1"/>
  <c r="FD18" i="3" s="1"/>
  <c r="FF17" i="3" a="1"/>
  <c r="FF17" i="3" s="1"/>
  <c r="FF13" i="3" a="1"/>
  <c r="FF13" i="3" s="1"/>
  <c r="FF16" i="3" a="1"/>
  <c r="FF16" i="3" s="1"/>
  <c r="FG16" i="3" a="1"/>
  <c r="FG16" i="3" s="1"/>
  <c r="FG18" i="3" a="1"/>
  <c r="FG18" i="3" s="1"/>
  <c r="FH18" i="3" a="1"/>
  <c r="FH18" i="3" s="1"/>
  <c r="FG17" i="3" a="1"/>
  <c r="FG17" i="3" s="1"/>
  <c r="FF12" i="3" a="1"/>
  <c r="FF12" i="3" s="1"/>
  <c r="FH13" i="3" a="1"/>
  <c r="FH13" i="3" s="1"/>
  <c r="FI17" i="3" a="1"/>
  <c r="FI17" i="3" s="1"/>
  <c r="FH17" i="3" a="1"/>
  <c r="FH17" i="3" s="1"/>
  <c r="FH12" i="3" a="1"/>
  <c r="FH12" i="3" s="1"/>
  <c r="FG13" i="3" a="1"/>
  <c r="FG13" i="3" s="1"/>
  <c r="FH16" i="3" a="1"/>
  <c r="FH16" i="3" s="1"/>
  <c r="FG12" i="3" a="1"/>
  <c r="FG12" i="3" s="1"/>
  <c r="FJ17" i="3" a="1"/>
  <c r="FJ17" i="3" s="1"/>
  <c r="FJ18" i="3" a="1"/>
  <c r="FJ18" i="3" s="1"/>
  <c r="FI13" i="3" a="1"/>
  <c r="FI13" i="3" s="1"/>
  <c r="FI16" i="3" a="1"/>
  <c r="FI16" i="3" s="1"/>
  <c r="FN18" i="3" a="1"/>
  <c r="FN18" i="3" s="1"/>
  <c r="FK17" i="3" a="1"/>
  <c r="FK17" i="3" s="1"/>
  <c r="FJ13" i="3" a="1"/>
  <c r="FJ13" i="3" s="1"/>
  <c r="FN16" i="3" a="1"/>
  <c r="FN16" i="3" s="1"/>
  <c r="FI18" i="3" a="1"/>
  <c r="FI18" i="3" s="1"/>
  <c r="FJ16" i="3" a="1"/>
  <c r="FJ16" i="3" s="1"/>
  <c r="FI12" i="3" a="1"/>
  <c r="FI12" i="3" s="1"/>
  <c r="FM16" i="3" a="1"/>
  <c r="FM16" i="3" s="1"/>
  <c r="FJ12" i="3" a="1"/>
  <c r="FJ12" i="3" s="1"/>
  <c r="FK13" i="3" a="1"/>
  <c r="FK13" i="3" s="1"/>
  <c r="FK16" i="3" a="1"/>
  <c r="FK16" i="3" s="1"/>
  <c r="FM18" i="3" a="1"/>
  <c r="FM18" i="3" s="1"/>
  <c r="FM17" i="3" a="1"/>
  <c r="FM17" i="3" s="1"/>
  <c r="FL16" i="3" a="1"/>
  <c r="FL16" i="3" s="1"/>
  <c r="FL17" i="3" a="1"/>
  <c r="FL17" i="3" s="1"/>
  <c r="FL18" i="3" a="1"/>
  <c r="FL18" i="3" s="1"/>
  <c r="FK12" i="3" a="1"/>
  <c r="FK12" i="3" s="1"/>
  <c r="FL13" i="3" a="1"/>
  <c r="FL13" i="3" s="1"/>
  <c r="FM13" i="3" a="1"/>
  <c r="FM13" i="3" s="1"/>
  <c r="FK18" i="3" a="1"/>
  <c r="FK18" i="3" s="1"/>
  <c r="FO13" i="3" a="1"/>
  <c r="FO13" i="3" s="1"/>
  <c r="FN17" i="3" a="1"/>
  <c r="FN17" i="3" s="1"/>
  <c r="FL12" i="3" a="1"/>
  <c r="FL12" i="3" s="1"/>
  <c r="FN12" i="3" a="1"/>
  <c r="FN12" i="3" s="1"/>
  <c r="FP17" i="3" a="1"/>
  <c r="FP17" i="3" s="1"/>
  <c r="FM12" i="3" a="1"/>
  <c r="FM12" i="3" s="1"/>
  <c r="FP18" i="3" a="1"/>
  <c r="FP18" i="3" s="1"/>
  <c r="FO17" i="3" a="1"/>
  <c r="FO17" i="3" s="1"/>
  <c r="FO16" i="3" a="1"/>
  <c r="FO16" i="3" s="1"/>
  <c r="FP16" i="3" a="1"/>
  <c r="FP16" i="3" s="1"/>
  <c r="FN13" i="3" a="1"/>
  <c r="FN13" i="3" s="1"/>
  <c r="FP12" i="3" a="1"/>
  <c r="FP12" i="3" s="1"/>
  <c r="FO18" i="3" a="1"/>
  <c r="FO18" i="3" s="1"/>
  <c r="FQ12" i="3" a="1"/>
  <c r="FQ12" i="3" s="1"/>
  <c r="FS18" i="3" a="1"/>
  <c r="FS18" i="3" s="1"/>
  <c r="FP13" i="3" a="1"/>
  <c r="FP13" i="3" s="1"/>
  <c r="FR16" i="3" a="1"/>
  <c r="FR16" i="3" s="1"/>
  <c r="FO12" i="3" a="1"/>
  <c r="FO12" i="3" s="1"/>
  <c r="FQ17" i="3" a="1"/>
  <c r="FQ17" i="3" s="1"/>
  <c r="FS17" i="3" a="1"/>
  <c r="FS17" i="3" s="1"/>
  <c r="FR12" i="3" a="1"/>
  <c r="FR12" i="3" s="1"/>
  <c r="FQ13" i="3" a="1"/>
  <c r="FQ13" i="3" s="1"/>
  <c r="FQ16" i="3" a="1"/>
  <c r="FQ16" i="3" s="1"/>
  <c r="FQ18" i="3" a="1"/>
  <c r="FQ18" i="3" s="1"/>
  <c r="FV18" i="3" a="1"/>
  <c r="FV18" i="3" s="1"/>
  <c r="FV13" i="3" a="1"/>
  <c r="FV13" i="3" s="1"/>
  <c r="FR13" i="3" a="1"/>
  <c r="FR13" i="3" s="1"/>
  <c r="FR18" i="3" a="1"/>
  <c r="FR18" i="3" s="1"/>
  <c r="FR17" i="3" a="1"/>
  <c r="FR17" i="3" s="1"/>
  <c r="FT18" i="3" a="1"/>
  <c r="FT18" i="3" s="1"/>
  <c r="FU17" i="3" a="1"/>
  <c r="FU17" i="3" s="1"/>
  <c r="FS13" i="3" a="1"/>
  <c r="FS13" i="3" s="1"/>
  <c r="FV16" i="3" a="1"/>
  <c r="FV16" i="3" s="1"/>
  <c r="FT16" i="3" a="1"/>
  <c r="FT16" i="3" s="1"/>
  <c r="FV17" i="3" a="1"/>
  <c r="FV17" i="3" s="1"/>
  <c r="FS16" i="3" a="1"/>
  <c r="FS16" i="3" s="1"/>
  <c r="FT13" i="3" a="1"/>
  <c r="FT13" i="3" s="1"/>
  <c r="FT12" i="3" a="1"/>
  <c r="FT12" i="3" s="1"/>
  <c r="FS12" i="3" a="1"/>
  <c r="FS12" i="3" s="1"/>
  <c r="FW17" i="3" a="1"/>
  <c r="FW17" i="3" s="1"/>
  <c r="FX18" i="3" a="1"/>
  <c r="FX18" i="3" s="1"/>
  <c r="FV12" i="3" a="1"/>
  <c r="FV12" i="3" s="1"/>
  <c r="FU13" i="3" a="1"/>
  <c r="FU13" i="3" s="1"/>
  <c r="FU12" i="3" a="1"/>
  <c r="FU12" i="3" s="1"/>
  <c r="FY16" i="3" a="1"/>
  <c r="FY16" i="3" s="1"/>
  <c r="FT17" i="3" a="1"/>
  <c r="FT17" i="3" s="1"/>
  <c r="FW18" i="3" a="1"/>
  <c r="FW18" i="3" s="1"/>
  <c r="FX12" i="3" a="1"/>
  <c r="FX12" i="3" s="1"/>
  <c r="FY13" i="3" a="1"/>
  <c r="FY13" i="3" s="1"/>
  <c r="FU16" i="3" a="1"/>
  <c r="FU16" i="3" s="1"/>
  <c r="FX17" i="3" a="1"/>
  <c r="FX17" i="3" s="1"/>
  <c r="FU18" i="3" a="1"/>
  <c r="FU18" i="3" s="1"/>
  <c r="FW13" i="3" a="1"/>
  <c r="FW13" i="3" s="1"/>
  <c r="FX16" i="3" a="1"/>
  <c r="FX16" i="3" s="1"/>
  <c r="FW12" i="3" a="1"/>
  <c r="FW12" i="3" s="1"/>
  <c r="FX13" i="3" a="1"/>
  <c r="FX13" i="3" s="1"/>
  <c r="GB17" i="3" a="1"/>
  <c r="GB17" i="3" s="1"/>
  <c r="FZ17" i="3" a="1"/>
  <c r="FZ17" i="3" s="1"/>
  <c r="FY12" i="3" a="1"/>
  <c r="FY12" i="3" s="1"/>
  <c r="FY18" i="3" a="1"/>
  <c r="FY18" i="3" s="1"/>
  <c r="FW16" i="3" a="1"/>
  <c r="FW16" i="3" s="1"/>
  <c r="GC16" i="3" a="1"/>
  <c r="GC16" i="3" s="1"/>
  <c r="GA16" i="3" a="1"/>
  <c r="GA16" i="3" s="1"/>
  <c r="GA12" i="3" a="1"/>
  <c r="GA12" i="3" s="1"/>
  <c r="FZ16" i="3" a="1"/>
  <c r="FZ16" i="3" s="1"/>
  <c r="FY17" i="3" a="1"/>
  <c r="FY17" i="3" s="1"/>
  <c r="FZ12" i="3" a="1"/>
  <c r="FZ12" i="3" s="1"/>
  <c r="FZ18" i="3" a="1"/>
  <c r="FZ18" i="3" s="1"/>
  <c r="GB13" i="3" a="1"/>
  <c r="GB13" i="3" s="1"/>
  <c r="GB16" i="3" a="1"/>
  <c r="GB16" i="3" s="1"/>
  <c r="GB12" i="3" a="1"/>
  <c r="GB12" i="3" s="1"/>
  <c r="GA18" i="3" a="1"/>
  <c r="GA18" i="3" s="1"/>
  <c r="GA13" i="3" a="1"/>
  <c r="GA13" i="3" s="1"/>
  <c r="GC13" i="3" a="1"/>
  <c r="GC13" i="3" s="1"/>
  <c r="GC12" i="3" a="1"/>
  <c r="GC12" i="3" s="1"/>
  <c r="GD12" i="3" a="1"/>
  <c r="GD12" i="3" s="1"/>
  <c r="GD17" i="3" a="1"/>
  <c r="GD17" i="3" s="1"/>
  <c r="GD13" i="3" a="1"/>
  <c r="GD13" i="3" s="1"/>
  <c r="GA17" i="3" a="1"/>
  <c r="GA17" i="3" s="1"/>
  <c r="GD16" i="3" a="1"/>
  <c r="GD16" i="3" s="1"/>
  <c r="FZ13" i="3" a="1"/>
  <c r="FZ13" i="3" s="1"/>
  <c r="GB18" i="3" a="1"/>
  <c r="GB18" i="3" s="1"/>
  <c r="GC17" i="3" a="1"/>
  <c r="GC17" i="3" s="1"/>
  <c r="GC18" i="3" a="1"/>
  <c r="GC18" i="3" s="1"/>
  <c r="GE18" i="3" a="1"/>
  <c r="GE18" i="3" s="1"/>
  <c r="GF13" i="3" a="1"/>
  <c r="GF13" i="3" s="1"/>
  <c r="GD18" i="3" a="1"/>
  <c r="GD18" i="3" s="1"/>
  <c r="GG12" i="3" a="1"/>
  <c r="GG12" i="3" s="1"/>
  <c r="GE16" i="3" a="1"/>
  <c r="GE16" i="3" s="1"/>
  <c r="GE13" i="3" a="1"/>
  <c r="GE13" i="3" s="1"/>
  <c r="GF18" i="3" a="1"/>
  <c r="GF18" i="3" s="1"/>
  <c r="GE12" i="3" a="1"/>
  <c r="GE12" i="3" s="1"/>
  <c r="GF17" i="3" a="1"/>
  <c r="GF17" i="3" s="1"/>
  <c r="GE17" i="3" a="1"/>
  <c r="GE17" i="3" s="1"/>
  <c r="GF16" i="3" a="1"/>
  <c r="GF16" i="3" s="1"/>
  <c r="GF12" i="3" a="1"/>
  <c r="GF12" i="3" s="1"/>
  <c r="GG13" i="3" a="1"/>
  <c r="GG13" i="3" s="1"/>
  <c r="GH13" i="3" a="1"/>
  <c r="GH13" i="3" s="1"/>
  <c r="GH17" i="3" a="1"/>
  <c r="GH17" i="3" s="1"/>
  <c r="GG17" i="3" a="1"/>
  <c r="GG17" i="3" s="1"/>
  <c r="GG16" i="3" a="1"/>
  <c r="GG16" i="3" s="1"/>
  <c r="GG18" i="3" a="1"/>
  <c r="GG18" i="3" s="1"/>
  <c r="GL12" i="3" a="1"/>
  <c r="GL12" i="3" s="1"/>
  <c r="GH16" i="3" a="1"/>
  <c r="GH16" i="3" s="1"/>
  <c r="GH12" i="3" a="1"/>
  <c r="GH12" i="3" s="1"/>
  <c r="GI13" i="3" a="1"/>
  <c r="GI13" i="3" s="1"/>
  <c r="GI16" i="3" a="1"/>
  <c r="GI16" i="3" s="1"/>
  <c r="GH18" i="3" a="1"/>
  <c r="GH18" i="3" s="1"/>
  <c r="GI12" i="3" a="1"/>
  <c r="GI12" i="3" s="1"/>
  <c r="GL13" i="3" a="1"/>
  <c r="GL13" i="3" s="1"/>
  <c r="GK17" i="3" a="1"/>
  <c r="GK17" i="3" s="1"/>
  <c r="GJ16" i="3" a="1"/>
  <c r="GJ16" i="3" s="1"/>
  <c r="GI17" i="3" a="1"/>
  <c r="GI17" i="3" s="1"/>
  <c r="GJ18" i="3" a="1"/>
  <c r="GJ18" i="3" s="1"/>
  <c r="GI18" i="3" a="1"/>
  <c r="GI18" i="3" s="1"/>
  <c r="GL17" i="3" a="1"/>
  <c r="GL17" i="3" s="1"/>
  <c r="GL16" i="3" a="1"/>
  <c r="GL16" i="3" s="1"/>
  <c r="GJ13" i="3" a="1"/>
  <c r="GJ13" i="3" s="1"/>
  <c r="GK16" i="3" a="1"/>
  <c r="GK16" i="3" s="1"/>
  <c r="GK13" i="3" a="1"/>
  <c r="GK13" i="3" s="1"/>
  <c r="GK12" i="3" a="1"/>
  <c r="GK12" i="3" s="1"/>
  <c r="GO12" i="3" a="1"/>
  <c r="GO12" i="3" s="1"/>
  <c r="GN18" i="3" a="1"/>
  <c r="GN18" i="3" s="1"/>
  <c r="GJ17" i="3" a="1"/>
  <c r="GJ17" i="3" s="1"/>
  <c r="GN16" i="3" a="1"/>
  <c r="GN16" i="3" s="1"/>
  <c r="GM12" i="3" a="1"/>
  <c r="GM12" i="3" s="1"/>
  <c r="GM13" i="3" a="1"/>
  <c r="GM13" i="3" s="1"/>
  <c r="GL18" i="3" a="1"/>
  <c r="GL18" i="3" s="1"/>
  <c r="GK18" i="3" a="1"/>
  <c r="GK18" i="3" s="1"/>
  <c r="GM18" i="3" a="1"/>
  <c r="GM18" i="3" s="1"/>
  <c r="GJ12" i="3" a="1"/>
  <c r="GJ12" i="3" s="1"/>
  <c r="GM17" i="3" a="1"/>
  <c r="GM17" i="3" s="1"/>
  <c r="GP16" i="3" a="1"/>
  <c r="GP16" i="3" s="1"/>
  <c r="GN13" i="3" a="1"/>
  <c r="GN13" i="3" s="1"/>
  <c r="GM16" i="3" a="1"/>
  <c r="GM16" i="3" s="1"/>
  <c r="GN17" i="3" a="1"/>
  <c r="GN17" i="3" s="1"/>
  <c r="GN12" i="3" a="1"/>
  <c r="GN12" i="3" s="1"/>
  <c r="GO18" i="3" a="1"/>
  <c r="GO18" i="3" s="1"/>
  <c r="GO13" i="3" a="1"/>
  <c r="GO13" i="3" s="1"/>
  <c r="GP18" i="3" a="1"/>
  <c r="GP18" i="3" s="1"/>
  <c r="GP17" i="3" a="1"/>
  <c r="GP17" i="3" s="1"/>
  <c r="GO17" i="3" a="1"/>
  <c r="GO17" i="3" s="1"/>
  <c r="GO16" i="3" a="1"/>
  <c r="GO16" i="3" s="1"/>
  <c r="GQ12" i="3" a="1"/>
  <c r="GQ12" i="3" s="1"/>
  <c r="GQ17" i="3" a="1"/>
  <c r="GQ17" i="3" s="1"/>
  <c r="GQ13" i="3" a="1"/>
  <c r="GQ13" i="3" s="1"/>
  <c r="GT12" i="3" a="1"/>
  <c r="GT12" i="3" s="1"/>
  <c r="GQ16" i="3" a="1"/>
  <c r="GQ16" i="3" s="1"/>
  <c r="GP13" i="3" a="1"/>
  <c r="GP13" i="3" s="1"/>
  <c r="GT16" i="3" a="1"/>
  <c r="GT16" i="3" s="1"/>
  <c r="GQ18" i="3" a="1"/>
  <c r="GQ18" i="3" s="1"/>
  <c r="GP12" i="3" a="1"/>
  <c r="GP12" i="3" s="1"/>
  <c r="GR12" i="3" a="1"/>
  <c r="GR12" i="3" s="1"/>
  <c r="GR17" i="3" a="1"/>
  <c r="GR17" i="3" s="1"/>
  <c r="GR18" i="3" a="1"/>
  <c r="GR18" i="3" s="1"/>
  <c r="GR13" i="3" a="1"/>
  <c r="GR13" i="3" s="1"/>
  <c r="GS17" i="3" a="1"/>
  <c r="GS17" i="3" s="1"/>
  <c r="GR16" i="3" a="1"/>
  <c r="GR16" i="3" s="1"/>
  <c r="GT18" i="3" a="1"/>
  <c r="GT18" i="3" s="1"/>
  <c r="GT17" i="3" a="1"/>
  <c r="GT17" i="3" s="1"/>
  <c r="GS16" i="3" a="1"/>
  <c r="GS16" i="3" s="1"/>
  <c r="GS12" i="3" a="1"/>
  <c r="GS12" i="3" s="1"/>
  <c r="GS13" i="3" a="1"/>
  <c r="GS13" i="3" s="1"/>
  <c r="GU18" i="3" a="1"/>
  <c r="GU18" i="3" s="1"/>
  <c r="GU12" i="3" a="1"/>
  <c r="GU12" i="3" s="1"/>
  <c r="GX12" i="3" a="1"/>
  <c r="GX12" i="3" s="1"/>
  <c r="GT13" i="3" a="1"/>
  <c r="GT13" i="3" s="1"/>
  <c r="GS18" i="3" a="1"/>
  <c r="GS18" i="3" s="1"/>
  <c r="GW18" i="3" a="1"/>
  <c r="GW18" i="3" s="1"/>
  <c r="GW17" i="3" a="1"/>
  <c r="GW17" i="3" s="1"/>
  <c r="GX18" i="3" a="1"/>
  <c r="GX18" i="3" s="1"/>
  <c r="GX17" i="3" a="1"/>
  <c r="GX17" i="3" s="1"/>
  <c r="GX16" i="3" a="1"/>
  <c r="GX16" i="3" s="1"/>
  <c r="GU13" i="3" a="1"/>
  <c r="GU13" i="3" s="1"/>
  <c r="GV12" i="3" a="1"/>
  <c r="GV12" i="3" s="1"/>
  <c r="GV17" i="3" a="1"/>
  <c r="GV17" i="3" s="1"/>
  <c r="GU16" i="3" a="1"/>
  <c r="GU16" i="3" s="1"/>
  <c r="GU17" i="3" a="1"/>
  <c r="GU17" i="3" s="1"/>
  <c r="GV18" i="3" a="1"/>
  <c r="GV18" i="3" s="1"/>
  <c r="GW13" i="3" a="1"/>
  <c r="GW13" i="3" s="1"/>
  <c r="GY18" i="3" a="1"/>
  <c r="GY18" i="3" s="1"/>
  <c r="GX13" i="3" a="1"/>
  <c r="GX13" i="3" s="1"/>
  <c r="GY17" i="3" a="1"/>
  <c r="GY17" i="3" s="1"/>
  <c r="GV16" i="3" a="1"/>
  <c r="GV16" i="3" s="1"/>
  <c r="GZ18" i="3" a="1"/>
  <c r="GZ18" i="3" s="1"/>
  <c r="GV13" i="3" a="1"/>
  <c r="GV13" i="3" s="1"/>
  <c r="GY13" i="3" a="1"/>
  <c r="GY13" i="3" s="1"/>
  <c r="GY12" i="3" a="1"/>
  <c r="GY12" i="3" s="1"/>
  <c r="GZ17" i="3" a="1"/>
  <c r="GZ17" i="3" s="1"/>
  <c r="GW16" i="3" a="1"/>
  <c r="GW16" i="3" s="1"/>
  <c r="GY16" i="3" a="1"/>
  <c r="GY16" i="3" s="1"/>
  <c r="GW12" i="3" a="1"/>
  <c r="GW12" i="3" s="1"/>
  <c r="GZ13" i="3" a="1"/>
  <c r="GZ13" i="3" s="1"/>
  <c r="HB13" i="3" a="1"/>
  <c r="HB13" i="3" s="1"/>
  <c r="GZ12" i="3" a="1"/>
  <c r="GZ12" i="3" s="1"/>
  <c r="HA13" i="3" a="1"/>
  <c r="HA13" i="3" s="1"/>
  <c r="HB12" i="3" a="1"/>
  <c r="HB12" i="3" s="1"/>
  <c r="HA18" i="3" a="1"/>
  <c r="HA18" i="3" s="1"/>
  <c r="HB18" i="3" a="1"/>
  <c r="HB18" i="3" s="1"/>
  <c r="GZ16" i="3" a="1"/>
  <c r="GZ16" i="3" s="1"/>
  <c r="HC17" i="3" a="1"/>
  <c r="HC17" i="3" s="1"/>
  <c r="HB17" i="3" a="1"/>
  <c r="HB17" i="3" s="1"/>
  <c r="HA16" i="3" a="1"/>
  <c r="HA16" i="3" s="1"/>
  <c r="HA17" i="3" a="1"/>
  <c r="HA17" i="3" s="1"/>
  <c r="HA12" i="3" a="1"/>
  <c r="HA12" i="3" s="1"/>
  <c r="HB16" i="3" a="1"/>
  <c r="HB16" i="3" s="1"/>
  <c r="HC18" i="3" a="1"/>
  <c r="HC18" i="3" s="1"/>
  <c r="HC16" i="3" a="1"/>
  <c r="HC16" i="3" s="1"/>
  <c r="HE18" i="3" a="1"/>
  <c r="HE18" i="3" s="1"/>
  <c r="HE16" i="3" a="1"/>
  <c r="HE16" i="3" s="1"/>
  <c r="HE17" i="3" a="1"/>
  <c r="HE17" i="3" s="1"/>
  <c r="HC13" i="3" a="1"/>
  <c r="HC13" i="3" s="1"/>
  <c r="HC12" i="3" a="1"/>
  <c r="HC12" i="3" s="1"/>
  <c r="HD12" i="3" a="1"/>
  <c r="HD12" i="3" s="1"/>
  <c r="HD16" i="3" a="1"/>
  <c r="HD16" i="3" s="1"/>
  <c r="HD18" i="3" a="1"/>
  <c r="HD18" i="3" s="1"/>
  <c r="HD13" i="3" a="1"/>
  <c r="HD13" i="3" s="1"/>
  <c r="HF18" i="3" a="1"/>
  <c r="HF18" i="3" s="1"/>
  <c r="HE12" i="3" a="1"/>
  <c r="HE12" i="3" s="1"/>
  <c r="HH13" i="3" a="1"/>
  <c r="HH13" i="3" s="1"/>
  <c r="HD17" i="3" a="1"/>
  <c r="HD17" i="3" s="1"/>
  <c r="HF16" i="3" a="1"/>
  <c r="HF16" i="3" s="1"/>
  <c r="HE13" i="3" a="1"/>
  <c r="HE13" i="3" s="1"/>
  <c r="HF12" i="3" a="1"/>
  <c r="HF12" i="3" s="1"/>
  <c r="HF13" i="3" a="1"/>
  <c r="HF13" i="3" s="1"/>
  <c r="HG17" i="3" a="1"/>
  <c r="HG17" i="3" s="1"/>
  <c r="HG13" i="3" a="1"/>
  <c r="HG13" i="3" s="1"/>
  <c r="HG18" i="3" a="1"/>
  <c r="HG18" i="3" s="1"/>
  <c r="HG16" i="3" a="1"/>
  <c r="HG16" i="3" s="1"/>
  <c r="HF17" i="3" a="1"/>
  <c r="HF17" i="3" s="1"/>
  <c r="HG12" i="3" a="1"/>
  <c r="HG12" i="3" s="1"/>
  <c r="HI13" i="3" a="1"/>
  <c r="HI13" i="3" s="1"/>
  <c r="HI12" i="3" a="1"/>
  <c r="HI12" i="3" s="1"/>
  <c r="HH12" i="3" a="1"/>
  <c r="HH12" i="3" s="1"/>
  <c r="HH16" i="3" a="1"/>
  <c r="HH16" i="3" s="1"/>
  <c r="HH17" i="3" a="1"/>
  <c r="HH17" i="3" s="1"/>
  <c r="HH18" i="3" a="1"/>
  <c r="HH18" i="3" s="1"/>
  <c r="HK18" i="3" a="1"/>
  <c r="HK18" i="3" s="1"/>
  <c r="HI18" i="3" a="1"/>
  <c r="HI18" i="3" s="1"/>
  <c r="HK16" i="3" a="1"/>
  <c r="HK16" i="3" s="1"/>
  <c r="HJ16" i="3" a="1"/>
  <c r="HJ16" i="3" s="1"/>
  <c r="HI16" i="3" a="1"/>
  <c r="HI16" i="3" s="1"/>
  <c r="HJ18" i="3" a="1"/>
  <c r="HJ18" i="3" s="1"/>
  <c r="HJ17" i="3" a="1"/>
  <c r="HJ17" i="3" s="1"/>
  <c r="HI17" i="3" a="1"/>
  <c r="HI17" i="3" s="1"/>
  <c r="HL18" i="3" a="1"/>
  <c r="HL18" i="3" s="1"/>
  <c r="HJ13" i="3" a="1"/>
  <c r="HJ13" i="3" s="1"/>
  <c r="HK17" i="3" a="1"/>
  <c r="HK17" i="3" s="1"/>
  <c r="HJ12" i="3" a="1"/>
  <c r="HJ12" i="3" s="1"/>
  <c r="HL16" i="3" a="1"/>
  <c r="HL16" i="3" s="1"/>
  <c r="HM13" i="3" a="1"/>
  <c r="HM13" i="3" s="1"/>
  <c r="HK13" i="3" a="1"/>
  <c r="HK13" i="3" s="1"/>
  <c r="HM16" i="3" a="1"/>
  <c r="HM16" i="3" s="1"/>
  <c r="HM18" i="3" a="1"/>
  <c r="HM18" i="3" s="1"/>
  <c r="HM12" i="3" a="1"/>
  <c r="HM12" i="3" s="1"/>
  <c r="HM17" i="3" a="1"/>
  <c r="HM17" i="3" s="1"/>
  <c r="HK12" i="3" a="1"/>
  <c r="HK12" i="3" s="1"/>
  <c r="HL12" i="3" a="1"/>
  <c r="HL12" i="3" s="1"/>
  <c r="HN13" i="3" a="1"/>
  <c r="HN13" i="3" s="1"/>
  <c r="HO13" i="3" a="1"/>
  <c r="HO13" i="3" s="1"/>
  <c r="HL13" i="3" a="1"/>
  <c r="HL13" i="3" s="1"/>
  <c r="HL17" i="3" a="1"/>
  <c r="HL17" i="3" s="1"/>
  <c r="HN12" i="3" a="1"/>
  <c r="HN12" i="3" s="1"/>
  <c r="HN18" i="3" a="1"/>
  <c r="HN18" i="3" s="1"/>
  <c r="HO18" i="3" a="1"/>
  <c r="HO18" i="3" s="1"/>
  <c r="HO17" i="3" a="1"/>
  <c r="HO17" i="3" s="1"/>
  <c r="HO16" i="3" a="1"/>
  <c r="HO16" i="3" s="1"/>
  <c r="HP13" i="3" a="1"/>
  <c r="HP13" i="3" s="1"/>
  <c r="HQ18" i="3" a="1"/>
  <c r="HQ18" i="3" s="1"/>
  <c r="HO12" i="3" a="1"/>
  <c r="HO12" i="3" s="1"/>
  <c r="HR13" i="3" a="1"/>
  <c r="HR13" i="3" s="1"/>
  <c r="HN17" i="3" a="1"/>
  <c r="HN17" i="3" s="1"/>
  <c r="HN16" i="3" a="1"/>
  <c r="HN16" i="3" s="1"/>
  <c r="HP17" i="3" a="1"/>
  <c r="HP17" i="3" s="1"/>
  <c r="HQ16" i="3" a="1"/>
  <c r="HQ16" i="3" s="1"/>
  <c r="HP16" i="3" a="1"/>
  <c r="HP16" i="3" s="1"/>
  <c r="HQ12" i="3" a="1"/>
  <c r="HQ12" i="3" s="1"/>
  <c r="HQ13" i="3" a="1"/>
  <c r="HQ13" i="3" s="1"/>
  <c r="HP18" i="3" a="1"/>
  <c r="HP18" i="3" s="1"/>
  <c r="HR16" i="3" a="1"/>
  <c r="HR16" i="3" s="1"/>
  <c r="HP12" i="3" a="1"/>
  <c r="HP12" i="3" s="1"/>
  <c r="HR12" i="3" a="1"/>
  <c r="HR12" i="3" s="1"/>
  <c r="HQ17" i="3" a="1"/>
  <c r="HQ17" i="3" s="1"/>
  <c r="HR17" i="3" a="1"/>
  <c r="HR17" i="3" s="1"/>
  <c r="HU16" i="3" a="1"/>
  <c r="HU16" i="3" s="1"/>
  <c r="HS17" i="3" a="1"/>
  <c r="HS17" i="3" s="1"/>
  <c r="HR18" i="3" a="1"/>
  <c r="HR18" i="3" s="1"/>
  <c r="HS16" i="3" a="1"/>
  <c r="HS16" i="3" s="1"/>
  <c r="HS13" i="3" a="1"/>
  <c r="HS13" i="3" s="1"/>
  <c r="HS12" i="3" a="1"/>
  <c r="HS12" i="3" s="1"/>
  <c r="HS18" i="3" a="1"/>
  <c r="HS18" i="3" s="1"/>
  <c r="HT12" i="3" a="1"/>
  <c r="HT12" i="3" s="1"/>
  <c r="HU18" i="3" a="1"/>
  <c r="HU18" i="3" s="1"/>
  <c r="HT18" i="3" a="1"/>
  <c r="HT18" i="3" s="1"/>
  <c r="HT17" i="3" a="1"/>
  <c r="HT17" i="3" s="1"/>
  <c r="HT16" i="3" a="1"/>
  <c r="HT16" i="3" s="1"/>
  <c r="HU17" i="3" a="1"/>
  <c r="HU17" i="3" s="1"/>
  <c r="HT13" i="3" a="1"/>
  <c r="HT13" i="3" s="1"/>
  <c r="HX13" i="3" a="1"/>
  <c r="HX13" i="3" s="1"/>
  <c r="HV12" i="3" a="1"/>
  <c r="HV12" i="3" s="1"/>
  <c r="HV16" i="3" a="1"/>
  <c r="HV16" i="3" s="1"/>
  <c r="HW18" i="3" a="1"/>
  <c r="HW18" i="3" s="1"/>
  <c r="HU12" i="3" a="1"/>
  <c r="HU12" i="3" s="1"/>
  <c r="HX16" i="3" a="1"/>
  <c r="HX16" i="3" s="1"/>
  <c r="HU13" i="3" a="1"/>
  <c r="HU13" i="3" s="1"/>
  <c r="HV13" i="3" a="1"/>
  <c r="HV13" i="3" s="1"/>
  <c r="HW16" i="3" a="1"/>
  <c r="HW16" i="3" s="1"/>
  <c r="HV17" i="3" a="1"/>
  <c r="HV17" i="3" s="1"/>
  <c r="HY13" i="3" a="1"/>
  <c r="HY13" i="3" s="1"/>
  <c r="HX18" i="3" a="1"/>
  <c r="HX18" i="3" s="1"/>
  <c r="HW13" i="3" a="1"/>
  <c r="HW13" i="3" s="1"/>
  <c r="HV18" i="3" a="1"/>
  <c r="HV18" i="3" s="1"/>
  <c r="HW17" i="3" a="1"/>
  <c r="HW17" i="3" s="1"/>
  <c r="HZ13" i="3" a="1"/>
  <c r="HZ13" i="3" s="1"/>
  <c r="HX17" i="3" a="1"/>
  <c r="HX17" i="3" s="1"/>
  <c r="HY18" i="3" a="1"/>
  <c r="HY18" i="3" s="1"/>
  <c r="HY16" i="3" a="1"/>
  <c r="HY16" i="3" s="1"/>
  <c r="HW12" i="3" a="1"/>
  <c r="HW12" i="3" s="1"/>
  <c r="IA13" i="3" a="1"/>
  <c r="IA13" i="3" s="1"/>
  <c r="HY12" i="3" a="1"/>
  <c r="HY12" i="3" s="1"/>
  <c r="HX12" i="3" a="1"/>
  <c r="HX12" i="3" s="1"/>
  <c r="HZ12" i="3" a="1"/>
  <c r="HZ12" i="3" s="1"/>
  <c r="HZ17" i="3" a="1"/>
  <c r="HZ17" i="3" s="1"/>
  <c r="HY17" i="3" a="1"/>
  <c r="HY17" i="3" s="1"/>
  <c r="HZ16" i="3" a="1"/>
  <c r="HZ16" i="3" s="1"/>
  <c r="HZ18" i="3" a="1"/>
  <c r="HZ18" i="3" s="1"/>
  <c r="IC12" i="3" a="1"/>
  <c r="IC12" i="3" s="1"/>
  <c r="IA18" i="3" a="1"/>
  <c r="IA18" i="3" s="1"/>
  <c r="IB16" i="3" a="1"/>
  <c r="IB16" i="3" s="1"/>
  <c r="IB17" i="3" a="1"/>
  <c r="IB17" i="3" s="1"/>
  <c r="IC17" i="3" a="1"/>
  <c r="IC17" i="3" s="1"/>
  <c r="IB12" i="3" a="1"/>
  <c r="IB12" i="3" s="1"/>
  <c r="IA16" i="3" a="1"/>
  <c r="IA16" i="3" s="1"/>
  <c r="IB18" i="3" a="1"/>
  <c r="IB18" i="3" s="1"/>
  <c r="IC18" i="3" a="1"/>
  <c r="IC18" i="3" s="1"/>
  <c r="IA12" i="3" a="1"/>
  <c r="IA12" i="3" s="1"/>
  <c r="IA17" i="3" a="1"/>
  <c r="IA17" i="3" s="1"/>
  <c r="IE16" i="3" a="1"/>
  <c r="IE16" i="3" s="1"/>
  <c r="IC13" i="3" a="1"/>
  <c r="IC13" i="3" s="1"/>
  <c r="IB13" i="3" a="1"/>
  <c r="IB13" i="3" s="1"/>
  <c r="IE12" i="3" a="1"/>
  <c r="IE12" i="3" s="1"/>
  <c r="IG17" i="3" a="1"/>
  <c r="IG17" i="3" s="1"/>
  <c r="ID18" i="3" a="1"/>
  <c r="ID18" i="3" s="1"/>
  <c r="IC16" i="3" a="1"/>
  <c r="IC16" i="3" s="1"/>
  <c r="IE13" i="3" a="1"/>
  <c r="IE13" i="3" s="1"/>
  <c r="ID12" i="3" a="1"/>
  <c r="ID12" i="3" s="1"/>
  <c r="IE18" i="3" a="1"/>
  <c r="IE18" i="3" s="1"/>
  <c r="IF12" i="3" a="1"/>
  <c r="IF12" i="3" s="1"/>
  <c r="ID17" i="3" a="1"/>
  <c r="ID17" i="3" s="1"/>
  <c r="ID13" i="3" a="1"/>
  <c r="ID13" i="3" s="1"/>
  <c r="IG12" i="3" a="1"/>
  <c r="IG12" i="3" s="1"/>
  <c r="ID16" i="3" a="1"/>
  <c r="ID16" i="3" s="1"/>
  <c r="IE17" i="3" a="1"/>
  <c r="IE17" i="3" s="1"/>
  <c r="IF16" i="3" a="1"/>
  <c r="IF16" i="3" s="1"/>
  <c r="IF17" i="3" a="1"/>
  <c r="IF17" i="3" s="1"/>
  <c r="IH17" i="3" a="1"/>
  <c r="IH17" i="3" s="1"/>
  <c r="IF13" i="3" a="1"/>
  <c r="IF13" i="3" s="1"/>
  <c r="IF18" i="3" a="1"/>
  <c r="IF18" i="3" s="1"/>
  <c r="IG13" i="3" a="1"/>
  <c r="IG13" i="3" s="1"/>
  <c r="IG16" i="3" a="1"/>
  <c r="IG16" i="3" s="1"/>
  <c r="IG18" i="3" a="1"/>
  <c r="IG18" i="3" s="1"/>
  <c r="IH16" i="3" a="1"/>
  <c r="IH16" i="3" s="1"/>
  <c r="IH13" i="3" a="1"/>
  <c r="IH13" i="3" s="1"/>
  <c r="IH18" i="3" a="1"/>
  <c r="IH18" i="3" s="1"/>
  <c r="IH12" i="3" a="1"/>
  <c r="IH12" i="3" s="1"/>
  <c r="II13" i="3" a="1"/>
  <c r="II13" i="3" s="1"/>
  <c r="II16" i="3" a="1"/>
  <c r="II16" i="3" s="1"/>
  <c r="II18" i="3" a="1"/>
  <c r="II18" i="3" s="1"/>
  <c r="II12" i="3" a="1"/>
  <c r="II12" i="3" s="1"/>
  <c r="IJ13" i="3" a="1"/>
  <c r="IJ13" i="3" s="1"/>
  <c r="IJ17" i="3" a="1"/>
  <c r="IJ17" i="3" s="1"/>
  <c r="IK16" i="3" a="1"/>
  <c r="IK16" i="3" s="1"/>
  <c r="II17" i="3" a="1"/>
  <c r="II17" i="3" s="1"/>
  <c r="IK17" i="3" a="1"/>
  <c r="IK17" i="3" s="1"/>
  <c r="IL17" i="3" a="1"/>
  <c r="IL17" i="3" s="1"/>
  <c r="IK18" i="3" a="1"/>
  <c r="IK18" i="3" s="1"/>
  <c r="IK12" i="3" a="1"/>
  <c r="IK12" i="3" s="1"/>
  <c r="IJ12" i="3" a="1"/>
  <c r="IJ12" i="3" s="1"/>
  <c r="IJ16" i="3" a="1"/>
  <c r="IJ16" i="3" s="1"/>
  <c r="IJ18" i="3" a="1"/>
  <c r="IJ18" i="3" s="1"/>
  <c r="IK13" i="3" a="1"/>
  <c r="IK13" i="3" s="1"/>
  <c r="IL18" i="3" a="1"/>
  <c r="IL18" i="3" s="1"/>
  <c r="IL16" i="3" a="1"/>
  <c r="IL16" i="3" s="1"/>
  <c r="IO17" i="3" a="1"/>
  <c r="IO17" i="3" s="1"/>
  <c r="IO16" i="3" a="1"/>
  <c r="IO16" i="3" s="1"/>
  <c r="IL12" i="3" a="1"/>
  <c r="IL12" i="3" s="1"/>
  <c r="IL13" i="3" a="1"/>
  <c r="IL13" i="3" s="1"/>
  <c r="IO13" i="3" a="1"/>
  <c r="IO13" i="3" s="1"/>
  <c r="IM17" i="3" a="1"/>
  <c r="IM17" i="3" s="1"/>
  <c r="IN13" i="3" a="1"/>
  <c r="IN13" i="3" s="1"/>
  <c r="IN17" i="3" a="1"/>
  <c r="IN17" i="3" s="1"/>
  <c r="IM16" i="3" a="1"/>
  <c r="IM16" i="3" s="1"/>
  <c r="IM18" i="3" a="1"/>
  <c r="IM18" i="3" s="1"/>
  <c r="IM13" i="3" a="1"/>
  <c r="IM13" i="3" s="1"/>
  <c r="IM12" i="3" a="1"/>
  <c r="IM12" i="3" s="1"/>
  <c r="IN16" i="3" a="1"/>
  <c r="IN16" i="3" s="1"/>
  <c r="IN18" i="3" a="1"/>
  <c r="IN18" i="3" s="1"/>
  <c r="IO18" i="3" a="1"/>
  <c r="IO18" i="3" s="1"/>
  <c r="IQ18" i="3" a="1"/>
  <c r="IQ18" i="3" s="1"/>
  <c r="IN12" i="3" a="1"/>
  <c r="IN12" i="3" s="1"/>
  <c r="IO12" i="3" a="1"/>
  <c r="IO12" i="3" s="1"/>
  <c r="IQ13" i="3" a="1"/>
  <c r="IQ13" i="3" s="1"/>
  <c r="IP18" i="3" a="1"/>
  <c r="IP18" i="3" s="1"/>
  <c r="IP17" i="3" a="1"/>
  <c r="IP17" i="3" s="1"/>
  <c r="IP16" i="3" a="1"/>
  <c r="IP16" i="3" s="1"/>
  <c r="IR18" i="3" a="1"/>
  <c r="IR18" i="3" s="1"/>
  <c r="IR12" i="3" a="1"/>
  <c r="IR12" i="3" s="1"/>
  <c r="IQ12" i="3" a="1"/>
  <c r="IQ12" i="3" s="1"/>
  <c r="IQ17" i="3" a="1"/>
  <c r="IQ17" i="3" s="1"/>
  <c r="IR13" i="3" a="1"/>
  <c r="IR13" i="3" s="1"/>
  <c r="IQ16" i="3" a="1"/>
  <c r="IQ16" i="3" s="1"/>
  <c r="IR16" i="3" a="1"/>
  <c r="IR16" i="3" s="1"/>
  <c r="IR17" i="3" a="1"/>
  <c r="IR17" i="3" s="1"/>
  <c r="IP12" i="3" a="1"/>
  <c r="IP12" i="3" s="1"/>
  <c r="IS18" i="3" a="1"/>
  <c r="IS18" i="3" s="1"/>
  <c r="IT17" i="3" a="1"/>
  <c r="IT17" i="3" s="1"/>
  <c r="IP13" i="3" a="1"/>
  <c r="IP13" i="3" s="1"/>
  <c r="IT18" i="3" a="1"/>
  <c r="IT18" i="3" s="1"/>
  <c r="IU16" i="3" a="1"/>
  <c r="IU16" i="3" s="1"/>
  <c r="IS17" i="3" a="1"/>
  <c r="IS17" i="3" s="1"/>
  <c r="IS16" i="3" a="1"/>
  <c r="IS16" i="3" s="1"/>
  <c r="IS12" i="3" a="1"/>
  <c r="IS12" i="3" s="1"/>
  <c r="IS13" i="3" a="1"/>
  <c r="IS13" i="3" s="1"/>
  <c r="IT16" i="3" a="1"/>
  <c r="IT16" i="3" s="1"/>
  <c r="IT13" i="3" a="1"/>
  <c r="IT13" i="3" s="1"/>
  <c r="IT12" i="3" a="1"/>
  <c r="IT12" i="3" s="1"/>
  <c r="IU13" i="3" a="1"/>
  <c r="IU13" i="3" s="1"/>
  <c r="IV18" i="3" a="1"/>
  <c r="IV18" i="3" s="1"/>
  <c r="IW13" i="3" a="1"/>
  <c r="IW13" i="3" s="1"/>
  <c r="IU18" i="3" a="1"/>
  <c r="IU18" i="3" s="1"/>
  <c r="IV17" i="3" a="1"/>
  <c r="IV17" i="3" s="1"/>
  <c r="IU17" i="3" a="1"/>
  <c r="IU17" i="3" s="1"/>
  <c r="IW17" i="3" a="1"/>
  <c r="IW17" i="3" s="1"/>
  <c r="IU12" i="3" a="1"/>
  <c r="IU12" i="3" s="1"/>
  <c r="IW16" i="3" a="1"/>
  <c r="IW16" i="3" s="1"/>
  <c r="IW12" i="3" a="1"/>
  <c r="IW12" i="3" s="1"/>
  <c r="IY16" i="3" a="1"/>
  <c r="IY16" i="3" s="1"/>
  <c r="IV13" i="3" a="1"/>
  <c r="IV13" i="3" s="1"/>
  <c r="IV12" i="3" a="1"/>
  <c r="IV12" i="3" s="1"/>
  <c r="IV16" i="3" a="1"/>
  <c r="IV16" i="3" s="1"/>
  <c r="IW18" i="3" a="1"/>
  <c r="IW18" i="3" s="1"/>
  <c r="IX17" i="3" a="1"/>
  <c r="IX17" i="3" s="1"/>
  <c r="IX16" i="3" a="1"/>
  <c r="IX16" i="3" s="1"/>
  <c r="IZ18" i="3" a="1"/>
  <c r="IZ18" i="3" s="1"/>
  <c r="IY17" i="3" a="1"/>
  <c r="IY17" i="3" s="1"/>
  <c r="IX18" i="3" a="1"/>
  <c r="IX18" i="3" s="1"/>
  <c r="IY18" i="3" a="1"/>
  <c r="IY18" i="3" s="1"/>
  <c r="IX12" i="3" a="1"/>
  <c r="IX12" i="3" s="1"/>
  <c r="IX13" i="3" a="1"/>
  <c r="IX13" i="3" s="1"/>
  <c r="JB18" i="3" a="1"/>
  <c r="JB18" i="3" s="1"/>
  <c r="IY13" i="3" a="1"/>
  <c r="IY13" i="3" s="1"/>
  <c r="JA18" i="3" a="1"/>
  <c r="JA18" i="3" s="1"/>
  <c r="IY12" i="3" a="1"/>
  <c r="IY12" i="3" s="1"/>
  <c r="IZ13" i="3" a="1"/>
  <c r="IZ13" i="3" s="1"/>
  <c r="JC13" i="3" a="1"/>
  <c r="JC13" i="3" s="1"/>
  <c r="JB16" i="3" a="1"/>
  <c r="JB16" i="3" s="1"/>
  <c r="JC16" i="3" a="1"/>
  <c r="JC16" i="3" s="1"/>
  <c r="JA12" i="3" a="1"/>
  <c r="JA12" i="3" s="1"/>
  <c r="IZ16" i="3" a="1"/>
  <c r="IZ16" i="3" s="1"/>
  <c r="JA16" i="3" a="1"/>
  <c r="JA16" i="3" s="1"/>
  <c r="IZ17" i="3" a="1"/>
  <c r="IZ17" i="3" s="1"/>
  <c r="JC12" i="3" a="1"/>
  <c r="JC12" i="3" s="1"/>
  <c r="IZ12" i="3" a="1"/>
  <c r="IZ12" i="3" s="1"/>
  <c r="JA13" i="3" a="1"/>
  <c r="JA13" i="3" s="1"/>
  <c r="JA17" i="3" a="1"/>
  <c r="JA17" i="3" s="1"/>
  <c r="JC17" i="3" a="1"/>
  <c r="JC17" i="3" s="1"/>
  <c r="JB13" i="3" a="1"/>
  <c r="JB13" i="3" s="1"/>
  <c r="JD12" i="3" a="1"/>
  <c r="JD12" i="3" s="1"/>
  <c r="JD17" i="3" a="1"/>
  <c r="JD17" i="3" s="1"/>
  <c r="JB17" i="3" a="1"/>
  <c r="JB17" i="3" s="1"/>
  <c r="JE18" i="3" a="1"/>
  <c r="JE18" i="3" s="1"/>
  <c r="JC18" i="3" a="1"/>
  <c r="JC18" i="3" s="1"/>
  <c r="JB12" i="3" a="1"/>
  <c r="JB12" i="3" s="1"/>
  <c r="JG18" i="3" a="1"/>
  <c r="JG18" i="3" s="1"/>
  <c r="JE17" i="3" a="1"/>
  <c r="JE17" i="3" s="1"/>
  <c r="JG13" i="3" a="1"/>
  <c r="JG13" i="3" s="1"/>
  <c r="JD13" i="3" a="1"/>
  <c r="JD13" i="3" s="1"/>
  <c r="JE12" i="3" a="1"/>
  <c r="JE12" i="3" s="1"/>
  <c r="JF12" i="3" a="1"/>
  <c r="JF12" i="3" s="1"/>
  <c r="JE16" i="3" a="1"/>
  <c r="JE16" i="3" s="1"/>
  <c r="JD18" i="3" a="1"/>
  <c r="JD18" i="3" s="1"/>
  <c r="JD16" i="3" a="1"/>
  <c r="JD16" i="3" s="1"/>
  <c r="JE13" i="3" a="1"/>
  <c r="JE13" i="3" s="1"/>
  <c r="JF17" i="3" a="1"/>
  <c r="JF17" i="3" s="1"/>
  <c r="JF16" i="3" a="1"/>
  <c r="JF16" i="3" s="1"/>
  <c r="JF13" i="3" a="1"/>
  <c r="JF13" i="3" s="1"/>
  <c r="JF18" i="3" a="1"/>
  <c r="JF18" i="3" s="1"/>
  <c r="JG16" i="3" a="1"/>
  <c r="JG16" i="3" s="1"/>
  <c r="JG17" i="3" a="1"/>
  <c r="JG17" i="3" s="1"/>
  <c r="JG12" i="3" a="1"/>
  <c r="JG12" i="3" s="1"/>
  <c r="JH13" i="3" a="1"/>
  <c r="JH13" i="3" s="1"/>
  <c r="JH18" i="3" a="1"/>
  <c r="JH18" i="3" s="1"/>
  <c r="JH17" i="3" a="1"/>
  <c r="JH17" i="3" s="1"/>
  <c r="JI16" i="3" a="1"/>
  <c r="JI16" i="3" s="1"/>
  <c r="JI17" i="3" a="1"/>
  <c r="JI17" i="3" s="1"/>
  <c r="JI18" i="3" a="1"/>
  <c r="JI18" i="3" s="1"/>
  <c r="JJ12" i="3" a="1"/>
  <c r="JJ12" i="3" s="1"/>
  <c r="JH12" i="3" a="1"/>
  <c r="JH12" i="3" s="1"/>
  <c r="JK12" i="3" a="1"/>
  <c r="JK12" i="3" s="1"/>
  <c r="JH16" i="3" a="1"/>
  <c r="JH16" i="3" s="1"/>
  <c r="JL12" i="3" a="1"/>
  <c r="JL12" i="3" s="1"/>
  <c r="JJ17" i="3" a="1"/>
  <c r="JJ17" i="3" s="1"/>
  <c r="JJ18" i="3" a="1"/>
  <c r="JJ18" i="3" s="1"/>
  <c r="JJ16" i="3" a="1"/>
  <c r="JJ16" i="3" s="1"/>
  <c r="JI13" i="3" a="1"/>
  <c r="JI13" i="3" s="1"/>
  <c r="JI12" i="3" a="1"/>
  <c r="JI12" i="3" s="1"/>
  <c r="JL18" i="3" a="1"/>
  <c r="JL18" i="3" s="1"/>
  <c r="JL16" i="3" a="1"/>
  <c r="JL16" i="3" s="1"/>
  <c r="JL17" i="3" a="1"/>
  <c r="JL17" i="3" s="1"/>
  <c r="JK18" i="3" a="1"/>
  <c r="JK18" i="3" s="1"/>
  <c r="JM18" i="3" a="1"/>
  <c r="JM18" i="3" s="1"/>
  <c r="JJ13" i="3" a="1"/>
  <c r="JJ13" i="3" s="1"/>
  <c r="JK16" i="3" a="1"/>
  <c r="JK16" i="3" s="1"/>
  <c r="JK17" i="3" a="1"/>
  <c r="JK17" i="3" s="1"/>
  <c r="JL13" i="3" a="1"/>
  <c r="JL13" i="3" s="1"/>
  <c r="JK13" i="3" a="1"/>
  <c r="JK13" i="3" s="1"/>
  <c r="JM17" i="3" a="1"/>
  <c r="JM17" i="3" s="1"/>
  <c r="JP16" i="3" a="1"/>
  <c r="JP16" i="3" s="1"/>
  <c r="JN13" i="3" a="1"/>
  <c r="JN13" i="3" s="1"/>
  <c r="JM13" i="3" a="1"/>
  <c r="JM13" i="3" s="1"/>
  <c r="JO17" i="3" a="1"/>
  <c r="JO17" i="3" s="1"/>
  <c r="JO13" i="3" a="1"/>
  <c r="JO13" i="3" s="1"/>
  <c r="JO16" i="3" a="1"/>
  <c r="JO16" i="3" s="1"/>
  <c r="JM16" i="3" a="1"/>
  <c r="JM16" i="3" s="1"/>
  <c r="JO18" i="3" a="1"/>
  <c r="JO18" i="3" s="1"/>
  <c r="JM12" i="3" a="1"/>
  <c r="JM12" i="3" s="1"/>
  <c r="JN12" i="3" a="1"/>
  <c r="JN12" i="3" s="1"/>
  <c r="JN16" i="3" a="1"/>
  <c r="JN16" i="3" s="1"/>
  <c r="JN17" i="3" a="1"/>
  <c r="JN17" i="3" s="1"/>
  <c r="JO12" i="3" a="1"/>
  <c r="JO12" i="3" s="1"/>
  <c r="JN18" i="3" a="1"/>
  <c r="JN18" i="3" s="1"/>
  <c r="JP18" i="3" a="1"/>
  <c r="JP18" i="3" s="1"/>
  <c r="JP12" i="3" a="1"/>
  <c r="JP12" i="3" s="1"/>
  <c r="JQ16" i="3" a="1"/>
  <c r="JQ16" i="3" s="1"/>
  <c r="JQ12" i="3" a="1"/>
  <c r="JQ12" i="3" s="1"/>
  <c r="JQ13" i="3" a="1"/>
  <c r="JQ13" i="3" s="1"/>
  <c r="JQ17" i="3" a="1"/>
  <c r="JQ17" i="3" s="1"/>
  <c r="JQ18" i="3" a="1"/>
  <c r="JQ18" i="3" s="1"/>
  <c r="JS12" i="3" a="1"/>
  <c r="JS12" i="3" s="1"/>
  <c r="JT13" i="3" a="1"/>
  <c r="JT13" i="3" s="1"/>
  <c r="JP13" i="3" a="1"/>
  <c r="JP13" i="3" s="1"/>
  <c r="JP17" i="3" a="1"/>
  <c r="JP17" i="3" s="1"/>
  <c r="JR18" i="3" a="1"/>
  <c r="JR18" i="3" s="1"/>
  <c r="JR12" i="3" a="1"/>
  <c r="JR12" i="3" s="1"/>
  <c r="JR16" i="3" a="1"/>
  <c r="JR16" i="3" s="1"/>
  <c r="JT12" i="3" a="1"/>
  <c r="JT12" i="3" s="1"/>
  <c r="JS17" i="3" a="1"/>
  <c r="JS17" i="3" s="1"/>
  <c r="JS16" i="3" a="1"/>
  <c r="JS16" i="3" s="1"/>
  <c r="JT18" i="3" a="1"/>
  <c r="JT18" i="3" s="1"/>
  <c r="JR17" i="3" a="1"/>
  <c r="JR17" i="3" s="1"/>
  <c r="JR13" i="3" a="1"/>
  <c r="JR13" i="3" s="1"/>
  <c r="JT16" i="3" a="1"/>
  <c r="JT16" i="3" s="1"/>
  <c r="JS18" i="3" a="1"/>
  <c r="JS18" i="3" s="1"/>
  <c r="JS13" i="3" a="1"/>
  <c r="JS13" i="3" s="1"/>
  <c r="JT17" i="3" a="1"/>
  <c r="JT17" i="3" s="1"/>
  <c r="JV13" i="3" a="1"/>
  <c r="JV13" i="3" s="1"/>
  <c r="JU18" i="3" a="1"/>
  <c r="JU18" i="3" s="1"/>
  <c r="JU16" i="3" a="1"/>
  <c r="JU16" i="3" s="1"/>
  <c r="JX17" i="3" a="1"/>
  <c r="JX17" i="3" s="1"/>
  <c r="JV12" i="3" a="1"/>
  <c r="JV12" i="3" s="1"/>
  <c r="JU13" i="3" a="1"/>
  <c r="JU13" i="3" s="1"/>
  <c r="JV17" i="3" a="1"/>
  <c r="JV17" i="3" s="1"/>
  <c r="JU17" i="3" a="1"/>
  <c r="JU17" i="3" s="1"/>
  <c r="JU12" i="3" a="1"/>
  <c r="JU12" i="3" s="1"/>
  <c r="JX18" i="3" a="1"/>
  <c r="JX18" i="3" s="1"/>
  <c r="JV18" i="3" a="1"/>
  <c r="JV18" i="3" s="1"/>
  <c r="JV16" i="3" a="1"/>
  <c r="JV16" i="3" s="1"/>
  <c r="JY18" i="3" a="1"/>
  <c r="JY18" i="3" s="1"/>
  <c r="JW18" i="3" a="1"/>
  <c r="JW18" i="3" s="1"/>
  <c r="JW13" i="3" a="1"/>
  <c r="JW13" i="3" s="1"/>
  <c r="JX16" i="3" a="1"/>
  <c r="JX16" i="3" s="1"/>
  <c r="JX13" i="3" a="1"/>
  <c r="JX13" i="3" s="1"/>
  <c r="JX12" i="3" a="1"/>
  <c r="JX12" i="3" s="1"/>
  <c r="JW16" i="3" a="1"/>
  <c r="JW16" i="3" s="1"/>
  <c r="JW12" i="3" a="1"/>
  <c r="JW12" i="3" s="1"/>
  <c r="JW17" i="3" a="1"/>
  <c r="JW17" i="3" s="1"/>
  <c r="JY17" i="3" a="1"/>
  <c r="JY17" i="3" s="1"/>
  <c r="JZ18" i="3" a="1"/>
  <c r="JZ18" i="3" s="1"/>
  <c r="JY12" i="3" a="1"/>
  <c r="JY12" i="3" s="1"/>
  <c r="JY13" i="3" a="1"/>
  <c r="JY13" i="3" s="1"/>
  <c r="JY16" i="3" a="1"/>
  <c r="JY16" i="3" s="1"/>
  <c r="JZ12" i="3" a="1"/>
  <c r="JZ12" i="3" s="1"/>
  <c r="KA16" i="3" a="1"/>
  <c r="KA16" i="3" s="1"/>
  <c r="JZ16" i="3" a="1"/>
  <c r="JZ16" i="3" s="1"/>
  <c r="KA12" i="3" a="1"/>
  <c r="KA12" i="3" s="1"/>
  <c r="JZ17" i="3" a="1"/>
  <c r="JZ17" i="3" s="1"/>
  <c r="JZ13" i="3" a="1"/>
  <c r="JZ13" i="3" s="1"/>
  <c r="KA13" i="3" a="1"/>
  <c r="KA13" i="3" s="1"/>
  <c r="KA18" i="3" a="1"/>
  <c r="KA18" i="3" s="1"/>
  <c r="KB13" i="3" a="1"/>
  <c r="KB13" i="3" s="1"/>
  <c r="KB16" i="3" a="1"/>
  <c r="KB16" i="3" s="1"/>
  <c r="KB18" i="3" a="1"/>
  <c r="KB18" i="3" s="1"/>
  <c r="KE16" i="3" a="1"/>
  <c r="KE16" i="3" s="1"/>
  <c r="KE17" i="3" a="1"/>
  <c r="KE17" i="3" s="1"/>
  <c r="KC12" i="3" a="1"/>
  <c r="KC12" i="3" s="1"/>
  <c r="KC18" i="3" a="1"/>
  <c r="KC18" i="3" s="1"/>
  <c r="KB17" i="3" a="1"/>
  <c r="KB17" i="3" s="1"/>
  <c r="KB12" i="3" a="1"/>
  <c r="KB12" i="3" s="1"/>
  <c r="KA17" i="3" a="1"/>
  <c r="KA17" i="3" s="1"/>
  <c r="KC13" i="3" a="1"/>
  <c r="KC13" i="3" s="1"/>
  <c r="KD16" i="3" a="1"/>
  <c r="KD16" i="3" s="1"/>
  <c r="KC16" i="3" a="1"/>
  <c r="KC16" i="3" s="1"/>
  <c r="KC17" i="3" a="1"/>
  <c r="KC17" i="3" s="1"/>
  <c r="KE12" i="3" a="1"/>
  <c r="KE12" i="3" s="1"/>
  <c r="KE13" i="3" a="1"/>
  <c r="KE13" i="3" s="1"/>
  <c r="KE18" i="3" a="1"/>
  <c r="KE18" i="3" s="1"/>
  <c r="KD18" i="3" a="1"/>
  <c r="KD18" i="3" s="1"/>
  <c r="KD17" i="3" a="1"/>
  <c r="KD17" i="3" s="1"/>
  <c r="KG18" i="3" a="1"/>
  <c r="KG18" i="3" s="1"/>
  <c r="KD13" i="3" a="1"/>
  <c r="KD13" i="3" s="1"/>
  <c r="KF18" i="3" a="1"/>
  <c r="KF18" i="3" s="1"/>
  <c r="KG13" i="3" a="1"/>
  <c r="KG13" i="3" s="1"/>
  <c r="KD12" i="3" a="1"/>
  <c r="KD12" i="3" s="1"/>
  <c r="KG12" i="3" a="1"/>
  <c r="KG12" i="3" s="1"/>
  <c r="KF13" i="3" a="1"/>
  <c r="KF13" i="3" s="1"/>
  <c r="KF12" i="3" a="1"/>
  <c r="KF12" i="3" s="1"/>
  <c r="KF16" i="3" a="1"/>
  <c r="KF16" i="3" s="1"/>
  <c r="KH17" i="3" a="1"/>
  <c r="KH17" i="3" s="1"/>
  <c r="KF17" i="3" a="1"/>
  <c r="KF17" i="3" s="1"/>
  <c r="KG17" i="3" a="1"/>
  <c r="KG17" i="3" s="1"/>
  <c r="KG16" i="3" a="1"/>
  <c r="KG16" i="3" s="1"/>
  <c r="KH16" i="3" a="1"/>
  <c r="KH16" i="3" s="1"/>
  <c r="KH12" i="3" a="1"/>
  <c r="KH12" i="3" s="1"/>
  <c r="KH18" i="3" a="1"/>
  <c r="KH18" i="3" s="1"/>
  <c r="KI18" i="3" a="1"/>
  <c r="KI18" i="3" s="1"/>
  <c r="KI12" i="3" a="1"/>
  <c r="KI12" i="3" s="1"/>
  <c r="KK16" i="3" a="1"/>
  <c r="KK16" i="3" s="1"/>
  <c r="KI13" i="3" a="1"/>
  <c r="KI13" i="3" s="1"/>
  <c r="KI16" i="3" a="1"/>
  <c r="KI16" i="3" s="1"/>
  <c r="KJ16" i="3" a="1"/>
  <c r="KJ16" i="3" s="1"/>
  <c r="KH13" i="3" a="1"/>
  <c r="KH13" i="3" s="1"/>
  <c r="KL16" i="3" a="1"/>
  <c r="KL16" i="3" s="1"/>
  <c r="KP12" i="3" a="1"/>
  <c r="KP12" i="3" s="1"/>
  <c r="KP13" i="3" a="1"/>
  <c r="KP13" i="3" s="1"/>
  <c r="KO18" i="3" a="1"/>
  <c r="KO18" i="3" s="1"/>
  <c r="KK13" i="3" a="1"/>
  <c r="KK13" i="3" s="1"/>
  <c r="KK12" i="3" a="1"/>
  <c r="KK12" i="3" s="1"/>
  <c r="KJ17" i="3" a="1"/>
  <c r="KJ17" i="3" s="1"/>
  <c r="KJ18" i="3" a="1"/>
  <c r="KJ18" i="3" s="1"/>
  <c r="KI17" i="3" a="1"/>
  <c r="KI17" i="3" s="1"/>
  <c r="KP17" i="3" a="1"/>
  <c r="KP17" i="3" s="1"/>
  <c r="KJ12" i="3" a="1"/>
  <c r="KJ12" i="3" s="1"/>
  <c r="KN18" i="3" a="1"/>
  <c r="KN18" i="3" s="1"/>
  <c r="KQ18" i="3" a="1"/>
  <c r="KQ18" i="3" s="1"/>
  <c r="KQ16" i="3" a="1"/>
  <c r="KQ16" i="3" s="1"/>
  <c r="KQ17" i="3" a="1"/>
  <c r="KQ17" i="3" s="1"/>
  <c r="KO16" i="3" a="1"/>
  <c r="KO16" i="3" s="1"/>
  <c r="KQ12" i="3" a="1"/>
  <c r="KQ12" i="3" s="1"/>
  <c r="KO12" i="3" a="1"/>
  <c r="KO12" i="3" s="1"/>
  <c r="KQ13" i="3" a="1"/>
  <c r="KQ13" i="3" s="1"/>
  <c r="KO13" i="3" a="1"/>
  <c r="KO13" i="3" s="1"/>
  <c r="KK18" i="3" a="1"/>
  <c r="KK18" i="3" s="1"/>
  <c r="KM18" i="3" a="1"/>
  <c r="KM18" i="3" s="1"/>
  <c r="KL12" i="3" a="1"/>
  <c r="KL12" i="3" s="1"/>
  <c r="KO17" i="3" a="1"/>
  <c r="KO17" i="3" s="1"/>
  <c r="KN17" i="3" a="1"/>
  <c r="KN17" i="3" s="1"/>
  <c r="KL17" i="3" a="1"/>
  <c r="KL17" i="3" s="1"/>
  <c r="KK17" i="3" a="1"/>
  <c r="KK17" i="3" s="1"/>
  <c r="C29" i="10"/>
  <c r="Q11" i="10"/>
  <c r="R11" i="10"/>
  <c r="C26" i="10"/>
  <c r="V11" i="10"/>
  <c r="C30" i="10"/>
  <c r="O11" i="10"/>
  <c r="KL18" i="3" a="1"/>
  <c r="KL18" i="3" s="1"/>
  <c r="KM13" i="3" a="1"/>
  <c r="KM13" i="3" s="1"/>
  <c r="KL13" i="3" a="1"/>
  <c r="KL13" i="3" s="1"/>
  <c r="Y11" i="10"/>
  <c r="C28" i="10"/>
  <c r="KM16" i="3" a="1"/>
  <c r="KM16" i="3" s="1"/>
  <c r="P11" i="10"/>
  <c r="M11" i="10"/>
  <c r="KP18" i="3" a="1"/>
  <c r="KP18" i="3" s="1"/>
  <c r="U11" i="10"/>
  <c r="AE20" i="19" l="1"/>
  <c r="DE20" i="19"/>
  <c r="EM20" i="19"/>
  <c r="EJ20" i="19"/>
  <c r="EY20" i="19"/>
  <c r="EV20" i="19"/>
  <c r="E19" i="3"/>
  <c r="N20" i="19"/>
  <c r="JP20" i="19"/>
  <c r="AF20" i="19"/>
  <c r="E20" i="19"/>
  <c r="DQ20" i="19"/>
  <c r="EG20" i="19"/>
  <c r="ES20" i="19"/>
  <c r="FE20" i="19"/>
  <c r="JG20" i="19"/>
  <c r="KC20" i="19"/>
  <c r="IX20" i="19"/>
  <c r="DT20" i="19"/>
  <c r="G20" i="19"/>
  <c r="BC20" i="19"/>
  <c r="DH20" i="19"/>
  <c r="DO20" i="19"/>
  <c r="EF20" i="19"/>
  <c r="FD20" i="19"/>
  <c r="ER20" i="19"/>
  <c r="AI20" i="19"/>
  <c r="DL20" i="19"/>
  <c r="DF20" i="19"/>
  <c r="DI20" i="19"/>
  <c r="EC20" i="19"/>
  <c r="EO20" i="19"/>
  <c r="FA20" i="19"/>
  <c r="EL20" i="19"/>
  <c r="EX20" i="19"/>
  <c r="II20" i="19"/>
  <c r="J20" i="19"/>
  <c r="AO20" i="19"/>
  <c r="H20" i="19"/>
  <c r="FH20" i="19"/>
  <c r="IR20" i="19"/>
  <c r="FW20" i="19"/>
  <c r="AK20" i="19"/>
  <c r="IF20" i="19"/>
  <c r="DU20" i="19"/>
  <c r="EI20" i="19"/>
  <c r="EU20" i="19"/>
  <c r="HG20" i="19"/>
  <c r="JS20" i="19"/>
  <c r="KO20" i="19"/>
  <c r="GX20" i="19"/>
  <c r="JJ20" i="19"/>
  <c r="GO20" i="19"/>
  <c r="FK20" i="19"/>
  <c r="JA20" i="19"/>
  <c r="AC20" i="19"/>
  <c r="GF20" i="19"/>
  <c r="IO20" i="19"/>
  <c r="HP20" i="19"/>
  <c r="JM20" i="19"/>
  <c r="KI20" i="19"/>
  <c r="HZ20" i="19"/>
  <c r="JD20" i="19"/>
  <c r="O20" i="19"/>
  <c r="DK20" i="19"/>
  <c r="ED20" i="19"/>
  <c r="EP20" i="19"/>
  <c r="FB20" i="19"/>
  <c r="HS20" i="19"/>
  <c r="IU20" i="19"/>
  <c r="JY20" i="19"/>
  <c r="KB20" i="19"/>
  <c r="AW20" i="19"/>
  <c r="DR20" i="19"/>
  <c r="FN20" i="19"/>
  <c r="HT20" i="19"/>
  <c r="IL20" i="19"/>
  <c r="JZ20" i="19"/>
  <c r="AL20" i="19"/>
  <c r="DN20" i="19"/>
  <c r="IC20" i="19"/>
  <c r="FV20" i="19"/>
  <c r="GE20" i="19"/>
  <c r="GN20" i="19"/>
  <c r="GW20" i="19"/>
  <c r="HF20" i="19"/>
  <c r="HO20" i="19"/>
  <c r="HV20" i="19"/>
  <c r="IE20" i="19"/>
  <c r="IN20" i="19"/>
  <c r="IW20" i="19"/>
  <c r="JF20" i="19"/>
  <c r="JO20" i="19"/>
  <c r="AP20" i="19"/>
  <c r="X20" i="19"/>
  <c r="BH20" i="19"/>
  <c r="BQ20" i="19"/>
  <c r="BZ20" i="19"/>
  <c r="CR20" i="19"/>
  <c r="DA20" i="19"/>
  <c r="AU20" i="19"/>
  <c r="FZ20" i="19"/>
  <c r="GI20" i="19"/>
  <c r="GR20" i="19"/>
  <c r="HA20" i="19"/>
  <c r="HJ20" i="19"/>
  <c r="FP20" i="19"/>
  <c r="FY20" i="19"/>
  <c r="GH20" i="19"/>
  <c r="GQ20" i="19"/>
  <c r="GZ20" i="19"/>
  <c r="HI20" i="19"/>
  <c r="FQ20" i="19"/>
  <c r="FL20" i="19"/>
  <c r="FU20" i="19"/>
  <c r="GD20" i="19"/>
  <c r="GM20" i="19"/>
  <c r="GV20" i="19"/>
  <c r="HE20" i="19"/>
  <c r="HN20" i="19"/>
  <c r="HW20" i="19"/>
  <c r="IB20" i="19"/>
  <c r="IK20" i="19"/>
  <c r="IT20" i="19"/>
  <c r="JC20" i="19"/>
  <c r="JL20" i="19"/>
  <c r="JU20" i="19"/>
  <c r="HX20" i="19"/>
  <c r="IG20" i="19"/>
  <c r="IP20" i="19"/>
  <c r="IY20" i="19"/>
  <c r="JH20" i="19"/>
  <c r="JQ20" i="19"/>
  <c r="JW20" i="19"/>
  <c r="KL20" i="19"/>
  <c r="AB20" i="19"/>
  <c r="R20" i="19"/>
  <c r="AY20" i="19"/>
  <c r="BL20" i="19"/>
  <c r="CI20" i="19"/>
  <c r="KH20" i="19"/>
  <c r="KQ20" i="19"/>
  <c r="I20" i="19"/>
  <c r="M20" i="19"/>
  <c r="AJ20" i="19"/>
  <c r="P20" i="19"/>
  <c r="Y20" i="19"/>
  <c r="BI20" i="19"/>
  <c r="CC20" i="19"/>
  <c r="DD20" i="19"/>
  <c r="KD20" i="19"/>
  <c r="KM20" i="19"/>
  <c r="K20" i="19"/>
  <c r="C19" i="19"/>
  <c r="AV20" i="19"/>
  <c r="AD20" i="19"/>
  <c r="W20" i="19"/>
  <c r="BF20" i="19"/>
  <c r="BW20" i="19"/>
  <c r="CX20" i="19"/>
  <c r="BR20" i="19"/>
  <c r="CA20" i="19"/>
  <c r="CJ20" i="19"/>
  <c r="CS20" i="19"/>
  <c r="DB20" i="19"/>
  <c r="FG20" i="19"/>
  <c r="BG20" i="19"/>
  <c r="BP20" i="19"/>
  <c r="BY20" i="19"/>
  <c r="CH20" i="19"/>
  <c r="CQ20" i="19"/>
  <c r="CZ20" i="19"/>
  <c r="DG20" i="19"/>
  <c r="DP20" i="19"/>
  <c r="DX20" i="19"/>
  <c r="EA20" i="19"/>
  <c r="EH20" i="19"/>
  <c r="EQ20" i="19"/>
  <c r="EZ20" i="19"/>
  <c r="FR20" i="19"/>
  <c r="GA20" i="19"/>
  <c r="GJ20" i="19"/>
  <c r="GS20" i="19"/>
  <c r="HB20" i="19"/>
  <c r="HK20" i="19"/>
  <c r="HY20" i="19"/>
  <c r="IH20" i="19"/>
  <c r="IQ20" i="19"/>
  <c r="IZ20" i="19"/>
  <c r="JI20" i="19"/>
  <c r="JR20" i="19"/>
  <c r="HU20" i="19"/>
  <c r="ID20" i="19"/>
  <c r="IM20" i="19"/>
  <c r="IV20" i="19"/>
  <c r="JE20" i="19"/>
  <c r="JN20" i="19"/>
  <c r="U20" i="19"/>
  <c r="KE20" i="19"/>
  <c r="KN20" i="19"/>
  <c r="F20" i="19"/>
  <c r="AM20" i="19"/>
  <c r="AQ20" i="19"/>
  <c r="S20" i="19"/>
  <c r="AZ20" i="19"/>
  <c r="BN20" i="19"/>
  <c r="CL20" i="19"/>
  <c r="KA20" i="19"/>
  <c r="KJ20" i="19"/>
  <c r="AN20" i="19"/>
  <c r="AX20" i="19"/>
  <c r="AR20" i="19"/>
  <c r="Q20" i="19"/>
  <c r="Z20" i="19"/>
  <c r="BK20" i="19"/>
  <c r="CF20" i="19"/>
  <c r="BU20" i="19"/>
  <c r="CD20" i="19"/>
  <c r="CM20" i="19"/>
  <c r="CV20" i="19"/>
  <c r="BA20" i="19"/>
  <c r="BJ20" i="19"/>
  <c r="BS20" i="19"/>
  <c r="CB20" i="19"/>
  <c r="CK20" i="19"/>
  <c r="CT20" i="19"/>
  <c r="DC20" i="19"/>
  <c r="DM20" i="19"/>
  <c r="DV20" i="19"/>
  <c r="DY20" i="19"/>
  <c r="EB20" i="19"/>
  <c r="EK20" i="19"/>
  <c r="ET20" i="19"/>
  <c r="FC20" i="19"/>
  <c r="FI20" i="19"/>
  <c r="C18" i="3"/>
  <c r="FT20" i="19"/>
  <c r="GC20" i="19"/>
  <c r="GL20" i="19"/>
  <c r="GU20" i="19"/>
  <c r="HD20" i="19"/>
  <c r="HM20" i="19"/>
  <c r="FS20" i="19"/>
  <c r="GB20" i="19"/>
  <c r="GK20" i="19"/>
  <c r="GT20" i="19"/>
  <c r="HC20" i="19"/>
  <c r="HL20" i="19"/>
  <c r="FM20" i="19"/>
  <c r="FO20" i="19"/>
  <c r="FX20" i="19"/>
  <c r="GG20" i="19"/>
  <c r="GP20" i="19"/>
  <c r="GY20" i="19"/>
  <c r="HH20" i="19"/>
  <c r="HQ20" i="19"/>
  <c r="HR20" i="19"/>
  <c r="IA20" i="19"/>
  <c r="IJ20" i="19"/>
  <c r="IS20" i="19"/>
  <c r="JB20" i="19"/>
  <c r="JK20" i="19"/>
  <c r="JT20" i="19"/>
  <c r="JV20" i="19"/>
  <c r="AS20" i="19"/>
  <c r="KK20" i="19"/>
  <c r="C18" i="19"/>
  <c r="D20" i="19"/>
  <c r="L20" i="19"/>
  <c r="AG20" i="19"/>
  <c r="AT20" i="19"/>
  <c r="V20" i="19"/>
  <c r="BE20" i="19"/>
  <c r="BT20" i="19"/>
  <c r="CU20" i="19"/>
  <c r="JX20" i="19"/>
  <c r="KG20" i="19"/>
  <c r="KP20" i="19"/>
  <c r="AH20" i="19"/>
  <c r="AA20" i="19"/>
  <c r="T20" i="19"/>
  <c r="BB20" i="19"/>
  <c r="BO20" i="19"/>
  <c r="CO20" i="19"/>
  <c r="BX20" i="19"/>
  <c r="CG20" i="19"/>
  <c r="CP20" i="19"/>
  <c r="CY20" i="19"/>
  <c r="FJ20" i="19"/>
  <c r="BD20" i="19"/>
  <c r="BM20" i="19"/>
  <c r="BV20" i="19"/>
  <c r="CE20" i="19"/>
  <c r="CN20" i="19"/>
  <c r="CW20" i="19"/>
  <c r="DJ20" i="19"/>
  <c r="DS20" i="19"/>
  <c r="DW20" i="19"/>
  <c r="DZ20" i="19"/>
  <c r="EE20" i="19"/>
  <c r="EN20" i="19"/>
  <c r="EW20" i="19"/>
  <c r="FF20" i="19"/>
  <c r="C17" i="19"/>
  <c r="K19" i="3"/>
  <c r="D19" i="3"/>
  <c r="KJ19" i="3"/>
  <c r="J19" i="3"/>
  <c r="JD19" i="3"/>
  <c r="IZ19" i="3"/>
  <c r="GW19" i="3"/>
  <c r="DQ19" i="3"/>
  <c r="KG19" i="3"/>
  <c r="JF19" i="3"/>
  <c r="HV19" i="3"/>
  <c r="CI19" i="3"/>
  <c r="BC19" i="3"/>
  <c r="AR19" i="3"/>
  <c r="JN19" i="3"/>
  <c r="BY19" i="3"/>
  <c r="JJ19" i="3"/>
  <c r="HK19" i="3"/>
  <c r="BR19" i="3"/>
  <c r="AZ19" i="3"/>
  <c r="ES19" i="3"/>
  <c r="BI19" i="3"/>
  <c r="KD19" i="3"/>
  <c r="IP19" i="3"/>
  <c r="IN19" i="3"/>
  <c r="HR19" i="3"/>
  <c r="GO19" i="3"/>
  <c r="GP19" i="3"/>
  <c r="BQ19" i="3"/>
  <c r="BJ19" i="3"/>
  <c r="AL19" i="3"/>
  <c r="HH19" i="3"/>
  <c r="CX19" i="3"/>
  <c r="IK19" i="3"/>
  <c r="FZ19" i="3"/>
  <c r="S13" i="10"/>
  <c r="FL19" i="3"/>
  <c r="Q13" i="10"/>
  <c r="EN19" i="3"/>
  <c r="CR19" i="3"/>
  <c r="AX19" i="3"/>
  <c r="AT19" i="3"/>
  <c r="M19" i="3"/>
  <c r="JG19" i="3"/>
  <c r="IL19" i="3"/>
  <c r="GZ19" i="3"/>
  <c r="DD19" i="3"/>
  <c r="DB19" i="3"/>
  <c r="CK19" i="3"/>
  <c r="BZ19" i="3"/>
  <c r="CB19" i="3"/>
  <c r="AK19" i="3"/>
  <c r="AB18" i="10"/>
  <c r="GF19" i="3"/>
  <c r="FE19" i="3"/>
  <c r="DT19" i="3"/>
  <c r="HC19" i="3"/>
  <c r="DW19" i="3"/>
  <c r="BM19" i="3"/>
  <c r="Z19" i="3"/>
  <c r="GS19" i="3"/>
  <c r="AO19" i="3"/>
  <c r="KP19" i="3"/>
  <c r="CN19" i="3"/>
  <c r="JX19" i="3"/>
  <c r="GX19" i="3"/>
  <c r="GQ19" i="3"/>
  <c r="FS19" i="3"/>
  <c r="EZ19" i="3"/>
  <c r="ET19" i="3"/>
  <c r="DV19" i="3"/>
  <c r="KN19" i="3"/>
  <c r="IT19" i="3"/>
  <c r="HU19" i="3"/>
  <c r="HL19" i="3"/>
  <c r="EO19" i="3"/>
  <c r="IA19" i="3"/>
  <c r="KC19" i="3"/>
  <c r="AB13" i="10"/>
  <c r="AA18" i="10"/>
  <c r="IH19" i="3"/>
  <c r="ID19" i="3"/>
  <c r="HY19" i="3"/>
  <c r="FX19" i="3"/>
  <c r="Q18" i="10"/>
  <c r="EW19" i="3"/>
  <c r="EL19" i="3"/>
  <c r="CT19" i="3"/>
  <c r="BT19" i="3"/>
  <c r="BE19" i="3"/>
  <c r="X19" i="3"/>
  <c r="F18" i="10"/>
  <c r="N19" i="3"/>
  <c r="O19" i="10"/>
  <c r="L12" i="10"/>
  <c r="FR19" i="3"/>
  <c r="CE19" i="3"/>
  <c r="K17" i="10"/>
  <c r="E18" i="10"/>
  <c r="IE19" i="3"/>
  <c r="X17" i="10"/>
  <c r="HZ19" i="3"/>
  <c r="W19" i="10"/>
  <c r="HE19" i="3"/>
  <c r="GU19" i="3"/>
  <c r="U17" i="10"/>
  <c r="S18" i="10"/>
  <c r="FI19" i="3"/>
  <c r="ER19" i="3"/>
  <c r="EA19" i="3"/>
  <c r="O17" i="10"/>
  <c r="DY19" i="3"/>
  <c r="BX19" i="3"/>
  <c r="I12" i="10"/>
  <c r="H12" i="10"/>
  <c r="G19" i="10"/>
  <c r="AG19" i="3"/>
  <c r="AB19" i="3"/>
  <c r="KM19" i="3"/>
  <c r="AC17" i="10"/>
  <c r="IV19" i="3"/>
  <c r="IG19" i="3"/>
  <c r="HO19" i="3"/>
  <c r="HF19" i="3"/>
  <c r="GK19" i="3"/>
  <c r="GI19" i="3"/>
  <c r="T17" i="10"/>
  <c r="GA19" i="3"/>
  <c r="FU19" i="3"/>
  <c r="DZ19" i="3"/>
  <c r="DR19" i="3"/>
  <c r="DO19" i="3"/>
  <c r="N17" i="10"/>
  <c r="DP19" i="3"/>
  <c r="CY19" i="3"/>
  <c r="L19" i="10"/>
  <c r="CO19" i="3"/>
  <c r="U19" i="10"/>
  <c r="JP19" i="3"/>
  <c r="Z19" i="10"/>
  <c r="Y13" i="10"/>
  <c r="IM19" i="3"/>
  <c r="W12" i="10"/>
  <c r="T13" i="10"/>
  <c r="GC19" i="3"/>
  <c r="FA19" i="3"/>
  <c r="EQ19" i="3"/>
  <c r="P12" i="10"/>
  <c r="EK19" i="3"/>
  <c r="EB19" i="3"/>
  <c r="CG19" i="3"/>
  <c r="BS19" i="3"/>
  <c r="J17" i="10"/>
  <c r="AN19" i="3"/>
  <c r="D13" i="10"/>
  <c r="JI19" i="3"/>
  <c r="Z12" i="10"/>
  <c r="W13" i="10"/>
  <c r="HI19" i="3"/>
  <c r="V12" i="10"/>
  <c r="GT19" i="3"/>
  <c r="GL19" i="3"/>
  <c r="FW19" i="3"/>
  <c r="S17" i="10"/>
  <c r="FK19" i="3"/>
  <c r="R17" i="10"/>
  <c r="FD19" i="3"/>
  <c r="EU19" i="3"/>
  <c r="EM19" i="3"/>
  <c r="P17" i="10"/>
  <c r="EG19" i="3"/>
  <c r="O12" i="10"/>
  <c r="L18" i="10"/>
  <c r="K19" i="10"/>
  <c r="JZ19" i="3"/>
  <c r="IY19" i="3"/>
  <c r="X19" i="10"/>
  <c r="HS19" i="3"/>
  <c r="W17" i="10"/>
  <c r="HP19" i="3"/>
  <c r="HM19" i="3"/>
  <c r="HJ19" i="3"/>
  <c r="HB19" i="3"/>
  <c r="U13" i="10"/>
  <c r="GH19" i="3"/>
  <c r="S19" i="10"/>
  <c r="FC19" i="3"/>
  <c r="P18" i="10"/>
  <c r="EI19" i="3"/>
  <c r="DK19" i="3"/>
  <c r="CV19" i="3"/>
  <c r="CP19" i="3"/>
  <c r="BK19" i="3"/>
  <c r="BG19" i="3"/>
  <c r="I17" i="10"/>
  <c r="G18" i="10"/>
  <c r="V19" i="3"/>
  <c r="C17" i="3"/>
  <c r="D18" i="10"/>
  <c r="T12" i="10"/>
  <c r="AA12" i="10"/>
  <c r="JA19" i="3"/>
  <c r="IR19" i="3"/>
  <c r="IJ19" i="3"/>
  <c r="II19" i="3"/>
  <c r="HQ19" i="3"/>
  <c r="R19" i="10"/>
  <c r="EX19" i="3"/>
  <c r="Q19" i="10"/>
  <c r="EV19" i="3"/>
  <c r="N12" i="10"/>
  <c r="DL19" i="3"/>
  <c r="DJ19" i="3"/>
  <c r="M19" i="10"/>
  <c r="DA19" i="3"/>
  <c r="CW19" i="3"/>
  <c r="CS19" i="3"/>
  <c r="CM19" i="3"/>
  <c r="CH19" i="3"/>
  <c r="K12" i="10"/>
  <c r="J12" i="10"/>
  <c r="BD19" i="3"/>
  <c r="AV19" i="3"/>
  <c r="AI19" i="3"/>
  <c r="G17" i="10"/>
  <c r="HX19" i="3"/>
  <c r="KL19" i="3"/>
  <c r="KA19" i="3"/>
  <c r="AB17" i="10"/>
  <c r="IQ19" i="3"/>
  <c r="Y17" i="10"/>
  <c r="W18" i="10"/>
  <c r="HG19" i="3"/>
  <c r="V17" i="10"/>
  <c r="T19" i="10"/>
  <c r="R13" i="10"/>
  <c r="P19" i="10"/>
  <c r="EE19" i="3"/>
  <c r="ED19" i="3"/>
  <c r="DG19" i="3"/>
  <c r="K18" i="10"/>
  <c r="I18" i="10"/>
  <c r="H19" i="10"/>
  <c r="AS19" i="3"/>
  <c r="AF19" i="3"/>
  <c r="O19" i="3"/>
  <c r="D19" i="10"/>
  <c r="KH19" i="3"/>
  <c r="AC19" i="10"/>
  <c r="JS19" i="3"/>
  <c r="IF19" i="3"/>
  <c r="X13" i="10"/>
  <c r="V19" i="10"/>
  <c r="HA19" i="3"/>
  <c r="GV19" i="3"/>
  <c r="FY19" i="3"/>
  <c r="FQ19" i="3"/>
  <c r="EJ19" i="3"/>
  <c r="EC19" i="3"/>
  <c r="DU19" i="3"/>
  <c r="N18" i="10"/>
  <c r="DE19" i="3"/>
  <c r="M12" i="10"/>
  <c r="CJ19" i="3"/>
  <c r="CD19" i="3"/>
  <c r="AW19" i="3"/>
  <c r="AA19" i="3"/>
  <c r="L19" i="3"/>
  <c r="I19" i="3"/>
  <c r="AC13" i="10"/>
  <c r="KE19" i="3"/>
  <c r="JC19" i="3"/>
  <c r="Z17" i="10"/>
  <c r="IW19" i="3"/>
  <c r="Y18" i="10"/>
  <c r="Y19" i="10"/>
  <c r="IC19" i="3"/>
  <c r="HN19" i="3"/>
  <c r="V13" i="10"/>
  <c r="R12" i="10"/>
  <c r="FM19" i="3"/>
  <c r="EY19" i="3"/>
  <c r="Q17" i="10"/>
  <c r="DS19" i="3"/>
  <c r="M18" i="10"/>
  <c r="J19" i="10"/>
  <c r="BB19" i="3"/>
  <c r="H18" i="10"/>
  <c r="AJ19" i="3"/>
  <c r="U19" i="3"/>
  <c r="R19" i="3"/>
  <c r="E19" i="10"/>
  <c r="U18" i="10"/>
  <c r="JY19" i="3"/>
  <c r="JR19" i="3"/>
  <c r="JM19" i="3"/>
  <c r="JK19" i="3"/>
  <c r="JE19" i="3"/>
  <c r="JB19" i="3"/>
  <c r="Y12" i="10"/>
  <c r="GR19" i="3"/>
  <c r="GN19" i="3"/>
  <c r="GG19" i="3"/>
  <c r="GD19" i="3"/>
  <c r="GB19" i="3"/>
  <c r="FT19" i="3"/>
  <c r="FG19" i="3"/>
  <c r="EP19" i="3"/>
  <c r="O18" i="10"/>
  <c r="DX19" i="3"/>
  <c r="DC19" i="3"/>
  <c r="M17" i="10"/>
  <c r="CQ19" i="3"/>
  <c r="L17" i="10"/>
  <c r="CL19" i="3"/>
  <c r="CF19" i="3"/>
  <c r="CC19" i="3"/>
  <c r="BF19" i="3"/>
  <c r="AY19" i="3"/>
  <c r="AP19" i="3"/>
  <c r="F19" i="10"/>
  <c r="T19" i="3"/>
  <c r="Q19" i="3"/>
  <c r="F19" i="3"/>
  <c r="C16" i="3"/>
  <c r="D17" i="10"/>
  <c r="R18" i="10"/>
  <c r="KI19" i="3"/>
  <c r="AA19" i="10"/>
  <c r="KB19" i="3"/>
  <c r="JV19" i="3"/>
  <c r="Z13" i="10"/>
  <c r="IX19" i="3"/>
  <c r="IS19" i="3"/>
  <c r="IO19" i="3"/>
  <c r="X18" i="10"/>
  <c r="HT19" i="3"/>
  <c r="T18" i="10"/>
  <c r="FV19" i="3"/>
  <c r="FP19" i="3"/>
  <c r="FJ19" i="3"/>
  <c r="FF19" i="3"/>
  <c r="FB19" i="3"/>
  <c r="EH19" i="3"/>
  <c r="EF19" i="3"/>
  <c r="DH19" i="3"/>
  <c r="BW19" i="3"/>
  <c r="BV19" i="3"/>
  <c r="BP19" i="3"/>
  <c r="BL19" i="3"/>
  <c r="I19" i="10"/>
  <c r="AU19" i="3"/>
  <c r="H17" i="10"/>
  <c r="AD19" i="3"/>
  <c r="AC19" i="3"/>
  <c r="S19" i="3"/>
  <c r="P19" i="3"/>
  <c r="G19" i="3"/>
  <c r="U12" i="10"/>
  <c r="KQ19" i="3"/>
  <c r="E17" i="10"/>
  <c r="JL19" i="3"/>
  <c r="AB12" i="10"/>
  <c r="JT19" i="3"/>
  <c r="KF19" i="3"/>
  <c r="KK19" i="3"/>
  <c r="JO19" i="3"/>
  <c r="AA17" i="10"/>
  <c r="JH19" i="3"/>
  <c r="X12" i="10"/>
  <c r="IB19" i="3"/>
  <c r="HW19" i="3"/>
  <c r="HD19" i="3"/>
  <c r="GY19" i="3"/>
  <c r="GM19" i="3"/>
  <c r="GJ19" i="3"/>
  <c r="GE19" i="3"/>
  <c r="FO19" i="3"/>
  <c r="FH19" i="3"/>
  <c r="DM19" i="3"/>
  <c r="DI19" i="3"/>
  <c r="DF19" i="3"/>
  <c r="CZ19" i="3"/>
  <c r="CA19" i="3"/>
  <c r="BN19" i="3"/>
  <c r="BA19" i="3"/>
  <c r="AQ19" i="3"/>
  <c r="AM19" i="3"/>
  <c r="AH19" i="3"/>
  <c r="AE19" i="3"/>
  <c r="Y19" i="3"/>
  <c r="W19" i="3"/>
  <c r="F17" i="10"/>
  <c r="H19" i="3"/>
  <c r="AC18" i="10"/>
  <c r="JW19" i="3"/>
  <c r="KO19" i="3"/>
  <c r="AB19" i="10"/>
  <c r="JU19" i="3"/>
  <c r="JQ19" i="3"/>
  <c r="AA13" i="10"/>
  <c r="Z18" i="10"/>
  <c r="IU19" i="3"/>
  <c r="V18" i="10"/>
  <c r="S12" i="10"/>
  <c r="FN19" i="3"/>
  <c r="Q12" i="10"/>
  <c r="N19" i="10"/>
  <c r="DN19" i="3"/>
  <c r="CU19" i="3"/>
  <c r="BU19" i="3"/>
  <c r="J18" i="10"/>
  <c r="BO19" i="3"/>
  <c r="BH19" i="3"/>
  <c r="AC12" i="10"/>
  <c r="C20" i="19" l="1"/>
  <c r="C19" i="3"/>
  <c r="L20" i="10"/>
  <c r="G20" i="10"/>
  <c r="AA20" i="10"/>
  <c r="M20" i="10"/>
  <c r="Z20" i="10"/>
  <c r="F20" i="10"/>
  <c r="S20" i="10"/>
  <c r="Q20" i="10"/>
  <c r="E20" i="10"/>
  <c r="U20" i="10"/>
  <c r="R20" i="10"/>
  <c r="K20" i="10"/>
  <c r="C18" i="10"/>
  <c r="T20" i="10"/>
  <c r="V20" i="10"/>
  <c r="O20" i="10"/>
  <c r="N20" i="10"/>
  <c r="AC20" i="10"/>
  <c r="J20" i="10"/>
  <c r="X20" i="10"/>
  <c r="H20" i="10"/>
  <c r="Y20" i="10"/>
  <c r="C19" i="10"/>
  <c r="D20" i="10"/>
  <c r="C17" i="10"/>
  <c r="W20" i="10"/>
  <c r="AB20" i="10"/>
  <c r="I20" i="10"/>
  <c r="P20" i="10"/>
  <c r="C20" i="10" l="1"/>
  <c r="CI27" i="8" l="1"/>
  <c r="CI28" i="8"/>
  <c r="CI26" i="8"/>
  <c r="CI25" i="8"/>
  <c r="CJ27" i="8"/>
  <c r="CJ28" i="8"/>
  <c r="CJ25" i="8"/>
  <c r="CJ26" i="8"/>
  <c r="CH25" i="8"/>
  <c r="CH27" i="8"/>
  <c r="CH28" i="8"/>
  <c r="CH26" i="8"/>
  <c r="CF25" i="8"/>
  <c r="CF26" i="8"/>
  <c r="CF28" i="8"/>
  <c r="CF27" i="8"/>
  <c r="CG27" i="8"/>
  <c r="CG25" i="8"/>
  <c r="CG28" i="8"/>
  <c r="CG26" i="8"/>
  <c r="CE25" i="8"/>
  <c r="CE26" i="8"/>
  <c r="CE28" i="8"/>
  <c r="CE27" i="8"/>
  <c r="CC24" i="8"/>
  <c r="CC36" i="8" s="1"/>
  <c r="CK7" i="3" s="1"/>
  <c r="CK11" i="3" s="1"/>
  <c r="BW23" i="8"/>
  <c r="BW36" i="8" s="1"/>
  <c r="CD24" i="8"/>
  <c r="CD36" i="8" s="1"/>
  <c r="CL7" i="3" s="1"/>
  <c r="CL11" i="3" s="1"/>
  <c r="BX23" i="8"/>
  <c r="BX36" i="8" s="1"/>
  <c r="CF7" i="3" s="1"/>
  <c r="CB24" i="8"/>
  <c r="CB36" i="8" s="1"/>
  <c r="CJ7" i="3" s="1"/>
  <c r="BV23" i="8"/>
  <c r="BV36" i="8" s="1"/>
  <c r="CD7" i="3" s="1"/>
  <c r="BZ24" i="8"/>
  <c r="BZ36" i="8" s="1"/>
  <c r="CH7" i="3" s="1"/>
  <c r="CA24" i="8"/>
  <c r="CA36" i="8" s="1"/>
  <c r="CI7" i="3" s="1"/>
  <c r="BU23" i="8"/>
  <c r="BU36" i="8" s="1"/>
  <c r="CC7" i="3" s="1"/>
  <c r="BS23" i="8"/>
  <c r="BS36" i="8" s="1"/>
  <c r="CA7" i="3" s="1"/>
  <c r="BY24" i="8"/>
  <c r="BK21" i="8"/>
  <c r="BK36" i="8" s="1"/>
  <c r="AM17" i="8"/>
  <c r="AM36" i="8" s="1"/>
  <c r="AG16" i="8"/>
  <c r="AS18" i="8"/>
  <c r="AS36" i="8" s="1"/>
  <c r="BE20" i="8"/>
  <c r="BE36" i="8" s="1"/>
  <c r="BQ22" i="8"/>
  <c r="BQ36" i="8" s="1"/>
  <c r="BY7" i="3" s="1"/>
  <c r="AY19" i="8"/>
  <c r="AY36" i="8" s="1"/>
  <c r="BO22" i="8"/>
  <c r="BO36" i="8" s="1"/>
  <c r="BW7" i="3" s="1"/>
  <c r="AW19" i="8"/>
  <c r="AW36" i="8" s="1"/>
  <c r="BI21" i="8"/>
  <c r="BI36" i="8" s="1"/>
  <c r="BQ7" i="3" s="1"/>
  <c r="AQ18" i="8"/>
  <c r="AQ36" i="8" s="1"/>
  <c r="AE16" i="8"/>
  <c r="AK17" i="8"/>
  <c r="BC20" i="8"/>
  <c r="BC36" i="8" s="1"/>
  <c r="AC16" i="8"/>
  <c r="BM22" i="8"/>
  <c r="BM36" i="8" s="1"/>
  <c r="BU7" i="3" s="1"/>
  <c r="AO18" i="8"/>
  <c r="AO36" i="8" s="1"/>
  <c r="AU19" i="8"/>
  <c r="AU36" i="8" s="1"/>
  <c r="AI17" i="8"/>
  <c r="BG21" i="8"/>
  <c r="BG36" i="8" s="1"/>
  <c r="BA20" i="8"/>
  <c r="BA36" i="8" s="1"/>
  <c r="BF20" i="8"/>
  <c r="BF36" i="8" s="1"/>
  <c r="BR22" i="8"/>
  <c r="BR36" i="8" s="1"/>
  <c r="BZ7" i="3" s="1"/>
  <c r="AN17" i="8"/>
  <c r="AN36" i="8" s="1"/>
  <c r="AT18" i="8"/>
  <c r="AT36" i="8" s="1"/>
  <c r="AZ19" i="8"/>
  <c r="AZ36" i="8" s="1"/>
  <c r="BL21" i="8"/>
  <c r="BL36" i="8" s="1"/>
  <c r="BT7" i="3" s="1"/>
  <c r="BJ21" i="8"/>
  <c r="BJ36" i="8" s="1"/>
  <c r="BR7" i="3" s="1"/>
  <c r="AX19" i="8"/>
  <c r="AX36" i="8" s="1"/>
  <c r="AF16" i="8"/>
  <c r="BP22" i="8"/>
  <c r="BP36" i="8" s="1"/>
  <c r="BX7" i="3" s="1"/>
  <c r="AR18" i="8"/>
  <c r="AR36" i="8" s="1"/>
  <c r="BD20" i="8"/>
  <c r="BD36" i="8" s="1"/>
  <c r="AL17" i="8"/>
  <c r="AL36" i="8" s="1"/>
  <c r="BT23" i="8"/>
  <c r="BB20" i="8"/>
  <c r="BB36" i="8" s="1"/>
  <c r="BH21" i="8"/>
  <c r="BH36" i="8" s="1"/>
  <c r="BP7" i="3" s="1"/>
  <c r="AV19" i="8"/>
  <c r="AV36" i="8" s="1"/>
  <c r="AJ17" i="8"/>
  <c r="AD16" i="8"/>
  <c r="AP18" i="8"/>
  <c r="AP36" i="8" s="1"/>
  <c r="BN22" i="8"/>
  <c r="BN36" i="8" s="1"/>
  <c r="BV7" i="3" s="1"/>
  <c r="AY7" i="3" l="1"/>
  <c r="BB7" i="3"/>
  <c r="AZ7" i="3"/>
  <c r="BO7" i="3"/>
  <c r="BH7" i="3"/>
  <c r="BL7" i="3"/>
  <c r="BE7" i="3"/>
  <c r="BN7" i="3"/>
  <c r="BG7" i="3"/>
  <c r="BJ7" i="3"/>
  <c r="AT7" i="3"/>
  <c r="AW7" i="3"/>
  <c r="BI7" i="3"/>
  <c r="AQ7" i="3"/>
  <c r="AO7" i="3"/>
  <c r="AM7" i="3"/>
  <c r="AN7" i="3"/>
  <c r="AS7" i="3"/>
  <c r="BM7" i="3"/>
  <c r="BF7" i="3"/>
  <c r="BC7" i="3"/>
  <c r="BK7" i="3"/>
  <c r="BD7" i="3"/>
  <c r="AX7" i="3"/>
  <c r="AP7" i="3"/>
  <c r="AL7" i="3"/>
  <c r="AR7" i="3"/>
  <c r="AV7" i="3"/>
  <c r="CI36" i="8"/>
  <c r="B27" i="8"/>
  <c r="B28" i="8"/>
  <c r="CJ36" i="8"/>
  <c r="CR7" i="3" s="1"/>
  <c r="CR11" i="3" s="1"/>
  <c r="CH36" i="8"/>
  <c r="CP7" i="3" s="1"/>
  <c r="CP11" i="3" s="1"/>
  <c r="B26" i="8"/>
  <c r="CE36" i="8"/>
  <c r="CM7" i="3" s="1"/>
  <c r="CM11" i="3" s="1"/>
  <c r="B25" i="8"/>
  <c r="CF36" i="8"/>
  <c r="CN7" i="3" s="1"/>
  <c r="CN11" i="3" s="1"/>
  <c r="CG36" i="8"/>
  <c r="CO7" i="3" s="1"/>
  <c r="CO11" i="3" s="1"/>
  <c r="AU7" i="3"/>
  <c r="BS7" i="3"/>
  <c r="CE7" i="3"/>
  <c r="BY36" i="8"/>
  <c r="CG7" i="3" s="1"/>
  <c r="B24" i="8"/>
  <c r="B23" i="8"/>
  <c r="BT36" i="8"/>
  <c r="CB7" i="3" s="1"/>
  <c r="B16" i="8"/>
  <c r="B21" i="8"/>
  <c r="B17" i="8"/>
  <c r="B20" i="8"/>
  <c r="B19" i="8"/>
  <c r="B18" i="8"/>
  <c r="B22" i="8"/>
  <c r="I8" i="10" l="1"/>
  <c r="I7" i="10" s="1"/>
  <c r="L8" i="10"/>
  <c r="L7" i="10" s="1"/>
  <c r="L11" i="10" s="1"/>
  <c r="H8" i="10"/>
  <c r="H7" i="10" s="1"/>
  <c r="BA7" i="3"/>
  <c r="CQ7" i="3"/>
  <c r="CQ11" i="3" s="1"/>
  <c r="J8" i="10"/>
  <c r="J7" i="10" s="1"/>
  <c r="K8" i="10"/>
  <c r="K7" i="10" s="1"/>
  <c r="AK7" i="3"/>
  <c r="AH10" i="3" l="1"/>
  <c r="AG10" i="3"/>
  <c r="BM37" i="17"/>
  <c r="BM10" i="3"/>
  <c r="BO10" i="3"/>
  <c r="BO37" i="17"/>
  <c r="BH10" i="3"/>
  <c r="BQ37" i="17"/>
  <c r="BI10" i="3"/>
  <c r="BR37" i="17"/>
  <c r="BJ10" i="3"/>
  <c r="BS37" i="17"/>
  <c r="BK10" i="3"/>
  <c r="BT37" i="17"/>
  <c r="AL10" i="3"/>
  <c r="BT10" i="3"/>
  <c r="AM10" i="3"/>
  <c r="BU10" i="3"/>
  <c r="AN10" i="3"/>
  <c r="AO10" i="3"/>
  <c r="AP10" i="3"/>
  <c r="AK10" i="3"/>
  <c r="BQ10" i="3"/>
  <c r="BR10" i="3"/>
  <c r="BS10" i="3"/>
  <c r="AY10" i="3"/>
  <c r="AZ10" i="3"/>
  <c r="BA10" i="3"/>
  <c r="BB10" i="3"/>
  <c r="BC10" i="3"/>
  <c r="BD10" i="3"/>
  <c r="BE10" i="3"/>
  <c r="BF10" i="3"/>
  <c r="BG10" i="3"/>
  <c r="BJ37" i="17"/>
  <c r="AI10" i="3"/>
  <c r="AJ10" i="3"/>
  <c r="AE10" i="3"/>
  <c r="AF10" i="3"/>
  <c r="N17" i="17"/>
  <c r="T18" i="17"/>
  <c r="AI17" i="17"/>
  <c r="AO18" i="17"/>
  <c r="AQ18" i="17"/>
  <c r="AK17" i="17"/>
  <c r="AJ17" i="17"/>
  <c r="AP18" i="17"/>
  <c r="P17" i="17"/>
  <c r="V18" i="17"/>
  <c r="AN18" i="17"/>
  <c r="AH17" i="17"/>
  <c r="O17" i="17"/>
  <c r="U18" i="17"/>
  <c r="BL37" i="17" l="1"/>
  <c r="BK37" i="17"/>
  <c r="BN37" i="17"/>
  <c r="BL10" i="3"/>
  <c r="BP37" i="17"/>
  <c r="BN10" i="3"/>
  <c r="BN9" i="3" s="1"/>
  <c r="BN11" i="3" s="1"/>
  <c r="BP10" i="3"/>
  <c r="BP9" i="3" s="1"/>
  <c r="BP11" i="3" s="1"/>
  <c r="BU37" i="17"/>
  <c r="BV37" i="17"/>
  <c r="AN21" i="17"/>
  <c r="AB19" i="17"/>
  <c r="AH20" i="17"/>
  <c r="AL21" i="17"/>
  <c r="AF20" i="17"/>
  <c r="Z19" i="17"/>
  <c r="AM21" i="17"/>
  <c r="AA19" i="17"/>
  <c r="AG20" i="17"/>
  <c r="AC10" i="3"/>
  <c r="BB20" i="17"/>
  <c r="BH21" i="17"/>
  <c r="BH37" i="17" s="1"/>
  <c r="AV19" i="17"/>
  <c r="AA10" i="3"/>
  <c r="BF21" i="17"/>
  <c r="BF37" i="17" s="1"/>
  <c r="AZ20" i="17"/>
  <c r="AT19" i="17"/>
  <c r="AD10" i="3"/>
  <c r="BC20" i="17"/>
  <c r="BI21" i="17"/>
  <c r="BI37" i="17" s="1"/>
  <c r="AW19" i="17"/>
  <c r="AB10" i="3"/>
  <c r="AU19" i="17"/>
  <c r="BG21" i="17"/>
  <c r="BG37" i="17" s="1"/>
  <c r="BA20" i="17"/>
  <c r="AR10" i="3"/>
  <c r="AR9" i="3" s="1"/>
  <c r="AR11" i="3" s="1"/>
  <c r="AW10" i="3"/>
  <c r="AW9" i="3" s="1"/>
  <c r="AW11" i="3" s="1"/>
  <c r="AV10" i="3"/>
  <c r="AQ10" i="3"/>
  <c r="AQ9" i="3" s="1"/>
  <c r="AQ11" i="3" s="1"/>
  <c r="AX10" i="3"/>
  <c r="AX9" i="3" s="1"/>
  <c r="AX11" i="3" s="1"/>
  <c r="AU10" i="3"/>
  <c r="AU9" i="3" s="1"/>
  <c r="AU11" i="3" s="1"/>
  <c r="AT10" i="3"/>
  <c r="AT9" i="3" s="1"/>
  <c r="AT11" i="3" s="1"/>
  <c r="AS10" i="3"/>
  <c r="AS9" i="3" s="1"/>
  <c r="AS11" i="3" s="1"/>
  <c r="BW37" i="17"/>
  <c r="BV10" i="3"/>
  <c r="BV9" i="3" s="1"/>
  <c r="BV11" i="3" s="1"/>
  <c r="CK37" i="17"/>
  <c r="CJ10" i="3"/>
  <c r="CJ9" i="3" s="1"/>
  <c r="CJ11" i="3" s="1"/>
  <c r="CJ37" i="17"/>
  <c r="CI10" i="3"/>
  <c r="CI37" i="17"/>
  <c r="CH10" i="3"/>
  <c r="CH9" i="3" s="1"/>
  <c r="CH11" i="3" s="1"/>
  <c r="CH37" i="17"/>
  <c r="CG10" i="3"/>
  <c r="CG9" i="3" s="1"/>
  <c r="CG11" i="3" s="1"/>
  <c r="CG37" i="17"/>
  <c r="CF10" i="3"/>
  <c r="CF9" i="3" s="1"/>
  <c r="CF11" i="3" s="1"/>
  <c r="CF37" i="17"/>
  <c r="CE10" i="3"/>
  <c r="CE9" i="3" s="1"/>
  <c r="CE11" i="3" s="1"/>
  <c r="CE37" i="17"/>
  <c r="CD10" i="3"/>
  <c r="CD9" i="3" s="1"/>
  <c r="CD11" i="3" s="1"/>
  <c r="CD37" i="17"/>
  <c r="CC10" i="3"/>
  <c r="CC9" i="3" s="1"/>
  <c r="CC11" i="3" s="1"/>
  <c r="CC37" i="17"/>
  <c r="CB10" i="3"/>
  <c r="CB9" i="3" s="1"/>
  <c r="CB11" i="3" s="1"/>
  <c r="CB37" i="17"/>
  <c r="CA10" i="3"/>
  <c r="CA9" i="3" s="1"/>
  <c r="CA11" i="3" s="1"/>
  <c r="CA37" i="17"/>
  <c r="BZ10" i="3"/>
  <c r="BZ9" i="3" s="1"/>
  <c r="BZ11" i="3" s="1"/>
  <c r="BZ37" i="17"/>
  <c r="BY10" i="3"/>
  <c r="BY9" i="3" s="1"/>
  <c r="BY11" i="3" s="1"/>
  <c r="BY37" i="17"/>
  <c r="BX10" i="3"/>
  <c r="BX9" i="3" s="1"/>
  <c r="BX11" i="3" s="1"/>
  <c r="BX37" i="17"/>
  <c r="BW10" i="3"/>
  <c r="BW9" i="3" s="1"/>
  <c r="BW11" i="3" s="1"/>
  <c r="AJ9" i="19"/>
  <c r="AL9" i="19"/>
  <c r="AL11" i="19" s="1"/>
  <c r="AN9" i="19"/>
  <c r="AN11" i="19" s="1"/>
  <c r="AM9" i="19"/>
  <c r="AM11" i="19" s="1"/>
  <c r="H9" i="19"/>
  <c r="F9" i="19"/>
  <c r="E9" i="19"/>
  <c r="G9" i="19"/>
  <c r="BD9" i="3"/>
  <c r="BD11" i="3" s="1"/>
  <c r="BD9" i="19"/>
  <c r="BD11" i="19" s="1"/>
  <c r="BL9" i="19"/>
  <c r="BL11" i="19" s="1"/>
  <c r="BC9" i="3"/>
  <c r="BC11" i="3" s="1"/>
  <c r="BC9" i="19"/>
  <c r="BC11" i="19" s="1"/>
  <c r="BQ9" i="3"/>
  <c r="BQ11" i="3" s="1"/>
  <c r="BQ9" i="19"/>
  <c r="BQ11" i="19" s="1"/>
  <c r="BB9" i="3"/>
  <c r="BB11" i="3" s="1"/>
  <c r="BB9" i="19"/>
  <c r="BB11" i="19" s="1"/>
  <c r="BA9" i="3"/>
  <c r="BA11" i="3" s="1"/>
  <c r="BA9" i="19"/>
  <c r="BA11" i="19" s="1"/>
  <c r="BO9" i="3"/>
  <c r="BO11" i="3" s="1"/>
  <c r="BO9" i="19"/>
  <c r="BO11" i="19" s="1"/>
  <c r="AY9" i="3"/>
  <c r="AY11" i="3" s="1"/>
  <c r="AY9" i="19"/>
  <c r="AY11" i="19" s="1"/>
  <c r="AQ9" i="19"/>
  <c r="AQ11" i="19" s="1"/>
  <c r="AV9" i="19"/>
  <c r="AV11" i="19" s="1"/>
  <c r="AU9" i="19"/>
  <c r="AU11" i="19" s="1"/>
  <c r="BJ9" i="3"/>
  <c r="BJ11" i="3" s="1"/>
  <c r="BJ9" i="19"/>
  <c r="BJ11" i="19" s="1"/>
  <c r="AX9" i="19"/>
  <c r="AX11" i="19" s="1"/>
  <c r="BN9" i="19"/>
  <c r="BN11" i="19" s="1"/>
  <c r="BR9" i="3"/>
  <c r="BR11" i="3" s="1"/>
  <c r="BR9" i="19"/>
  <c r="BR11" i="19" s="1"/>
  <c r="BP9" i="19"/>
  <c r="BP11" i="19" s="1"/>
  <c r="AZ9" i="3"/>
  <c r="AZ11" i="3" s="1"/>
  <c r="AZ9" i="19"/>
  <c r="AZ11" i="19" s="1"/>
  <c r="BG9" i="3"/>
  <c r="BG11" i="3" s="1"/>
  <c r="BG9" i="19"/>
  <c r="BG11" i="19" s="1"/>
  <c r="BI9" i="3"/>
  <c r="BI11" i="3" s="1"/>
  <c r="BI9" i="19"/>
  <c r="BI11" i="19" s="1"/>
  <c r="AP9" i="19"/>
  <c r="AP11" i="19" s="1"/>
  <c r="BF9" i="3"/>
  <c r="BF11" i="3" s="1"/>
  <c r="BF9" i="19"/>
  <c r="BF11" i="19" s="1"/>
  <c r="BT9" i="19"/>
  <c r="BT11" i="19" s="1"/>
  <c r="AW9" i="19"/>
  <c r="AW11" i="19" s="1"/>
  <c r="BM9" i="3"/>
  <c r="BM11" i="3" s="1"/>
  <c r="BM9" i="19"/>
  <c r="BM11" i="19" s="1"/>
  <c r="BK9" i="3"/>
  <c r="BK11" i="3" s="1"/>
  <c r="BK9" i="19"/>
  <c r="BK11" i="19" s="1"/>
  <c r="AT9" i="19"/>
  <c r="AT11" i="19" s="1"/>
  <c r="AS9" i="19"/>
  <c r="AS11" i="19" s="1"/>
  <c r="AR9" i="19"/>
  <c r="AR11" i="19" s="1"/>
  <c r="BH9" i="3"/>
  <c r="BH11" i="3" s="1"/>
  <c r="BH9" i="19"/>
  <c r="BH11" i="19" s="1"/>
  <c r="BE9" i="3"/>
  <c r="BE11" i="3" s="1"/>
  <c r="BE9" i="19"/>
  <c r="BE11" i="19" s="1"/>
  <c r="BS9" i="3"/>
  <c r="BS11" i="3" s="1"/>
  <c r="BS9" i="19"/>
  <c r="BS11" i="19" s="1"/>
  <c r="BU9" i="3"/>
  <c r="BU11" i="3" s="1"/>
  <c r="BU9" i="19"/>
  <c r="BU11" i="19" s="1"/>
  <c r="CI9" i="3"/>
  <c r="CI11" i="3" s="1"/>
  <c r="CI9" i="19"/>
  <c r="CI11" i="19" s="1"/>
  <c r="CH9" i="19"/>
  <c r="CH11" i="19" s="1"/>
  <c r="CG9" i="19"/>
  <c r="CG11" i="19" s="1"/>
  <c r="CF9" i="19"/>
  <c r="CF11" i="19" s="1"/>
  <c r="CE9" i="19"/>
  <c r="CE11" i="19" s="1"/>
  <c r="CD9" i="19"/>
  <c r="CD11" i="19" s="1"/>
  <c r="CC9" i="19"/>
  <c r="CC11" i="19" s="1"/>
  <c r="CB9" i="19"/>
  <c r="CB11" i="19" s="1"/>
  <c r="CA9" i="19"/>
  <c r="CA11" i="19" s="1"/>
  <c r="BZ9" i="19"/>
  <c r="BZ11" i="19" s="1"/>
  <c r="BY9" i="19"/>
  <c r="BY11" i="19" s="1"/>
  <c r="BX9" i="19"/>
  <c r="BX11" i="19" s="1"/>
  <c r="BW9" i="19"/>
  <c r="BW11" i="19" s="1"/>
  <c r="BV9" i="19"/>
  <c r="BV11" i="19" s="1"/>
  <c r="BT9" i="3"/>
  <c r="BT11" i="3" s="1"/>
  <c r="BL9" i="3"/>
  <c r="BL11" i="3" s="1"/>
  <c r="I10" i="10" l="1"/>
  <c r="I9" i="10" s="1"/>
  <c r="I11" i="10" s="1"/>
  <c r="K10" i="10"/>
  <c r="K9" i="10" s="1"/>
  <c r="K11" i="10" s="1"/>
  <c r="J10" i="10"/>
  <c r="J9" i="10" s="1"/>
  <c r="J11" i="10" s="1"/>
  <c r="AG9" i="19"/>
  <c r="AI9" i="19"/>
  <c r="AD9" i="19"/>
  <c r="AH9" i="19"/>
  <c r="AC9" i="19"/>
  <c r="AB9" i="19"/>
  <c r="AE9" i="19"/>
  <c r="AA9" i="19"/>
  <c r="Z9" i="19"/>
  <c r="AF9" i="19"/>
  <c r="AK9" i="19"/>
  <c r="AK11" i="19" s="1"/>
  <c r="AO9" i="19"/>
  <c r="AO11" i="19" s="1"/>
  <c r="H10" i="10"/>
  <c r="H9" i="10" s="1"/>
  <c r="H11" i="10" s="1"/>
  <c r="AH9" i="3"/>
  <c r="AG9" i="3"/>
  <c r="AF9" i="3"/>
  <c r="AV9" i="3"/>
  <c r="AV11" i="3" s="1"/>
  <c r="AC9" i="3"/>
  <c r="AI9" i="3"/>
  <c r="AD9" i="3"/>
  <c r="AA9" i="3"/>
  <c r="AL9" i="3"/>
  <c r="AL11" i="3" s="1"/>
  <c r="AE9" i="3"/>
  <c r="AO9" i="3"/>
  <c r="AO11" i="3" s="1"/>
  <c r="AM9" i="3"/>
  <c r="AM11" i="3" s="1"/>
  <c r="AN9" i="3"/>
  <c r="AN11" i="3" s="1"/>
  <c r="AP9" i="3"/>
  <c r="AP11" i="3" s="1"/>
  <c r="AB9" i="3"/>
  <c r="AJ9" i="3"/>
  <c r="EO13" i="3" a="1"/>
  <c r="EO13" i="3" s="1"/>
  <c r="CS13" i="3" a="1"/>
  <c r="CS13" i="3" s="1"/>
  <c r="BU13" i="3" a="1"/>
  <c r="BU13" i="3" s="1"/>
  <c r="EC13" i="3" a="1"/>
  <c r="EC13" i="3" s="1"/>
  <c r="CG13" i="3" a="1"/>
  <c r="CG13" i="3" s="1"/>
  <c r="AW13" i="3" a="1"/>
  <c r="AW13" i="3" s="1"/>
  <c r="BI13" i="3" a="1"/>
  <c r="BI13" i="3" s="1"/>
  <c r="DQ13" i="3" a="1"/>
  <c r="DQ13" i="3" s="1"/>
  <c r="DE13" i="3" a="1"/>
  <c r="DE13" i="3" s="1"/>
  <c r="D9" i="19" l="1"/>
  <c r="G10" i="10"/>
  <c r="G9" i="10" s="1"/>
  <c r="AK9" i="3"/>
  <c r="AK11" i="3" s="1"/>
  <c r="M13" i="10"/>
  <c r="N13" i="10"/>
  <c r="P13" i="10"/>
  <c r="O13" i="10"/>
  <c r="A149" i="6" l="1"/>
  <c r="A219" i="6"/>
  <c r="A316" i="6"/>
  <c r="A202" i="6"/>
  <c r="A182" i="6"/>
  <c r="A121" i="6"/>
  <c r="A371" i="6"/>
  <c r="A331" i="6"/>
  <c r="A293" i="6"/>
  <c r="A165" i="6" l="1"/>
  <c r="A354" i="6"/>
  <c r="A22" i="6"/>
  <c r="A195" i="6"/>
  <c r="A332" i="6"/>
  <c r="A239" i="6"/>
  <c r="A143" i="6"/>
  <c r="A287" i="6"/>
  <c r="A77" i="6"/>
  <c r="A108" i="6"/>
  <c r="A253" i="6"/>
  <c r="A57" i="6"/>
  <c r="A56" i="6"/>
  <c r="A169" i="6"/>
  <c r="A86" i="6"/>
  <c r="A340" i="6"/>
  <c r="A150" i="6"/>
  <c r="A322" i="6"/>
  <c r="A346" i="6"/>
  <c r="A355" i="6"/>
  <c r="A177" i="6"/>
  <c r="A122" i="6"/>
  <c r="A99" i="6"/>
  <c r="A23" i="6"/>
  <c r="A67" i="6"/>
  <c r="A19" i="6"/>
  <c r="A271" i="6"/>
  <c r="A313" i="6"/>
  <c r="A367" i="6"/>
  <c r="A198" i="6"/>
  <c r="A196" i="6"/>
  <c r="A53" i="6"/>
  <c r="A37" i="6"/>
  <c r="A129" i="6"/>
  <c r="A66" i="6"/>
  <c r="A224" i="6"/>
  <c r="A64" i="6"/>
  <c r="A98" i="6"/>
  <c r="A68" i="6"/>
  <c r="A292" i="6"/>
  <c r="A25" i="6"/>
  <c r="A209" i="6"/>
  <c r="A81" i="6"/>
  <c r="A21" i="6"/>
  <c r="A179" i="6"/>
  <c r="A215" i="6"/>
  <c r="A175" i="6"/>
  <c r="A368" i="6"/>
  <c r="A142" i="6"/>
  <c r="A189" i="6"/>
  <c r="A330" i="6"/>
  <c r="A74" i="6"/>
  <c r="A279" i="6"/>
  <c r="A328" i="6"/>
  <c r="A204" i="6"/>
  <c r="A296" i="6"/>
  <c r="A163" i="6"/>
  <c r="A282" i="6"/>
  <c r="A31" i="6"/>
  <c r="A95" i="6"/>
  <c r="A134" i="6"/>
  <c r="A59" i="6"/>
  <c r="A87" i="6"/>
  <c r="A194" i="6"/>
  <c r="A342" i="6"/>
  <c r="A245" i="6"/>
  <c r="A231" i="6"/>
  <c r="A199" i="6"/>
  <c r="A244" i="6"/>
  <c r="A58" i="6"/>
  <c r="A360" i="6"/>
  <c r="A60" i="6"/>
  <c r="A140" i="6"/>
  <c r="A164" i="6"/>
  <c r="A257" i="6"/>
  <c r="A112" i="6"/>
  <c r="A246" i="6"/>
  <c r="A227" i="6"/>
  <c r="A347" i="6"/>
  <c r="A272" i="6"/>
  <c r="A44" i="6"/>
  <c r="A89" i="6"/>
  <c r="A185" i="6"/>
  <c r="A91" i="6"/>
  <c r="A115" i="6"/>
  <c r="A211" i="6"/>
  <c r="A28" i="6"/>
  <c r="A105" i="6"/>
  <c r="A42" i="6"/>
  <c r="A113" i="6"/>
  <c r="A127" i="6"/>
  <c r="A83" i="6"/>
  <c r="A262" i="6"/>
  <c r="A162" i="6"/>
  <c r="A24" i="6"/>
  <c r="A357" i="6"/>
  <c r="A123" i="6"/>
  <c r="A193" i="6"/>
  <c r="A267" i="6"/>
  <c r="A220" i="6"/>
  <c r="A186" i="6"/>
  <c r="A139" i="6"/>
  <c r="A337" i="6"/>
  <c r="A214" i="6"/>
  <c r="A278" i="6"/>
  <c r="A265" i="6"/>
  <c r="A61" i="6"/>
  <c r="A208" i="6"/>
  <c r="A365" i="6"/>
  <c r="A281" i="6"/>
  <c r="A104" i="6"/>
  <c r="A43" i="6"/>
  <c r="A280" i="6"/>
  <c r="A80" i="6"/>
  <c r="A298" i="6"/>
  <c r="A258" i="6"/>
  <c r="A349" i="6"/>
  <c r="A358" i="6"/>
  <c r="A269" i="6"/>
  <c r="A339" i="6"/>
  <c r="A288" i="6"/>
  <c r="A148" i="6"/>
  <c r="A289" i="6"/>
  <c r="A141" i="6"/>
  <c r="A318" i="6"/>
  <c r="A266" i="6"/>
  <c r="A161" i="6"/>
  <c r="A324" i="6"/>
  <c r="A238" i="6"/>
  <c r="A116" i="6"/>
  <c r="A102" i="6"/>
  <c r="A203" i="6"/>
  <c r="A304" i="6"/>
  <c r="A250" i="6"/>
  <c r="A17" i="6"/>
  <c r="A350" i="6"/>
  <c r="A217" i="6"/>
  <c r="A119" i="6"/>
  <c r="A34" i="6"/>
  <c r="A252" i="6"/>
  <c r="A206" i="6"/>
  <c r="A174" i="6"/>
  <c r="A351" i="6"/>
  <c r="A329" i="6"/>
  <c r="A180" i="6"/>
  <c r="A124" i="6"/>
  <c r="A33" i="6"/>
  <c r="A212" i="6"/>
  <c r="A120" i="6"/>
  <c r="A72" i="6"/>
  <c r="A84" i="6"/>
  <c r="A225" i="6"/>
  <c r="A317" i="6"/>
  <c r="A319" i="6"/>
  <c r="A237" i="6"/>
  <c r="A136" i="6"/>
  <c r="A29" i="6"/>
  <c r="A176" i="6"/>
  <c r="A242" i="6"/>
  <c r="A276" i="6"/>
  <c r="A228" i="6"/>
  <c r="A50" i="6"/>
  <c r="A145" i="6"/>
  <c r="A151" i="6"/>
  <c r="A230" i="6"/>
  <c r="A32" i="6"/>
  <c r="A256" i="6"/>
  <c r="A187" i="6"/>
  <c r="A110" i="6"/>
  <c r="A261" i="6"/>
  <c r="A301" i="6"/>
  <c r="A94" i="6"/>
  <c r="A285" i="6"/>
  <c r="A137" i="6"/>
  <c r="A52" i="6"/>
  <c r="A223" i="6"/>
  <c r="A362" i="6"/>
  <c r="A160" i="6"/>
  <c r="A178" i="6"/>
  <c r="A232" i="6"/>
  <c r="A284" i="6"/>
  <c r="A243" i="6"/>
  <c r="A38" i="6"/>
  <c r="A343" i="6"/>
  <c r="A192" i="6"/>
  <c r="A190" i="6"/>
  <c r="A335" i="6"/>
  <c r="A254" i="6"/>
  <c r="A345" i="6"/>
  <c r="A147" i="6"/>
  <c r="A69" i="6"/>
  <c r="A259" i="6"/>
  <c r="A308" i="6"/>
  <c r="A30" i="6"/>
  <c r="A128" i="6"/>
  <c r="A320" i="6"/>
  <c r="A305" i="6"/>
  <c r="A90" i="6"/>
  <c r="A277" i="6"/>
  <c r="A71" i="6"/>
  <c r="A325" i="6"/>
  <c r="A270" i="6"/>
  <c r="A101" i="6"/>
  <c r="A47" i="6"/>
  <c r="A366" i="6"/>
  <c r="A181" i="6"/>
  <c r="A268" i="6"/>
  <c r="A314" i="6"/>
  <c r="A303" i="6"/>
  <c r="A338" i="6"/>
  <c r="A78" i="6"/>
  <c r="A348" i="6"/>
  <c r="A96" i="6"/>
  <c r="A138" i="6"/>
  <c r="A311" i="6"/>
  <c r="A369" i="6"/>
  <c r="A88" i="6"/>
  <c r="A15" i="6"/>
  <c r="A26" i="6"/>
  <c r="A40" i="6"/>
  <c r="A309" i="6"/>
  <c r="A75" i="6"/>
  <c r="A306" i="6"/>
  <c r="A14" i="6"/>
  <c r="A135" i="6"/>
  <c r="A114" i="6"/>
  <c r="A263" i="6"/>
  <c r="A157" i="6"/>
  <c r="A205" i="6"/>
  <c r="A255" i="6"/>
  <c r="A97" i="6"/>
  <c r="A146" i="6"/>
  <c r="A283" i="6"/>
  <c r="A133" i="6"/>
  <c r="A154" i="6"/>
  <c r="A344" i="6"/>
  <c r="A111" i="6"/>
  <c r="A273" i="6"/>
  <c r="A197" i="6"/>
  <c r="A51" i="6"/>
  <c r="A307" i="6"/>
  <c r="A370" i="6"/>
  <c r="A118" i="6"/>
  <c r="A248" i="6"/>
  <c r="A336" i="6"/>
  <c r="A54" i="6"/>
  <c r="A183" i="6"/>
  <c r="A35" i="6"/>
  <c r="A16" i="6"/>
  <c r="A20" i="6"/>
  <c r="A73" i="6"/>
  <c r="A241" i="6"/>
  <c r="A294" i="6"/>
  <c r="A326" i="6"/>
  <c r="A233" i="6"/>
  <c r="A107" i="6"/>
  <c r="A323" i="6"/>
  <c r="A13" i="6"/>
  <c r="A299" i="6"/>
  <c r="A170" i="6"/>
  <c r="A167" i="6"/>
  <c r="A168" i="6"/>
  <c r="A207" i="6"/>
  <c r="A327" i="6"/>
  <c r="A155" i="6"/>
  <c r="A159" i="6"/>
  <c r="A39" i="6"/>
  <c r="A103" i="6"/>
  <c r="A131" i="6"/>
  <c r="A130" i="6"/>
  <c r="A92" i="6"/>
  <c r="A333" i="6"/>
  <c r="A364" i="6"/>
  <c r="A62" i="6"/>
  <c r="A106" i="6"/>
  <c r="A93" i="6"/>
  <c r="A45" i="6"/>
  <c r="A200" i="6"/>
  <c r="A153" i="6"/>
  <c r="A235" i="6"/>
  <c r="A221" i="6"/>
  <c r="A55" i="6"/>
  <c r="A291" i="6"/>
  <c r="A315" i="6"/>
  <c r="A312" i="6"/>
  <c r="A290" i="6"/>
  <c r="A18" i="6"/>
  <c r="A297" i="6"/>
  <c r="A82" i="6"/>
  <c r="A302" i="6"/>
  <c r="A249" i="6"/>
  <c r="A63" i="6"/>
  <c r="A310" i="6"/>
  <c r="A188" i="6"/>
  <c r="A321" i="6"/>
  <c r="A352" i="6"/>
  <c r="A264" i="6"/>
  <c r="A184" i="6"/>
  <c r="A240" i="6"/>
  <c r="A356" i="6"/>
  <c r="A100" i="6"/>
  <c r="A65" i="6"/>
  <c r="A213" i="6"/>
  <c r="A236" i="6"/>
  <c r="A274" i="6"/>
  <c r="A334" i="6"/>
  <c r="A251" i="6"/>
  <c r="A85" i="6"/>
  <c r="A152" i="6"/>
  <c r="A260" i="6"/>
  <c r="A191" i="6"/>
  <c r="A144" i="6"/>
  <c r="A117" i="6"/>
  <c r="A218" i="6"/>
  <c r="A156" i="6"/>
  <c r="A76" i="6"/>
  <c r="A36" i="6"/>
  <c r="A109" i="6"/>
  <c r="A286" i="6"/>
  <c r="A353" i="6"/>
  <c r="A247" i="6"/>
  <c r="A226" i="6"/>
  <c r="A300" i="6"/>
  <c r="A210" i="6"/>
  <c r="A166" i="6"/>
  <c r="A171" i="6"/>
  <c r="A41" i="6"/>
  <c r="A361" i="6"/>
  <c r="A363" i="6"/>
  <c r="A275" i="6"/>
  <c r="A70" i="6"/>
  <c r="A359" i="6"/>
  <c r="A216" i="6"/>
  <c r="A229" i="6"/>
  <c r="A132" i="6"/>
  <c r="A201" i="6"/>
  <c r="A126" i="6"/>
  <c r="A27" i="6"/>
  <c r="A234" i="6"/>
  <c r="A341" i="6"/>
  <c r="A158" i="6"/>
  <c r="A125" i="6"/>
  <c r="A295" i="6"/>
  <c r="A49" i="6"/>
  <c r="A222" i="6"/>
  <c r="A79" i="6"/>
  <c r="A173" i="6"/>
  <c r="A172" i="6"/>
  <c r="J53" i="22" l="1"/>
  <c r="K53" i="22"/>
  <c r="J54" i="22"/>
  <c r="K54" i="22"/>
  <c r="J55" i="22"/>
  <c r="K55" i="22"/>
  <c r="J56" i="22"/>
  <c r="K56" i="22"/>
  <c r="J57" i="22"/>
  <c r="K57" i="22"/>
  <c r="J58" i="22"/>
  <c r="K58" i="22"/>
  <c r="J59" i="22"/>
  <c r="K59" i="22"/>
  <c r="J60" i="22"/>
  <c r="K60" i="22"/>
  <c r="J61" i="22"/>
  <c r="K61" i="22"/>
  <c r="J62" i="22"/>
  <c r="K62" i="22"/>
  <c r="J63" i="22"/>
  <c r="K63" i="22"/>
  <c r="J64" i="22"/>
  <c r="K64" i="22"/>
  <c r="J65" i="22"/>
  <c r="K65" i="22"/>
  <c r="J66" i="22"/>
  <c r="K66" i="22"/>
  <c r="J67" i="22"/>
  <c r="K67" i="22"/>
  <c r="J68" i="22"/>
  <c r="K68" i="22"/>
  <c r="J69" i="22"/>
  <c r="K69" i="22"/>
  <c r="J70" i="22"/>
  <c r="K70" i="22"/>
  <c r="J71" i="22"/>
  <c r="K71" i="22"/>
  <c r="J72" i="22"/>
  <c r="K72" i="22"/>
  <c r="J73" i="22"/>
  <c r="K73" i="22"/>
  <c r="J74" i="22"/>
  <c r="K74" i="22"/>
  <c r="J75" i="22"/>
  <c r="K75" i="22"/>
  <c r="J76" i="22"/>
  <c r="K76" i="22"/>
  <c r="J77" i="22"/>
  <c r="K77" i="22"/>
  <c r="J78" i="22"/>
  <c r="K78" i="22"/>
  <c r="J79" i="22"/>
  <c r="K79" i="22"/>
  <c r="J80" i="22"/>
  <c r="K80" i="22"/>
  <c r="J81" i="22"/>
  <c r="K81" i="22"/>
  <c r="J82" i="22"/>
  <c r="K82" i="22"/>
  <c r="J83" i="22"/>
  <c r="K83" i="22"/>
  <c r="J84" i="22"/>
  <c r="K84" i="22"/>
  <c r="J85" i="22"/>
  <c r="K85" i="22"/>
  <c r="J86" i="22"/>
  <c r="K86" i="22"/>
  <c r="J87" i="22"/>
  <c r="K87" i="22"/>
  <c r="J88" i="22"/>
  <c r="K88" i="22"/>
  <c r="J89" i="22"/>
  <c r="K89" i="22"/>
  <c r="J90" i="22"/>
  <c r="K90" i="22"/>
  <c r="J91" i="22"/>
  <c r="K91" i="22"/>
  <c r="J92" i="22"/>
  <c r="K92" i="22"/>
  <c r="J93" i="22"/>
  <c r="K93" i="22"/>
  <c r="J94" i="22"/>
  <c r="K94" i="22"/>
  <c r="J95" i="22"/>
  <c r="K95" i="22"/>
  <c r="J96" i="22"/>
  <c r="K96" i="22"/>
  <c r="J97" i="22"/>
  <c r="K97" i="22"/>
  <c r="J98" i="22"/>
  <c r="K98" i="22"/>
  <c r="J99" i="22"/>
  <c r="K99" i="22"/>
  <c r="J100" i="22"/>
  <c r="K100" i="22"/>
  <c r="J101" i="22"/>
  <c r="K101" i="22"/>
  <c r="J102" i="22"/>
  <c r="K102" i="22"/>
  <c r="J103" i="22"/>
  <c r="K103" i="22"/>
  <c r="J104" i="22"/>
  <c r="K104" i="22"/>
  <c r="J105" i="22"/>
  <c r="K105" i="22"/>
  <c r="J106" i="22"/>
  <c r="K106" i="22"/>
  <c r="J107" i="22"/>
  <c r="K107" i="22"/>
  <c r="J108" i="22"/>
  <c r="K108" i="22"/>
  <c r="J109" i="22"/>
  <c r="K109" i="22"/>
  <c r="J110" i="22"/>
  <c r="K110" i="22"/>
  <c r="J111" i="22"/>
  <c r="K111" i="22"/>
  <c r="J112" i="22"/>
  <c r="K112" i="22"/>
  <c r="J113" i="22"/>
  <c r="K113" i="22"/>
  <c r="J114" i="22"/>
  <c r="K114" i="22"/>
  <c r="J115" i="22"/>
  <c r="K115" i="22"/>
  <c r="J116" i="22"/>
  <c r="K116" i="22"/>
  <c r="J117" i="22"/>
  <c r="K117" i="22"/>
  <c r="J118" i="22"/>
  <c r="K118" i="22"/>
  <c r="J119" i="22"/>
  <c r="K119" i="22"/>
  <c r="J120" i="22"/>
  <c r="K120" i="22"/>
  <c r="J121" i="22"/>
  <c r="K121" i="22"/>
  <c r="J122" i="22"/>
  <c r="K122" i="22"/>
  <c r="J123" i="22"/>
  <c r="K123" i="22"/>
  <c r="J124" i="22"/>
  <c r="K124" i="22"/>
  <c r="J125" i="22"/>
  <c r="K125" i="22"/>
  <c r="J126" i="22"/>
  <c r="K126" i="22"/>
  <c r="J127" i="22"/>
  <c r="K127" i="22"/>
  <c r="J128" i="22"/>
  <c r="K128" i="22"/>
  <c r="J129" i="22"/>
  <c r="K129" i="22"/>
  <c r="J130" i="22"/>
  <c r="K130" i="22"/>
  <c r="J131" i="22"/>
  <c r="K131" i="22"/>
  <c r="J132" i="22"/>
  <c r="K132" i="22"/>
  <c r="J133" i="22"/>
  <c r="K133" i="22"/>
  <c r="J134" i="22"/>
  <c r="K134" i="22"/>
  <c r="J135" i="22"/>
  <c r="K135" i="22"/>
  <c r="J136" i="22"/>
  <c r="K136" i="22"/>
  <c r="J137" i="22"/>
  <c r="K137" i="22"/>
  <c r="J138" i="22"/>
  <c r="K138" i="22"/>
  <c r="J139" i="22"/>
  <c r="K139" i="22"/>
  <c r="J140" i="22"/>
  <c r="K140" i="22"/>
  <c r="J141" i="22"/>
  <c r="K141" i="22"/>
  <c r="J142" i="22"/>
  <c r="K142" i="22"/>
  <c r="J143" i="22"/>
  <c r="K143" i="22"/>
  <c r="J144" i="22"/>
  <c r="K144" i="22"/>
  <c r="J145" i="22"/>
  <c r="K145" i="22"/>
  <c r="J146" i="22"/>
  <c r="K146" i="22"/>
  <c r="J147" i="22"/>
  <c r="K147" i="22"/>
  <c r="J148" i="22"/>
  <c r="K148" i="22"/>
  <c r="J149" i="22"/>
  <c r="K149" i="22"/>
  <c r="J150" i="22"/>
  <c r="K150" i="22"/>
  <c r="J151" i="22"/>
  <c r="K151" i="22"/>
  <c r="J152" i="22"/>
  <c r="K152" i="22"/>
  <c r="J153" i="22"/>
  <c r="K153" i="22"/>
  <c r="J154" i="22"/>
  <c r="K154" i="22"/>
  <c r="J155" i="22"/>
  <c r="K155" i="22"/>
  <c r="J156" i="22"/>
  <c r="K156" i="22"/>
  <c r="J157" i="22"/>
  <c r="K157" i="22"/>
  <c r="J158" i="22"/>
  <c r="K158" i="22"/>
  <c r="J159" i="22"/>
  <c r="K159" i="22"/>
  <c r="J160" i="22"/>
  <c r="K160" i="22"/>
  <c r="J161" i="22"/>
  <c r="K161" i="22"/>
  <c r="J162" i="22"/>
  <c r="K162" i="22"/>
  <c r="J163" i="22"/>
  <c r="K163" i="22"/>
  <c r="J164" i="22"/>
  <c r="K164" i="22"/>
  <c r="J165" i="22"/>
  <c r="K165" i="22"/>
  <c r="J166" i="22"/>
  <c r="K166" i="22"/>
  <c r="J167" i="22"/>
  <c r="K167" i="22"/>
  <c r="J168" i="22"/>
  <c r="K168" i="22"/>
  <c r="J169" i="22"/>
  <c r="K169" i="22"/>
  <c r="J170" i="22"/>
  <c r="K170" i="22"/>
  <c r="J171" i="22"/>
  <c r="K171" i="22"/>
  <c r="J172" i="22"/>
  <c r="K172" i="22"/>
  <c r="J173" i="22"/>
  <c r="K173" i="22"/>
  <c r="J174" i="22"/>
  <c r="K174" i="22"/>
  <c r="J175" i="22"/>
  <c r="K175" i="22"/>
  <c r="J176" i="22"/>
  <c r="K176" i="22"/>
  <c r="J177" i="22"/>
  <c r="K177" i="22"/>
  <c r="J178" i="22"/>
  <c r="K178" i="22"/>
  <c r="J179" i="22"/>
  <c r="K179" i="22"/>
  <c r="J180" i="22"/>
  <c r="K180" i="22"/>
  <c r="J181" i="22"/>
  <c r="K181" i="22"/>
  <c r="J182" i="22"/>
  <c r="K182" i="22"/>
  <c r="J183" i="22"/>
  <c r="K183" i="22"/>
  <c r="J184" i="22"/>
  <c r="K184" i="22"/>
  <c r="J185" i="22"/>
  <c r="K185" i="22"/>
  <c r="J186" i="22"/>
  <c r="K186" i="22"/>
  <c r="J187" i="22"/>
  <c r="K187" i="22"/>
  <c r="J188" i="22"/>
  <c r="K188" i="22"/>
  <c r="J189" i="22"/>
  <c r="K189" i="22"/>
  <c r="J190" i="22"/>
  <c r="K190" i="22"/>
  <c r="J191" i="22"/>
  <c r="K191" i="22"/>
  <c r="J192" i="22"/>
  <c r="K192" i="22"/>
  <c r="J193" i="22"/>
  <c r="K193" i="22"/>
  <c r="J194" i="22"/>
  <c r="K194" i="22"/>
  <c r="J195" i="22"/>
  <c r="K195" i="22"/>
  <c r="J196" i="22"/>
  <c r="K196" i="22"/>
  <c r="J197" i="22"/>
  <c r="K197" i="22"/>
  <c r="J198" i="22"/>
  <c r="K198" i="22"/>
  <c r="J199" i="22"/>
  <c r="K199" i="22"/>
  <c r="J200" i="22"/>
  <c r="K200" i="22"/>
  <c r="J201" i="22"/>
  <c r="K201" i="22"/>
  <c r="J202" i="22"/>
  <c r="K202" i="22"/>
  <c r="J203" i="22"/>
  <c r="K203" i="22"/>
  <c r="J204" i="22"/>
  <c r="K204" i="22"/>
  <c r="J205" i="22"/>
  <c r="K205" i="22"/>
  <c r="J206" i="22"/>
  <c r="K206" i="22"/>
  <c r="J207" i="22"/>
  <c r="K207" i="22"/>
  <c r="J208" i="22"/>
  <c r="K208" i="22"/>
  <c r="J209" i="22"/>
  <c r="K209" i="22"/>
  <c r="J210" i="22"/>
  <c r="K210" i="22"/>
  <c r="J211" i="22"/>
  <c r="K211" i="22"/>
  <c r="J212" i="22"/>
  <c r="K212" i="22"/>
  <c r="J213" i="22"/>
  <c r="K213" i="22"/>
  <c r="J214" i="22"/>
  <c r="K214" i="22"/>
  <c r="J215" i="22"/>
  <c r="K215" i="22"/>
  <c r="J216" i="22"/>
  <c r="K216" i="22"/>
  <c r="J217" i="22"/>
  <c r="K217" i="22"/>
  <c r="J218" i="22"/>
  <c r="K218" i="22"/>
  <c r="J219" i="22"/>
  <c r="K219" i="22"/>
  <c r="J220" i="22"/>
  <c r="K220" i="22"/>
  <c r="J221" i="22"/>
  <c r="K221" i="22"/>
  <c r="J222" i="22"/>
  <c r="K222" i="22"/>
  <c r="J223" i="22"/>
  <c r="K223" i="22"/>
  <c r="J224" i="22"/>
  <c r="K224" i="22"/>
  <c r="J225" i="22"/>
  <c r="K225" i="22"/>
  <c r="J226" i="22"/>
  <c r="K226" i="22"/>
  <c r="J227" i="22"/>
  <c r="K227" i="22"/>
  <c r="J228" i="22"/>
  <c r="K228" i="22"/>
  <c r="J229" i="22"/>
  <c r="K229" i="22"/>
  <c r="J230" i="22"/>
  <c r="K230" i="22"/>
  <c r="J231" i="22"/>
  <c r="K231" i="22"/>
  <c r="J232" i="22"/>
  <c r="K232" i="22"/>
  <c r="J233" i="22"/>
  <c r="K233" i="22"/>
  <c r="J234" i="22"/>
  <c r="K234" i="22"/>
  <c r="J235" i="22"/>
  <c r="K235" i="22"/>
  <c r="J236" i="22"/>
  <c r="K236" i="22"/>
  <c r="J237" i="22"/>
  <c r="K237" i="22"/>
  <c r="J238" i="22"/>
  <c r="K238" i="22"/>
  <c r="J239" i="22"/>
  <c r="K239" i="22"/>
  <c r="J240" i="22"/>
  <c r="K240" i="22"/>
  <c r="J241" i="22"/>
  <c r="K241" i="22"/>
  <c r="J242" i="22"/>
  <c r="K242" i="22"/>
  <c r="J243" i="22"/>
  <c r="K243" i="22"/>
  <c r="J244" i="22"/>
  <c r="K244" i="22"/>
  <c r="J245" i="22"/>
  <c r="K245" i="22"/>
  <c r="J246" i="22"/>
  <c r="K246" i="22"/>
  <c r="J247" i="22"/>
  <c r="K247" i="22"/>
  <c r="J248" i="22"/>
  <c r="K248" i="22"/>
  <c r="J249" i="22"/>
  <c r="K249" i="22"/>
  <c r="J250" i="22"/>
  <c r="K250" i="22"/>
  <c r="J251" i="22"/>
  <c r="K251" i="22"/>
  <c r="J252" i="22"/>
  <c r="K252" i="22"/>
  <c r="J253" i="22"/>
  <c r="K253" i="22"/>
  <c r="J254" i="22"/>
  <c r="K254" i="22"/>
  <c r="J255" i="22"/>
  <c r="K255" i="22"/>
  <c r="J256" i="22"/>
  <c r="K256" i="22"/>
  <c r="J257" i="22"/>
  <c r="K257" i="22"/>
  <c r="J258" i="22"/>
  <c r="K258" i="22"/>
  <c r="J259" i="22"/>
  <c r="K259" i="22"/>
  <c r="J260" i="22"/>
  <c r="K260" i="22"/>
  <c r="J261" i="22"/>
  <c r="K261" i="22"/>
  <c r="J262" i="22"/>
  <c r="K262" i="22"/>
  <c r="J263" i="22"/>
  <c r="K263" i="22"/>
  <c r="J264" i="22"/>
  <c r="K264" i="22"/>
  <c r="J265" i="22"/>
  <c r="K265" i="22"/>
  <c r="J266" i="22"/>
  <c r="K266" i="22"/>
  <c r="J267" i="22"/>
  <c r="K267" i="22"/>
  <c r="J268" i="22"/>
  <c r="K268" i="22"/>
  <c r="J269" i="22"/>
  <c r="K269" i="22"/>
  <c r="J270" i="22"/>
  <c r="K270" i="22"/>
  <c r="J271" i="22"/>
  <c r="K271" i="22"/>
  <c r="J272" i="22"/>
  <c r="K272" i="22"/>
  <c r="J273" i="22"/>
  <c r="K273" i="22"/>
  <c r="J274" i="22"/>
  <c r="K274" i="22"/>
  <c r="J275" i="22"/>
  <c r="K275" i="22"/>
  <c r="J276" i="22"/>
  <c r="K276" i="22"/>
  <c r="J277" i="22"/>
  <c r="K277" i="22"/>
  <c r="J278" i="22"/>
  <c r="K278" i="22"/>
  <c r="J279" i="22"/>
  <c r="K279" i="22"/>
  <c r="J280" i="22"/>
  <c r="K280" i="22"/>
  <c r="J281" i="22"/>
  <c r="K281" i="22"/>
  <c r="J282" i="22"/>
  <c r="K282" i="22"/>
  <c r="J283" i="22"/>
  <c r="K283" i="22"/>
  <c r="J284" i="22"/>
  <c r="K284" i="22"/>
  <c r="J285" i="22"/>
  <c r="K285" i="22"/>
  <c r="J286" i="22"/>
  <c r="K286" i="22"/>
  <c r="J287" i="22"/>
  <c r="K287" i="22"/>
  <c r="J288" i="22"/>
  <c r="K288" i="22"/>
  <c r="J289" i="22"/>
  <c r="K289" i="22"/>
  <c r="J290" i="22"/>
  <c r="K290" i="22"/>
  <c r="J291" i="22"/>
  <c r="K291" i="22"/>
  <c r="J292" i="22"/>
  <c r="K292" i="22"/>
  <c r="J293" i="22"/>
  <c r="K293" i="22"/>
  <c r="J294" i="22"/>
  <c r="K294" i="22"/>
  <c r="J295" i="22"/>
  <c r="K295" i="22"/>
  <c r="J296" i="22"/>
  <c r="K296" i="22"/>
  <c r="J297" i="22"/>
  <c r="K297" i="22"/>
  <c r="J298" i="22"/>
  <c r="K298" i="22"/>
  <c r="J299" i="22"/>
  <c r="K299" i="22"/>
  <c r="J300" i="22"/>
  <c r="K300" i="22"/>
  <c r="J301" i="22"/>
  <c r="K301" i="22"/>
  <c r="J302" i="22"/>
  <c r="K302" i="22"/>
  <c r="J303" i="22"/>
  <c r="K303" i="22"/>
  <c r="J304" i="22"/>
  <c r="K304" i="22"/>
  <c r="J305" i="22"/>
  <c r="K305" i="22"/>
  <c r="J306" i="22"/>
  <c r="K306" i="22"/>
  <c r="J273" i="14"/>
  <c r="J206" i="14"/>
  <c r="J295" i="14"/>
  <c r="J306" i="14"/>
  <c r="J99" i="14"/>
  <c r="K167" i="14"/>
  <c r="J238" i="14"/>
  <c r="J205" i="14"/>
  <c r="J254" i="14"/>
  <c r="J221" i="14"/>
  <c r="K235" i="14"/>
  <c r="J56" i="14"/>
  <c r="BA14" i="19" s="1" a="1"/>
  <c r="BA14" i="19" s="1"/>
  <c r="K60" i="14"/>
  <c r="BE27" i="19" s="1" a="1"/>
  <c r="BE27" i="19" s="1"/>
  <c r="K64" i="14"/>
  <c r="BI27" i="19" s="1" a="1"/>
  <c r="BI27" i="19" s="1"/>
  <c r="J114" i="14"/>
  <c r="J141" i="14"/>
  <c r="J131" i="14"/>
  <c r="J87" i="14"/>
  <c r="CF14" i="19" s="1" a="1"/>
  <c r="CF14" i="19" s="1"/>
  <c r="K149" i="14"/>
  <c r="J241" i="14"/>
  <c r="K223" i="14"/>
  <c r="J282" i="14"/>
  <c r="K192" i="14"/>
  <c r="K281" i="14"/>
  <c r="K231" i="14"/>
  <c r="J57" i="14"/>
  <c r="BB14" i="19" s="1" a="1"/>
  <c r="BB14" i="19" s="1"/>
  <c r="J123" i="14"/>
  <c r="J150" i="14"/>
  <c r="J162" i="14"/>
  <c r="K279" i="14"/>
  <c r="J83" i="14"/>
  <c r="CB14" i="19" s="1" a="1"/>
  <c r="CB14" i="19" s="1"/>
  <c r="K74" i="14"/>
  <c r="BS27" i="19" s="1" a="1"/>
  <c r="BS27" i="19" s="1"/>
  <c r="K169" i="14"/>
  <c r="J229" i="14"/>
  <c r="K177" i="14"/>
  <c r="K127" i="14"/>
  <c r="J72" i="14"/>
  <c r="BQ14" i="19" s="1" a="1"/>
  <c r="BQ14" i="19" s="1"/>
  <c r="J177" i="14"/>
  <c r="K199" i="14"/>
  <c r="J110" i="14"/>
  <c r="K260" i="14"/>
  <c r="K274" i="14"/>
  <c r="K304" i="14"/>
  <c r="J167" i="14"/>
  <c r="J60" i="14"/>
  <c r="BE14" i="19" s="1" a="1"/>
  <c r="BE14" i="19" s="1"/>
  <c r="J283" i="14"/>
  <c r="J85" i="14"/>
  <c r="CD14" i="19" s="1" a="1"/>
  <c r="CD14" i="19" s="1"/>
  <c r="K242" i="14"/>
  <c r="J275" i="14"/>
  <c r="K276" i="14"/>
  <c r="K252" i="14"/>
  <c r="J245" i="14"/>
  <c r="K202" i="14"/>
  <c r="J100" i="14"/>
  <c r="J147" i="14"/>
  <c r="K77" i="14"/>
  <c r="BV27" i="19" s="1" a="1"/>
  <c r="BV27" i="19" s="1"/>
  <c r="K69" i="14"/>
  <c r="BN27" i="19" s="1" a="1"/>
  <c r="BN27" i="19" s="1"/>
  <c r="K146" i="14"/>
  <c r="J66" i="14"/>
  <c r="BK14" i="19" s="1" a="1"/>
  <c r="BK14" i="19" s="1"/>
  <c r="J192" i="14"/>
  <c r="J74" i="14"/>
  <c r="BS14" i="19" s="1" a="1"/>
  <c r="BS14" i="19" s="1"/>
  <c r="K152" i="14"/>
  <c r="J287" i="14"/>
  <c r="K292" i="14"/>
  <c r="K201" i="14"/>
  <c r="K305" i="14"/>
  <c r="K273" i="14"/>
  <c r="K208" i="14"/>
  <c r="K271" i="14"/>
  <c r="K91" i="14"/>
  <c r="CJ27" i="19" s="1" a="1"/>
  <c r="CJ27" i="19" s="1"/>
  <c r="J210" i="14"/>
  <c r="K102" i="14"/>
  <c r="K162" i="14"/>
  <c r="K258" i="14"/>
  <c r="K194" i="14"/>
  <c r="J125" i="14"/>
  <c r="J199" i="14"/>
  <c r="K119" i="14"/>
  <c r="J104" i="14"/>
  <c r="K180" i="14"/>
  <c r="J305" i="14"/>
  <c r="K109" i="14"/>
  <c r="K154" i="14"/>
  <c r="K108" i="14"/>
  <c r="J224" i="14"/>
  <c r="K117" i="14"/>
  <c r="K196" i="14"/>
  <c r="J263" i="14"/>
  <c r="J232" i="14"/>
  <c r="K289" i="14"/>
  <c r="K132" i="14"/>
  <c r="J258" i="14"/>
  <c r="K287" i="14"/>
  <c r="J91" i="14"/>
  <c r="K296" i="14"/>
  <c r="K116" i="14"/>
  <c r="K244" i="14"/>
  <c r="K226" i="14"/>
  <c r="J64" i="14"/>
  <c r="BI14" i="19" s="1" a="1"/>
  <c r="BI14" i="19" s="1"/>
  <c r="J181" i="14"/>
  <c r="J58" i="14"/>
  <c r="BC14" i="19" s="1" a="1"/>
  <c r="BC14" i="19" s="1"/>
  <c r="K288" i="14"/>
  <c r="K188" i="14"/>
  <c r="J292" i="14"/>
  <c r="K135" i="14"/>
  <c r="K233" i="14"/>
  <c r="K92" i="14"/>
  <c r="CK27" i="19" s="1" a="1"/>
  <c r="CK27" i="19" s="1"/>
  <c r="K153" i="14"/>
  <c r="J178" i="14"/>
  <c r="J149" i="14"/>
  <c r="J76" i="14"/>
  <c r="BU14" i="19" s="1" a="1"/>
  <c r="BU14" i="19" s="1"/>
  <c r="K245" i="14"/>
  <c r="K111" i="14"/>
  <c r="J180" i="14"/>
  <c r="J269" i="14"/>
  <c r="K184" i="14"/>
  <c r="K86" i="14"/>
  <c r="CE27" i="19" s="1" a="1"/>
  <c r="CE27" i="19" s="1"/>
  <c r="K277" i="14"/>
  <c r="K186" i="14"/>
  <c r="K75" i="14"/>
  <c r="BT27" i="19" s="1" a="1"/>
  <c r="BT27" i="19" s="1"/>
  <c r="K157" i="14"/>
  <c r="J296" i="14"/>
  <c r="K227" i="14"/>
  <c r="K94" i="14"/>
  <c r="CM27" i="19" s="1" a="1"/>
  <c r="CM27" i="19" s="1"/>
  <c r="J195" i="14"/>
  <c r="K198" i="14"/>
  <c r="J59" i="14"/>
  <c r="BD14" i="19" s="1" a="1"/>
  <c r="BD14" i="19" s="1"/>
  <c r="K257" i="14"/>
  <c r="J303" i="14"/>
  <c r="J189" i="14"/>
  <c r="J93" i="14"/>
  <c r="J279" i="14"/>
  <c r="J280" i="14"/>
  <c r="J262" i="14"/>
  <c r="K110" i="14"/>
  <c r="K206" i="14"/>
  <c r="J165" i="14"/>
  <c r="K68" i="14"/>
  <c r="BM27" i="19" s="1" a="1"/>
  <c r="BM27" i="19" s="1"/>
  <c r="K161" i="14"/>
  <c r="K211" i="14"/>
  <c r="J170" i="14"/>
  <c r="J274" i="14"/>
  <c r="J127" i="14"/>
  <c r="K134" i="14"/>
  <c r="K249" i="14"/>
  <c r="K160" i="14"/>
  <c r="J200" i="14"/>
  <c r="K163" i="14"/>
  <c r="J61" i="14"/>
  <c r="BF14" i="19" s="1" a="1"/>
  <c r="BF14" i="19" s="1"/>
  <c r="J196" i="14"/>
  <c r="J175" i="14"/>
  <c r="J277" i="14"/>
  <c r="K203" i="14"/>
  <c r="J107" i="14"/>
  <c r="J68" i="14"/>
  <c r="BM14" i="19" s="1" a="1"/>
  <c r="BM14" i="19" s="1"/>
  <c r="K81" i="14"/>
  <c r="BZ27" i="19" s="1" a="1"/>
  <c r="BZ27" i="19" s="1"/>
  <c r="J101" i="14"/>
  <c r="J231" i="14"/>
  <c r="J281" i="14"/>
  <c r="J300" i="14"/>
  <c r="K294" i="14"/>
  <c r="K126" i="14"/>
  <c r="K67" i="14"/>
  <c r="BL27" i="19" s="1" a="1"/>
  <c r="BL27" i="19" s="1"/>
  <c r="J276" i="14"/>
  <c r="K291" i="14"/>
  <c r="J122" i="14"/>
  <c r="J168" i="14"/>
  <c r="J138" i="14"/>
  <c r="J285" i="14"/>
  <c r="K87" i="14"/>
  <c r="CF27" i="19" s="1" a="1"/>
  <c r="CF27" i="19" s="1"/>
  <c r="J304" i="14"/>
  <c r="J176" i="14"/>
  <c r="K53" i="14"/>
  <c r="AX27" i="19" s="1" a="1"/>
  <c r="AX27" i="19" s="1"/>
  <c r="K136" i="14"/>
  <c r="K115" i="14"/>
  <c r="K215" i="14"/>
  <c r="J172" i="14"/>
  <c r="J67" i="14"/>
  <c r="BL14" i="19" s="1" a="1"/>
  <c r="BL14" i="19" s="1"/>
  <c r="J297" i="14"/>
  <c r="J227" i="14"/>
  <c r="K229" i="14"/>
  <c r="K224" i="14"/>
  <c r="K278" i="14"/>
  <c r="J133" i="14"/>
  <c r="J108" i="14"/>
  <c r="J174" i="14"/>
  <c r="J243" i="14"/>
  <c r="J240" i="14"/>
  <c r="J197" i="14"/>
  <c r="J78" i="14"/>
  <c r="BW14" i="19" s="1" a="1"/>
  <c r="BW14" i="19" s="1"/>
  <c r="J293" i="14"/>
  <c r="K58" i="14"/>
  <c r="BC27" i="19" s="1" a="1"/>
  <c r="BC27" i="19" s="1"/>
  <c r="K54" i="14"/>
  <c r="AY27" i="19" s="1" a="1"/>
  <c r="AY27" i="19" s="1"/>
  <c r="J209" i="14"/>
  <c r="J290" i="14"/>
  <c r="J225" i="14"/>
  <c r="J156" i="14"/>
  <c r="K138" i="14"/>
  <c r="K190" i="14"/>
  <c r="K185" i="14"/>
  <c r="K118" i="14"/>
  <c r="K228" i="14"/>
  <c r="J187" i="14"/>
  <c r="J65" i="14"/>
  <c r="BJ14" i="19" s="1" a="1"/>
  <c r="BJ14" i="19" s="1"/>
  <c r="K90" i="14"/>
  <c r="CI27" i="19" s="1" a="1"/>
  <c r="CI27" i="19" s="1"/>
  <c r="K156" i="14"/>
  <c r="J264" i="14"/>
  <c r="K181" i="14"/>
  <c r="K297" i="14"/>
  <c r="K293" i="14"/>
  <c r="K140" i="14"/>
  <c r="J302" i="14"/>
  <c r="J84" i="14"/>
  <c r="CC14" i="19" s="1" a="1"/>
  <c r="CC14" i="19" s="1"/>
  <c r="K240" i="14"/>
  <c r="J214" i="14"/>
  <c r="K267" i="14"/>
  <c r="K72" i="14"/>
  <c r="BQ27" i="19" s="1" a="1"/>
  <c r="BQ27" i="19" s="1"/>
  <c r="J251" i="14"/>
  <c r="J237" i="14"/>
  <c r="K195" i="14"/>
  <c r="K285" i="14"/>
  <c r="J126" i="14"/>
  <c r="K142" i="14"/>
  <c r="J90" i="14"/>
  <c r="CI14" i="19" s="1" a="1"/>
  <c r="CI14" i="19" s="1"/>
  <c r="K131" i="14"/>
  <c r="K95" i="14"/>
  <c r="CN27" i="19" s="1" a="1"/>
  <c r="CN27" i="19" s="1"/>
  <c r="J148" i="14"/>
  <c r="J103" i="14"/>
  <c r="J207" i="14"/>
  <c r="J198" i="14"/>
  <c r="J230" i="14"/>
  <c r="K295" i="14"/>
  <c r="J157" i="14"/>
  <c r="J248" i="14"/>
  <c r="K265" i="14"/>
  <c r="K234" i="14"/>
  <c r="K300" i="14"/>
  <c r="J113" i="14"/>
  <c r="J218" i="14"/>
  <c r="J220" i="14"/>
  <c r="K130" i="14"/>
  <c r="K96" i="14"/>
  <c r="K133" i="14"/>
  <c r="K93" i="14"/>
  <c r="CL27" i="19" s="1" a="1"/>
  <c r="CL27" i="19" s="1"/>
  <c r="J234" i="14"/>
  <c r="K290" i="14"/>
  <c r="J121" i="14"/>
  <c r="J291" i="14"/>
  <c r="K88" i="14"/>
  <c r="CG27" i="19" s="1" a="1"/>
  <c r="CG27" i="19" s="1"/>
  <c r="K121" i="14"/>
  <c r="K217" i="14"/>
  <c r="J155" i="14"/>
  <c r="J208" i="14"/>
  <c r="J54" i="14"/>
  <c r="AY14" i="19" s="1" a="1"/>
  <c r="AY14" i="19" s="1"/>
  <c r="K266" i="14"/>
  <c r="K103" i="14"/>
  <c r="K219" i="14"/>
  <c r="K166" i="14"/>
  <c r="J98" i="14"/>
  <c r="J106" i="14"/>
  <c r="K237" i="14"/>
  <c r="J186" i="14"/>
  <c r="K200" i="14"/>
  <c r="K124" i="14"/>
  <c r="K263" i="14"/>
  <c r="K239" i="14"/>
  <c r="K80" i="14"/>
  <c r="BY27" i="19" s="1" a="1"/>
  <c r="BY27" i="19" s="1"/>
  <c r="J86" i="14"/>
  <c r="CE14" i="19" s="1" a="1"/>
  <c r="CE14" i="19" s="1"/>
  <c r="J95" i="14"/>
  <c r="J152" i="14"/>
  <c r="K129" i="14"/>
  <c r="J183" i="14"/>
  <c r="K262" i="14"/>
  <c r="J204" i="14"/>
  <c r="J142" i="14"/>
  <c r="K174" i="14"/>
  <c r="J182" i="14"/>
  <c r="J135" i="14"/>
  <c r="J96" i="14"/>
  <c r="J89" i="14"/>
  <c r="CH14" i="19" s="1" a="1"/>
  <c r="CH14" i="19" s="1"/>
  <c r="J102" i="14"/>
  <c r="J202" i="14"/>
  <c r="K225" i="14"/>
  <c r="K173" i="14"/>
  <c r="J71" i="14"/>
  <c r="BP14" i="19" s="1" a="1"/>
  <c r="BP14" i="19" s="1"/>
  <c r="J169" i="14"/>
  <c r="J255" i="14"/>
  <c r="J249" i="14"/>
  <c r="K241" i="14"/>
  <c r="J139" i="14"/>
  <c r="J235" i="14"/>
  <c r="K89" i="14"/>
  <c r="CH27" i="19" s="1" a="1"/>
  <c r="CH27" i="19" s="1"/>
  <c r="K147" i="14"/>
  <c r="K170" i="14"/>
  <c r="J163" i="14"/>
  <c r="J184" i="14"/>
  <c r="K168" i="14"/>
  <c r="J70" i="14"/>
  <c r="BO14" i="19" s="1" a="1"/>
  <c r="BO14" i="19" s="1"/>
  <c r="K141" i="14"/>
  <c r="J223" i="14"/>
  <c r="K301" i="14"/>
  <c r="K251" i="14"/>
  <c r="J80" i="14"/>
  <c r="BY14" i="19" s="1" a="1"/>
  <c r="BY14" i="19" s="1"/>
  <c r="J140" i="14"/>
  <c r="J193" i="14"/>
  <c r="K280" i="14"/>
  <c r="K236" i="14"/>
  <c r="K256" i="14"/>
  <c r="J105" i="14"/>
  <c r="J137" i="14"/>
  <c r="K159" i="14"/>
  <c r="K139" i="14"/>
  <c r="K104" i="14"/>
  <c r="J226" i="14"/>
  <c r="J271" i="14"/>
  <c r="J219" i="14"/>
  <c r="K178" i="14"/>
  <c r="J53" i="14"/>
  <c r="AX14" i="19" s="1" a="1"/>
  <c r="AX14" i="19" s="1"/>
  <c r="K120" i="14"/>
  <c r="J272" i="14"/>
  <c r="J145" i="14"/>
  <c r="J236" i="14"/>
  <c r="K216" i="14"/>
  <c r="J188" i="14"/>
  <c r="J239" i="14"/>
  <c r="J284" i="14"/>
  <c r="K112" i="14"/>
  <c r="K218" i="14"/>
  <c r="K165" i="14"/>
  <c r="K78" i="14"/>
  <c r="BW27" i="19" s="1" a="1"/>
  <c r="BW27" i="19" s="1"/>
  <c r="K220" i="14"/>
  <c r="J298" i="14"/>
  <c r="K97" i="14"/>
  <c r="K62" i="14"/>
  <c r="BG27" i="19" s="1" a="1"/>
  <c r="BG27" i="19" s="1"/>
  <c r="K57" i="14"/>
  <c r="BB27" i="19" s="1" a="1"/>
  <c r="BB27" i="19" s="1"/>
  <c r="K232" i="14"/>
  <c r="K98" i="14"/>
  <c r="J120" i="14"/>
  <c r="J201" i="14"/>
  <c r="J134" i="14"/>
  <c r="J266" i="14"/>
  <c r="K269" i="14"/>
  <c r="J244" i="14"/>
  <c r="K230" i="14"/>
  <c r="K207" i="14"/>
  <c r="K187" i="14"/>
  <c r="K261" i="14"/>
  <c r="K243" i="14"/>
  <c r="J222" i="14"/>
  <c r="K179" i="14"/>
  <c r="K303" i="14"/>
  <c r="J247" i="14"/>
  <c r="J250" i="14"/>
  <c r="J154" i="14"/>
  <c r="K105" i="14"/>
  <c r="J268" i="14"/>
  <c r="J217" i="14"/>
  <c r="K113" i="14"/>
  <c r="J73" i="14"/>
  <c r="BR14" i="19" s="1" a="1"/>
  <c r="BR14" i="19" s="1"/>
  <c r="K158" i="14"/>
  <c r="K65" i="14"/>
  <c r="BJ27" i="19" s="1" a="1"/>
  <c r="BJ27" i="19" s="1"/>
  <c r="J185" i="14"/>
  <c r="K56" i="14"/>
  <c r="BA27" i="19" s="1" a="1"/>
  <c r="BA27" i="19" s="1"/>
  <c r="K55" i="14"/>
  <c r="AZ27" i="19" s="1" a="1"/>
  <c r="AZ27" i="19" s="1"/>
  <c r="K197" i="14"/>
  <c r="J233" i="14"/>
  <c r="J88" i="14"/>
  <c r="CG14" i="19" s="1" a="1"/>
  <c r="CG14" i="19" s="1"/>
  <c r="J252" i="14"/>
  <c r="J97" i="14"/>
  <c r="K123" i="14"/>
  <c r="J215" i="14"/>
  <c r="J288" i="14"/>
  <c r="K83" i="14"/>
  <c r="CB27" i="19" s="1" a="1"/>
  <c r="CB27" i="19" s="1"/>
  <c r="J299" i="14"/>
  <c r="J151" i="14"/>
  <c r="K238" i="14"/>
  <c r="J79" i="14"/>
  <c r="BX14" i="19" s="1" a="1"/>
  <c r="BX14" i="19" s="1"/>
  <c r="K137" i="14"/>
  <c r="K150" i="14"/>
  <c r="J129" i="14"/>
  <c r="K100" i="14"/>
  <c r="J124" i="14"/>
  <c r="K66" i="14"/>
  <c r="BK27" i="19" s="1" a="1"/>
  <c r="BK27" i="19" s="1"/>
  <c r="K283" i="14"/>
  <c r="K144" i="14"/>
  <c r="J256" i="14"/>
  <c r="K193" i="14"/>
  <c r="J270" i="14"/>
  <c r="J158" i="14"/>
  <c r="K286" i="14"/>
  <c r="K106" i="14"/>
  <c r="K76" i="14"/>
  <c r="BU27" i="19" s="1" a="1"/>
  <c r="BU27" i="19" s="1"/>
  <c r="J94" i="14"/>
  <c r="J81" i="14"/>
  <c r="BZ14" i="19" s="1" a="1"/>
  <c r="BZ14" i="19" s="1"/>
  <c r="J128" i="14"/>
  <c r="J228" i="14"/>
  <c r="K205" i="14"/>
  <c r="K155" i="14"/>
  <c r="J261" i="14"/>
  <c r="J55" i="14"/>
  <c r="AZ14" i="19" s="1" a="1"/>
  <c r="AZ14" i="19" s="1"/>
  <c r="K151" i="14"/>
  <c r="J161" i="14"/>
  <c r="J119" i="14"/>
  <c r="K306" i="14"/>
  <c r="KQ27" i="19" s="1" a="1"/>
  <c r="KQ27" i="19" s="1"/>
  <c r="KQ31" i="19" s="1"/>
  <c r="K268" i="14"/>
  <c r="K99" i="14"/>
  <c r="J171" i="14"/>
  <c r="J115" i="14"/>
  <c r="J75" i="14"/>
  <c r="BT14" i="19" s="1" a="1"/>
  <c r="BT14" i="19" s="1"/>
  <c r="K250" i="14"/>
  <c r="K222" i="14"/>
  <c r="K209" i="14"/>
  <c r="J109" i="14"/>
  <c r="K191" i="14"/>
  <c r="K114" i="14"/>
  <c r="K82" i="14"/>
  <c r="CA27" i="19" s="1" a="1"/>
  <c r="CA27" i="19" s="1"/>
  <c r="K172" i="14"/>
  <c r="J118" i="14"/>
  <c r="J144" i="14"/>
  <c r="J267" i="14"/>
  <c r="K70" i="14"/>
  <c r="BO27" i="19" s="1" a="1"/>
  <c r="BO27" i="19" s="1"/>
  <c r="J69" i="14"/>
  <c r="BN14" i="19" s="1" a="1"/>
  <c r="BN14" i="19" s="1"/>
  <c r="K84" i="14"/>
  <c r="CC27" i="19" s="1" a="1"/>
  <c r="CC27" i="19" s="1"/>
  <c r="K73" i="14"/>
  <c r="BR27" i="19" s="1" a="1"/>
  <c r="BR27" i="19" s="1"/>
  <c r="J116" i="14"/>
  <c r="J136" i="14"/>
  <c r="K176" i="14"/>
  <c r="J190" i="14"/>
  <c r="J63" i="14"/>
  <c r="BH14" i="19" s="1" a="1"/>
  <c r="BH14" i="19" s="1"/>
  <c r="K255" i="14"/>
  <c r="J159" i="14"/>
  <c r="K148" i="14"/>
  <c r="J62" i="14"/>
  <c r="BG14" i="19" s="1" a="1"/>
  <c r="BG14" i="19" s="1"/>
  <c r="J130" i="14"/>
  <c r="K175" i="14"/>
  <c r="J166" i="14"/>
  <c r="K63" i="14"/>
  <c r="BH27" i="19" s="1" a="1"/>
  <c r="BH27" i="19" s="1"/>
  <c r="K122" i="14"/>
  <c r="K59" i="14"/>
  <c r="BD27" i="19" s="1" a="1"/>
  <c r="BD27" i="19" s="1"/>
  <c r="K85" i="14"/>
  <c r="CD27" i="19" s="1" a="1"/>
  <c r="CD27" i="19" s="1"/>
  <c r="K204" i="14"/>
  <c r="J213" i="14"/>
  <c r="K183" i="14"/>
  <c r="J194" i="14"/>
  <c r="J203" i="14"/>
  <c r="J289" i="14"/>
  <c r="J278" i="14"/>
  <c r="K270" i="14"/>
  <c r="K284" i="14"/>
  <c r="J260" i="14"/>
  <c r="K107" i="14"/>
  <c r="J143" i="14"/>
  <c r="K214" i="14"/>
  <c r="J82" i="14"/>
  <c r="CA14" i="19" s="1" a="1"/>
  <c r="CA14" i="19" s="1"/>
  <c r="K125" i="14"/>
  <c r="J216" i="14"/>
  <c r="K282" i="14"/>
  <c r="K264" i="14"/>
  <c r="K79" i="14"/>
  <c r="BX27" i="19" s="1" a="1"/>
  <c r="BX27" i="19" s="1"/>
  <c r="K128" i="14"/>
  <c r="J132" i="14"/>
  <c r="K247" i="14"/>
  <c r="K275" i="14"/>
  <c r="J242" i="14"/>
  <c r="J92" i="14"/>
  <c r="J173" i="14"/>
  <c r="K101" i="14"/>
  <c r="J153" i="14"/>
  <c r="K71" i="14"/>
  <c r="BP27" i="19" s="1" a="1"/>
  <c r="BP27" i="19" s="1"/>
  <c r="J265" i="14"/>
  <c r="K299" i="14"/>
  <c r="K272" i="14"/>
  <c r="J246" i="14"/>
  <c r="J191" i="14"/>
  <c r="J212" i="14"/>
  <c r="J146" i="14"/>
  <c r="J259" i="14"/>
  <c r="K145" i="14"/>
  <c r="J117" i="14"/>
  <c r="K143" i="14"/>
  <c r="K248" i="14"/>
  <c r="J211" i="14"/>
  <c r="K259" i="14"/>
  <c r="J77" i="14"/>
  <c r="BV14" i="19" s="1" a="1"/>
  <c r="BV14" i="19" s="1"/>
  <c r="K212" i="14"/>
  <c r="J294" i="14"/>
  <c r="J112" i="14"/>
  <c r="K182" i="14"/>
  <c r="K254" i="14"/>
  <c r="K221" i="14"/>
  <c r="J164" i="14"/>
  <c r="J160" i="14"/>
  <c r="J257" i="14"/>
  <c r="K253" i="14"/>
  <c r="K246" i="14"/>
  <c r="K298" i="14"/>
  <c r="K171" i="14"/>
  <c r="J179" i="14"/>
  <c r="J301" i="14"/>
  <c r="K213" i="14"/>
  <c r="J253" i="14"/>
  <c r="J286" i="14"/>
  <c r="K61" i="14"/>
  <c r="BF27" i="19" s="1" a="1"/>
  <c r="BF27" i="19" s="1"/>
  <c r="K302" i="14"/>
  <c r="K164" i="14"/>
  <c r="K189" i="14"/>
  <c r="J111" i="14"/>
  <c r="K210" i="14"/>
  <c r="GY25" i="3" l="1" a="1"/>
  <c r="GY25" i="3" s="1"/>
  <c r="GY29" i="3" s="1"/>
  <c r="GY27" i="19" a="1"/>
  <c r="GY27" i="19" s="1"/>
  <c r="GY31" i="19" s="1"/>
  <c r="DD14" i="3" a="1"/>
  <c r="DD14" i="3" s="1"/>
  <c r="DD15" i="3" s="1"/>
  <c r="DD21" i="3" s="1"/>
  <c r="DD35" i="3" s="1"/>
  <c r="DD14" i="19" a="1"/>
  <c r="DD14" i="19" s="1"/>
  <c r="DD15" i="19" s="1"/>
  <c r="DD22" i="19" s="1"/>
  <c r="GD25" i="3" a="1"/>
  <c r="GD25" i="3" s="1"/>
  <c r="GD29" i="3" s="1"/>
  <c r="GD27" i="19" a="1"/>
  <c r="GD27" i="19" s="1"/>
  <c r="GD31" i="19" s="1"/>
  <c r="FE25" i="3" a="1"/>
  <c r="FE25" i="3" s="1"/>
  <c r="FE29" i="3" s="1"/>
  <c r="FE27" i="19" a="1"/>
  <c r="FE27" i="19" s="1"/>
  <c r="FE31" i="19" s="1"/>
  <c r="KM25" i="3" a="1"/>
  <c r="KM25" i="3" s="1"/>
  <c r="KM29" i="3" s="1"/>
  <c r="KM27" i="19" a="1"/>
  <c r="KM27" i="19" s="1"/>
  <c r="KM31" i="19" s="1"/>
  <c r="BF25" i="3" a="1"/>
  <c r="BF25" i="3" s="1"/>
  <c r="BF29" i="3" s="1"/>
  <c r="BF31" i="19"/>
  <c r="JW14" i="3" a="1"/>
  <c r="JW14" i="3" s="1"/>
  <c r="JW15" i="3" s="1"/>
  <c r="JW21" i="3" s="1"/>
  <c r="JW14" i="19" a="1"/>
  <c r="JW14" i="19" s="1"/>
  <c r="JW15" i="19" s="1"/>
  <c r="JW22" i="19" s="1"/>
  <c r="IP14" i="3" a="1"/>
  <c r="IP14" i="3" s="1"/>
  <c r="IP15" i="3" s="1"/>
  <c r="IP21" i="3" s="1"/>
  <c r="IP14" i="19" a="1"/>
  <c r="IP14" i="19" s="1"/>
  <c r="IP15" i="19" s="1"/>
  <c r="IP22" i="19" s="1"/>
  <c r="HB25" i="3" a="1"/>
  <c r="HB25" i="3" s="1"/>
  <c r="HB29" i="3" s="1"/>
  <c r="HB27" i="19" a="1"/>
  <c r="HB27" i="19" s="1"/>
  <c r="HB31" i="19" s="1"/>
  <c r="KL14" i="3" a="1"/>
  <c r="KL14" i="3" s="1"/>
  <c r="KL15" i="3" s="1"/>
  <c r="KL21" i="3" s="1"/>
  <c r="KL35" i="3" s="1"/>
  <c r="KL36" i="3" s="1"/>
  <c r="KL37" i="3" s="1"/>
  <c r="KL14" i="19" a="1"/>
  <c r="KL14" i="19" s="1"/>
  <c r="KL15" i="19" s="1"/>
  <c r="KL22" i="19" s="1"/>
  <c r="FT14" i="3" a="1"/>
  <c r="FT14" i="3" s="1"/>
  <c r="FT15" i="3" s="1"/>
  <c r="FT21" i="3" s="1"/>
  <c r="FT35" i="3" s="1"/>
  <c r="FT36" i="3" s="1"/>
  <c r="FT37" i="3" s="1"/>
  <c r="FT14" i="19" a="1"/>
  <c r="FT14" i="19" s="1"/>
  <c r="FT15" i="19" s="1"/>
  <c r="FT22" i="19" s="1"/>
  <c r="FL25" i="3" a="1"/>
  <c r="FL25" i="3" s="1"/>
  <c r="FL29" i="3" s="1"/>
  <c r="FL27" i="19" a="1"/>
  <c r="FL27" i="19" s="1"/>
  <c r="FL31" i="19" s="1"/>
  <c r="KI25" i="3" a="1"/>
  <c r="KI25" i="3" s="1"/>
  <c r="KI29" i="3" s="1"/>
  <c r="KI27" i="19" a="1"/>
  <c r="KI27" i="19" s="1"/>
  <c r="KI31" i="19" s="1"/>
  <c r="II25" i="3" a="1"/>
  <c r="II25" i="3" s="1"/>
  <c r="II29" i="3" s="1"/>
  <c r="II27" i="19" a="1"/>
  <c r="II27" i="19" s="1"/>
  <c r="II31" i="19" s="1"/>
  <c r="IP25" i="3" a="1"/>
  <c r="IP25" i="3" s="1"/>
  <c r="IP29" i="3" s="1"/>
  <c r="IP27" i="19" a="1"/>
  <c r="IP27" i="19" s="1"/>
  <c r="IP31" i="19" s="1"/>
  <c r="IT14" i="3" a="1"/>
  <c r="IT14" i="3" s="1"/>
  <c r="IT15" i="3" s="1"/>
  <c r="IT21" i="3" s="1"/>
  <c r="IT35" i="3" s="1"/>
  <c r="IT36" i="3" s="1"/>
  <c r="IT37" i="3" s="1"/>
  <c r="IT14" i="19" a="1"/>
  <c r="IT14" i="19" s="1"/>
  <c r="IT15" i="19" s="1"/>
  <c r="IT22" i="19" s="1"/>
  <c r="FA14" i="3" a="1"/>
  <c r="FA14" i="3" s="1"/>
  <c r="FA15" i="3" s="1"/>
  <c r="FA21" i="3" s="1"/>
  <c r="FA35" i="3" s="1"/>
  <c r="FA36" i="3" s="1"/>
  <c r="FA37" i="3" s="1"/>
  <c r="FA14" i="19" a="1"/>
  <c r="FA14" i="19" s="1"/>
  <c r="FA15" i="19" s="1"/>
  <c r="FA22" i="19" s="1"/>
  <c r="FE14" i="3" a="1"/>
  <c r="FE14" i="3" s="1"/>
  <c r="FE15" i="3" s="1"/>
  <c r="FE21" i="3" s="1"/>
  <c r="FE35" i="3" s="1"/>
  <c r="FE36" i="3" s="1"/>
  <c r="FE37" i="3" s="1"/>
  <c r="FE14" i="19" a="1"/>
  <c r="FE14" i="19" s="1"/>
  <c r="FE15" i="19" s="1"/>
  <c r="FE22" i="19" s="1"/>
  <c r="HJ25" i="3" a="1"/>
  <c r="HJ25" i="3" s="1"/>
  <c r="HJ29" i="3" s="1"/>
  <c r="HJ27" i="19" a="1"/>
  <c r="HJ27" i="19" s="1"/>
  <c r="HJ31" i="19" s="1"/>
  <c r="IQ25" i="3" a="1"/>
  <c r="IQ25" i="3" s="1"/>
  <c r="IQ29" i="3" s="1"/>
  <c r="IQ27" i="19" a="1"/>
  <c r="IQ27" i="19" s="1"/>
  <c r="IQ31" i="19" s="1"/>
  <c r="FW25" i="3" a="1"/>
  <c r="FW25" i="3" s="1"/>
  <c r="FW29" i="3" s="1"/>
  <c r="FW27" i="19" a="1"/>
  <c r="FW27" i="19" s="1"/>
  <c r="FW31" i="19" s="1"/>
  <c r="DE14" i="3" a="1"/>
  <c r="DE14" i="3" s="1"/>
  <c r="DE15" i="3" s="1"/>
  <c r="DE21" i="3" s="1"/>
  <c r="DE35" i="3" s="1"/>
  <c r="DE14" i="19" a="1"/>
  <c r="DE14" i="19" s="1"/>
  <c r="DE15" i="19" s="1"/>
  <c r="DE22" i="19" s="1"/>
  <c r="KE14" i="3" a="1"/>
  <c r="KE14" i="3" s="1"/>
  <c r="KE15" i="3" s="1"/>
  <c r="KE21" i="3" s="1"/>
  <c r="KE35" i="3" s="1"/>
  <c r="KE36" i="3" s="1"/>
  <c r="KE37" i="3" s="1"/>
  <c r="KE14" i="19" a="1"/>
  <c r="KE14" i="19" s="1"/>
  <c r="KE15" i="19" s="1"/>
  <c r="KE22" i="19" s="1"/>
  <c r="HA25" i="3" a="1"/>
  <c r="HA25" i="3" s="1"/>
  <c r="HA29" i="3" s="1"/>
  <c r="HA27" i="19" a="1"/>
  <c r="HA27" i="19" s="1"/>
  <c r="HA31" i="19" s="1"/>
  <c r="BV14" i="3" a="1"/>
  <c r="BV14" i="3" s="1"/>
  <c r="BV15" i="3" s="1"/>
  <c r="BV21" i="3" s="1"/>
  <c r="BV35" i="3" s="1"/>
  <c r="BV15" i="19"/>
  <c r="BV22" i="19" s="1"/>
  <c r="IV25" i="3" a="1"/>
  <c r="IV25" i="3" s="1"/>
  <c r="IV29" i="3" s="1"/>
  <c r="IV27" i="19" a="1"/>
  <c r="IV27" i="19" s="1"/>
  <c r="IV31" i="19" s="1"/>
  <c r="GZ14" i="3" a="1"/>
  <c r="GZ14" i="3" s="1"/>
  <c r="GZ15" i="3" s="1"/>
  <c r="GZ21" i="3" s="1"/>
  <c r="GZ35" i="3" s="1"/>
  <c r="GZ36" i="3" s="1"/>
  <c r="GZ37" i="3" s="1"/>
  <c r="GZ14" i="19" a="1"/>
  <c r="GZ14" i="19" s="1"/>
  <c r="GZ15" i="19" s="1"/>
  <c r="GZ22" i="19" s="1"/>
  <c r="IK25" i="3" a="1"/>
  <c r="IK25" i="3" s="1"/>
  <c r="IK29" i="3" s="1"/>
  <c r="IK27" i="19" a="1"/>
  <c r="IK27" i="19" s="1"/>
  <c r="IK31" i="19" s="1"/>
  <c r="EJ25" i="3" a="1"/>
  <c r="EJ25" i="3" s="1"/>
  <c r="EJ29" i="3" s="1"/>
  <c r="EJ27" i="19" a="1"/>
  <c r="EJ27" i="19" s="1"/>
  <c r="EJ31" i="19" s="1"/>
  <c r="DJ14" i="3" a="1"/>
  <c r="DJ14" i="3" s="1"/>
  <c r="DJ15" i="3" s="1"/>
  <c r="DJ21" i="3" s="1"/>
  <c r="DJ35" i="3" s="1"/>
  <c r="DJ14" i="19" a="1"/>
  <c r="DJ14" i="19" s="1"/>
  <c r="DJ15" i="19" s="1"/>
  <c r="DJ22" i="19" s="1"/>
  <c r="EL25" i="3" a="1"/>
  <c r="EL25" i="3" s="1"/>
  <c r="EL29" i="3" s="1"/>
  <c r="EL27" i="19" a="1"/>
  <c r="EL27" i="19" s="1"/>
  <c r="EL31" i="19" s="1"/>
  <c r="IV14" i="3" a="1"/>
  <c r="IV14" i="3" s="1"/>
  <c r="IV15" i="3" s="1"/>
  <c r="IV21" i="3" s="1"/>
  <c r="IV31" i="3" s="1"/>
  <c r="IV14" i="19" a="1"/>
  <c r="IV14" i="19" s="1"/>
  <c r="IV15" i="19" s="1"/>
  <c r="IV22" i="19" s="1"/>
  <c r="EM14" i="3" a="1"/>
  <c r="EM14" i="3" s="1"/>
  <c r="EM14" i="19" a="1"/>
  <c r="EM14" i="19" s="1"/>
  <c r="EM15" i="19" s="1"/>
  <c r="EM22" i="19" s="1"/>
  <c r="HA14" i="3" a="1"/>
  <c r="HA14" i="3" s="1"/>
  <c r="HA15" i="3" s="1"/>
  <c r="HA21" i="3" s="1"/>
  <c r="HA35" i="3" s="1"/>
  <c r="HA36" i="3" s="1"/>
  <c r="HA37" i="3" s="1"/>
  <c r="HA14" i="19" a="1"/>
  <c r="HA14" i="19" s="1"/>
  <c r="HA15" i="19" s="1"/>
  <c r="HA22" i="19" s="1"/>
  <c r="GF14" i="3" a="1"/>
  <c r="GF14" i="3" s="1"/>
  <c r="GF15" i="3" s="1"/>
  <c r="GF21" i="3" s="1"/>
  <c r="GF35" i="3" s="1"/>
  <c r="GF36" i="3" s="1"/>
  <c r="GF37" i="3" s="1"/>
  <c r="GF14" i="19" a="1"/>
  <c r="GF14" i="19" s="1"/>
  <c r="GF15" i="19" s="1"/>
  <c r="GF22" i="19" s="1"/>
  <c r="II14" i="3" a="1"/>
  <c r="II14" i="3" s="1"/>
  <c r="II15" i="3" s="1"/>
  <c r="II21" i="3" s="1"/>
  <c r="II14" i="19" a="1"/>
  <c r="II14" i="19" s="1"/>
  <c r="II15" i="19" s="1"/>
  <c r="II22" i="19" s="1"/>
  <c r="JI25" i="3" a="1"/>
  <c r="JI25" i="3" s="1"/>
  <c r="JI29" i="3" s="1"/>
  <c r="JI27" i="19" a="1"/>
  <c r="JI27" i="19" s="1"/>
  <c r="JI31" i="19" s="1"/>
  <c r="KJ25" i="3" a="1"/>
  <c r="KJ25" i="3" s="1"/>
  <c r="KJ29" i="3" s="1"/>
  <c r="KJ27" i="19" a="1"/>
  <c r="KJ27" i="19" s="1"/>
  <c r="KJ31" i="19" s="1"/>
  <c r="JB14" i="3" a="1"/>
  <c r="JB14" i="3" s="1"/>
  <c r="JB15" i="3" s="1"/>
  <c r="JB21" i="3" s="1"/>
  <c r="JB14" i="19" a="1"/>
  <c r="JB14" i="19" s="1"/>
  <c r="JB15" i="19" s="1"/>
  <c r="JB22" i="19" s="1"/>
  <c r="BP25" i="3" a="1"/>
  <c r="BP25" i="3" s="1"/>
  <c r="BP29" i="3" s="1"/>
  <c r="BP31" i="19"/>
  <c r="ET14" i="3" a="1"/>
  <c r="ET14" i="3" s="1"/>
  <c r="ET15" i="3" s="1"/>
  <c r="ET21" i="3" s="1"/>
  <c r="ET35" i="3" s="1"/>
  <c r="ET36" i="3" s="1"/>
  <c r="ET37" i="3" s="1"/>
  <c r="ET14" i="19" a="1"/>
  <c r="ET14" i="19" s="1"/>
  <c r="ET15" i="19" s="1"/>
  <c r="ET22" i="19" s="1"/>
  <c r="CT25" i="3" a="1"/>
  <c r="CT25" i="3" s="1"/>
  <c r="CT29" i="3" s="1"/>
  <c r="CT27" i="19" a="1"/>
  <c r="CT27" i="19" s="1"/>
  <c r="CT31" i="19" s="1"/>
  <c r="FN14" i="3" a="1"/>
  <c r="FN14" i="3" s="1"/>
  <c r="FN15" i="3" s="1"/>
  <c r="FN21" i="3" s="1"/>
  <c r="FN35" i="3" s="1"/>
  <c r="FN36" i="3" s="1"/>
  <c r="FN37" i="3" s="1"/>
  <c r="FN14" i="19" a="1"/>
  <c r="FN14" i="19" s="1"/>
  <c r="FN15" i="19" s="1"/>
  <c r="FN22" i="19" s="1"/>
  <c r="CK14" i="3" a="1"/>
  <c r="CK14" i="3" s="1"/>
  <c r="CK15" i="3" s="1"/>
  <c r="CK21" i="3" s="1"/>
  <c r="CK35" i="3" s="1"/>
  <c r="CK14" i="19" a="1"/>
  <c r="CK14" i="19" s="1"/>
  <c r="CK15" i="19" s="1"/>
  <c r="CK22" i="19" s="1"/>
  <c r="IE14" i="3" a="1"/>
  <c r="IE14" i="3" s="1"/>
  <c r="IE15" i="3" s="1"/>
  <c r="IE21" i="3" s="1"/>
  <c r="IE14" i="19" a="1"/>
  <c r="IE14" i="19" s="1"/>
  <c r="IE15" i="19" s="1"/>
  <c r="IE22" i="19" s="1"/>
  <c r="JL25" i="3" a="1"/>
  <c r="JL25" i="3" s="1"/>
  <c r="JL29" i="3" s="1"/>
  <c r="JL27" i="19" a="1"/>
  <c r="JL27" i="19" s="1"/>
  <c r="JL31" i="19" s="1"/>
  <c r="IJ25" i="3" a="1"/>
  <c r="IJ25" i="3" s="1"/>
  <c r="IJ29" i="3" s="1"/>
  <c r="IJ27" i="19" a="1"/>
  <c r="IJ27" i="19" s="1"/>
  <c r="IJ31" i="19" s="1"/>
  <c r="DY14" i="3" a="1"/>
  <c r="DY14" i="3" s="1"/>
  <c r="DY15" i="3" s="1"/>
  <c r="DY21" i="3" s="1"/>
  <c r="DY35" i="3" s="1"/>
  <c r="DY36" i="3" s="1"/>
  <c r="DY37" i="3" s="1"/>
  <c r="DY14" i="19" a="1"/>
  <c r="DY14" i="19" s="1"/>
  <c r="DY15" i="19" s="1"/>
  <c r="DY22" i="19" s="1"/>
  <c r="DU25" i="3" a="1"/>
  <c r="DU25" i="3" s="1"/>
  <c r="DU29" i="3" s="1"/>
  <c r="DU27" i="19" a="1"/>
  <c r="DU27" i="19" s="1"/>
  <c r="DU31" i="19" s="1"/>
  <c r="BX25" i="3" a="1"/>
  <c r="BX25" i="3" s="1"/>
  <c r="BX29" i="3" s="1"/>
  <c r="BX31" i="19"/>
  <c r="JA25" i="3" a="1"/>
  <c r="JA25" i="3" s="1"/>
  <c r="JA29" i="3" s="1"/>
  <c r="JA27" i="19" a="1"/>
  <c r="JA27" i="19" s="1"/>
  <c r="JA31" i="19" s="1"/>
  <c r="JS25" i="3" a="1"/>
  <c r="JS25" i="3" s="1"/>
  <c r="JS29" i="3" s="1"/>
  <c r="JS27" i="19" a="1"/>
  <c r="JS27" i="19" s="1"/>
  <c r="JS31" i="19" s="1"/>
  <c r="HE14" i="3" a="1"/>
  <c r="HE14" i="3" s="1"/>
  <c r="HE15" i="3" s="1"/>
  <c r="HE21" i="3" s="1"/>
  <c r="HE14" i="19" a="1"/>
  <c r="HE14" i="19" s="1"/>
  <c r="HE15" i="19" s="1"/>
  <c r="HE22" i="19" s="1"/>
  <c r="DR25" i="3" a="1"/>
  <c r="DR25" i="3" s="1"/>
  <c r="DR29" i="3" s="1"/>
  <c r="DR27" i="19" a="1"/>
  <c r="DR27" i="19" s="1"/>
  <c r="DR31" i="19" s="1"/>
  <c r="CA14" i="3" a="1"/>
  <c r="CA14" i="3" s="1"/>
  <c r="CA15" i="3" s="1"/>
  <c r="CA21" i="3" s="1"/>
  <c r="CA35" i="3" s="1"/>
  <c r="CA15" i="19"/>
  <c r="CA22" i="19" s="1"/>
  <c r="HC25" i="3" a="1"/>
  <c r="HC25" i="3" s="1"/>
  <c r="HC29" i="3" s="1"/>
  <c r="HC27" i="19" a="1"/>
  <c r="HC27" i="19" s="1"/>
  <c r="HC31" i="19" s="1"/>
  <c r="EJ14" i="3" a="1"/>
  <c r="EJ14" i="3" s="1"/>
  <c r="EJ15" i="3" s="1"/>
  <c r="EJ21" i="3" s="1"/>
  <c r="EJ35" i="3" s="1"/>
  <c r="EJ36" i="3" s="1"/>
  <c r="EJ37" i="3" s="1"/>
  <c r="EJ14" i="19" a="1"/>
  <c r="EJ14" i="19" s="1"/>
  <c r="EJ15" i="19" s="1"/>
  <c r="EJ22" i="19" s="1"/>
  <c r="CZ25" i="3" a="1"/>
  <c r="CZ25" i="3" s="1"/>
  <c r="CZ29" i="3" s="1"/>
  <c r="CZ27" i="19" a="1"/>
  <c r="CZ27" i="19" s="1"/>
  <c r="CZ31" i="19" s="1"/>
  <c r="IW14" i="3" a="1"/>
  <c r="IW14" i="3" s="1"/>
  <c r="IW15" i="3" s="1"/>
  <c r="IW21" i="3" s="1"/>
  <c r="IW35" i="3" s="1"/>
  <c r="IW36" i="3" s="1"/>
  <c r="IW37" i="3" s="1"/>
  <c r="IW14" i="19" a="1"/>
  <c r="IW14" i="19" s="1"/>
  <c r="IW15" i="19" s="1"/>
  <c r="IW22" i="19" s="1"/>
  <c r="JU25" i="3" a="1"/>
  <c r="JU25" i="3" s="1"/>
  <c r="JU29" i="3" s="1"/>
  <c r="JU27" i="19" a="1"/>
  <c r="JU27" i="19" s="1"/>
  <c r="JU31" i="19" s="1"/>
  <c r="JG25" i="3" a="1"/>
  <c r="JG25" i="3" s="1"/>
  <c r="JG29" i="3" s="1"/>
  <c r="JG27" i="19" a="1"/>
  <c r="JG27" i="19" s="1"/>
  <c r="JG31" i="19" s="1"/>
  <c r="JO14" i="3" a="1"/>
  <c r="JO14" i="3" s="1"/>
  <c r="JO15" i="3" s="1"/>
  <c r="JO21" i="3" s="1"/>
  <c r="JO14" i="19" a="1"/>
  <c r="JO14" i="19" s="1"/>
  <c r="JO15" i="19" s="1"/>
  <c r="JO22" i="19" s="1"/>
  <c r="JZ14" i="3" a="1"/>
  <c r="JZ14" i="3" s="1"/>
  <c r="JZ15" i="3" s="1"/>
  <c r="JZ21" i="3" s="1"/>
  <c r="JZ35" i="3" s="1"/>
  <c r="JZ36" i="3" s="1"/>
  <c r="JZ37" i="3" s="1"/>
  <c r="JZ14" i="19" a="1"/>
  <c r="JZ14" i="19" s="1"/>
  <c r="JZ15" i="19" s="1"/>
  <c r="JZ22" i="19" s="1"/>
  <c r="GR14" i="3" a="1"/>
  <c r="GR14" i="3" s="1"/>
  <c r="GR15" i="3" s="1"/>
  <c r="GR21" i="3" s="1"/>
  <c r="GR35" i="3" s="1"/>
  <c r="GR36" i="3" s="1"/>
  <c r="GR37" i="3" s="1"/>
  <c r="GR14" i="19" a="1"/>
  <c r="GR14" i="19" s="1"/>
  <c r="GR15" i="19" s="1"/>
  <c r="GR22" i="19" s="1"/>
  <c r="GI14" i="3" a="1"/>
  <c r="GI14" i="3" s="1"/>
  <c r="GI14" i="19" a="1"/>
  <c r="GI14" i="19" s="1"/>
  <c r="GI15" i="19" s="1"/>
  <c r="GI22" i="19" s="1"/>
  <c r="FX25" i="3" a="1"/>
  <c r="FX25" i="3" s="1"/>
  <c r="FX29" i="3" s="1"/>
  <c r="FX27" i="19" a="1"/>
  <c r="FX27" i="19" s="1"/>
  <c r="FX31" i="19" s="1"/>
  <c r="HB14" i="3" a="1"/>
  <c r="HB14" i="3" s="1"/>
  <c r="HB15" i="3" s="1"/>
  <c r="HB21" i="3" s="1"/>
  <c r="HB14" i="19" a="1"/>
  <c r="HB14" i="19" s="1"/>
  <c r="HB15" i="19" s="1"/>
  <c r="HB22" i="19" s="1"/>
  <c r="GS25" i="3" a="1"/>
  <c r="GS25" i="3" s="1"/>
  <c r="GS29" i="3" s="1"/>
  <c r="GS27" i="19" a="1"/>
  <c r="GS27" i="19" s="1"/>
  <c r="GS31" i="19" s="1"/>
  <c r="CD25" i="3" a="1"/>
  <c r="CD25" i="3" s="1"/>
  <c r="CD29" i="3" s="1"/>
  <c r="CD31" i="19"/>
  <c r="BD25" i="3" a="1"/>
  <c r="BD25" i="3" s="1"/>
  <c r="BD29" i="3" s="1"/>
  <c r="BD31" i="19"/>
  <c r="DO25" i="3" a="1"/>
  <c r="DO25" i="3" s="1"/>
  <c r="DO29" i="3" s="1"/>
  <c r="DO27" i="19" a="1"/>
  <c r="DO27" i="19" s="1"/>
  <c r="DO31" i="19" s="1"/>
  <c r="BH25" i="3" a="1"/>
  <c r="BH25" i="3" s="1"/>
  <c r="BH29" i="3" s="1"/>
  <c r="BH31" i="19"/>
  <c r="FG14" i="3" a="1"/>
  <c r="FG14" i="3" s="1"/>
  <c r="FG15" i="3" s="1"/>
  <c r="FG21" i="3" s="1"/>
  <c r="FG35" i="3" s="1"/>
  <c r="FG36" i="3" s="1"/>
  <c r="FG37" i="3" s="1"/>
  <c r="FG14" i="19" a="1"/>
  <c r="FG14" i="19" s="1"/>
  <c r="FG15" i="19" s="1"/>
  <c r="FG22" i="19" s="1"/>
  <c r="FP25" i="3" a="1"/>
  <c r="FP25" i="3" s="1"/>
  <c r="FP29" i="3" s="1"/>
  <c r="FP27" i="19" a="1"/>
  <c r="FP27" i="19" s="1"/>
  <c r="FP31" i="19" s="1"/>
  <c r="DW14" i="3" a="1"/>
  <c r="DW14" i="3" s="1"/>
  <c r="DW15" i="3" s="1"/>
  <c r="DW21" i="3" s="1"/>
  <c r="DW35" i="3" s="1"/>
  <c r="DW36" i="3" s="1"/>
  <c r="DW37" i="3" s="1"/>
  <c r="DW14" i="19" a="1"/>
  <c r="DW14" i="19" s="1"/>
  <c r="DW15" i="19" s="1"/>
  <c r="DW22" i="19" s="1"/>
  <c r="BG14" i="3" a="1"/>
  <c r="BG14" i="3" s="1"/>
  <c r="BG15" i="3" s="1"/>
  <c r="BG21" i="3" s="1"/>
  <c r="BG15" i="19"/>
  <c r="BG22" i="19" s="1"/>
  <c r="EO25" i="3" a="1"/>
  <c r="EO25" i="3" s="1"/>
  <c r="EO29" i="3" s="1"/>
  <c r="EO27" i="19" a="1"/>
  <c r="EO27" i="19" s="1"/>
  <c r="EO31" i="19" s="1"/>
  <c r="EZ14" i="3" a="1"/>
  <c r="EZ14" i="3" s="1"/>
  <c r="EZ15" i="3" s="1"/>
  <c r="EZ21" i="3" s="1"/>
  <c r="EZ35" i="3" s="1"/>
  <c r="EZ36" i="3" s="1"/>
  <c r="EZ37" i="3" s="1"/>
  <c r="EZ14" i="19" a="1"/>
  <c r="EZ14" i="19" s="1"/>
  <c r="EZ15" i="19" s="1"/>
  <c r="EZ22" i="19" s="1"/>
  <c r="IR25" i="3" a="1"/>
  <c r="IR25" i="3" s="1"/>
  <c r="IR29" i="3" s="1"/>
  <c r="IR27" i="19" a="1"/>
  <c r="IR27" i="19" s="1"/>
  <c r="IR31" i="19" s="1"/>
  <c r="BH14" i="3" a="1"/>
  <c r="BH14" i="3" s="1"/>
  <c r="BH15" i="3" s="1"/>
  <c r="BH21" i="3" s="1"/>
  <c r="BH35" i="3" s="1"/>
  <c r="GE14" i="3" a="1"/>
  <c r="GE14" i="3" s="1"/>
  <c r="GE15" i="3" s="1"/>
  <c r="GE21" i="3" s="1"/>
  <c r="GE35" i="3" s="1"/>
  <c r="GE36" i="3" s="1"/>
  <c r="GE37" i="3" s="1"/>
  <c r="GE14" i="19" a="1"/>
  <c r="GE14" i="19" s="1"/>
  <c r="GE15" i="19" s="1"/>
  <c r="GE22" i="19" s="1"/>
  <c r="FQ25" i="3" a="1"/>
  <c r="FQ25" i="3" s="1"/>
  <c r="FQ29" i="3" s="1"/>
  <c r="FQ27" i="19" a="1"/>
  <c r="FQ27" i="19" s="1"/>
  <c r="FQ31" i="19" s="1"/>
  <c r="EC14" i="3" a="1"/>
  <c r="EC14" i="3" s="1"/>
  <c r="EC15" i="3" s="1"/>
  <c r="EC21" i="3" s="1"/>
  <c r="EC35" i="3" s="1"/>
  <c r="EC36" i="3" s="1"/>
  <c r="EC37" i="3" s="1"/>
  <c r="EC14" i="19" a="1"/>
  <c r="EC14" i="19" s="1"/>
  <c r="EC15" i="19" s="1"/>
  <c r="EC22" i="19" s="1"/>
  <c r="DI14" i="3" a="1"/>
  <c r="DI14" i="3" s="1"/>
  <c r="DI15" i="3" s="1"/>
  <c r="DI21" i="3" s="1"/>
  <c r="DI35" i="3" s="1"/>
  <c r="DI14" i="19" a="1"/>
  <c r="DI14" i="19" s="1"/>
  <c r="DI15" i="19" s="1"/>
  <c r="DI22" i="19" s="1"/>
  <c r="BR25" i="3" a="1"/>
  <c r="BR25" i="3" s="1"/>
  <c r="BR29" i="3" s="1"/>
  <c r="BR31" i="19"/>
  <c r="CC25" i="3" a="1"/>
  <c r="CC25" i="3" s="1"/>
  <c r="CC29" i="3" s="1"/>
  <c r="CC31" i="19"/>
  <c r="BN14" i="3" a="1"/>
  <c r="BN14" i="3" s="1"/>
  <c r="BO25" i="3" a="1"/>
  <c r="BO25" i="3" s="1"/>
  <c r="BO29" i="3" s="1"/>
  <c r="BO31" i="19"/>
  <c r="JD14" i="3" a="1"/>
  <c r="JD14" i="3" s="1"/>
  <c r="JD15" i="3" s="1"/>
  <c r="JD21" i="3" s="1"/>
  <c r="JD35" i="3" s="1"/>
  <c r="JD36" i="3" s="1"/>
  <c r="JD37" i="3" s="1"/>
  <c r="JD14" i="19" a="1"/>
  <c r="JD14" i="19" s="1"/>
  <c r="JD15" i="19" s="1"/>
  <c r="JD22" i="19" s="1"/>
  <c r="EK14" i="3" a="1"/>
  <c r="EK14" i="3" s="1"/>
  <c r="EK15" i="3" s="1"/>
  <c r="EK21" i="3" s="1"/>
  <c r="EK35" i="3" s="1"/>
  <c r="EK36" i="3" s="1"/>
  <c r="EK37" i="3" s="1"/>
  <c r="EK14" i="19" a="1"/>
  <c r="EK14" i="19" s="1"/>
  <c r="EK15" i="19" s="1"/>
  <c r="EK22" i="19" s="1"/>
  <c r="DK14" i="3" a="1"/>
  <c r="DK14" i="3" s="1"/>
  <c r="DK15" i="3" s="1"/>
  <c r="DK21" i="3" s="1"/>
  <c r="DK14" i="19" a="1"/>
  <c r="DK14" i="19" s="1"/>
  <c r="DK15" i="19" s="1"/>
  <c r="DK22" i="19" s="1"/>
  <c r="FM25" i="3" a="1"/>
  <c r="FM25" i="3" s="1"/>
  <c r="FM29" i="3" s="1"/>
  <c r="FM27" i="19" a="1"/>
  <c r="FM27" i="19" s="1"/>
  <c r="FM31" i="19" s="1"/>
  <c r="CA25" i="3" a="1"/>
  <c r="CA25" i="3" s="1"/>
  <c r="CA29" i="3" s="1"/>
  <c r="CA31" i="19"/>
  <c r="DG25" i="3" a="1"/>
  <c r="DG25" i="3" s="1"/>
  <c r="DG29" i="3" s="1"/>
  <c r="DG27" i="19" a="1"/>
  <c r="DG27" i="19" s="1"/>
  <c r="DG31" i="19" s="1"/>
  <c r="GF25" i="3" a="1"/>
  <c r="GF25" i="3" s="1"/>
  <c r="GF29" i="3" s="1"/>
  <c r="GF27" i="19" a="1"/>
  <c r="GF27" i="19" s="1"/>
  <c r="GF31" i="19" s="1"/>
  <c r="DB14" i="3" a="1"/>
  <c r="DB14" i="3" s="1"/>
  <c r="DB15" i="3" s="1"/>
  <c r="DB21" i="3" s="1"/>
  <c r="DB35" i="3" s="1"/>
  <c r="DB14" i="19" a="1"/>
  <c r="DB14" i="19" s="1"/>
  <c r="DB15" i="19" s="1"/>
  <c r="DB22" i="19" s="1"/>
  <c r="GX25" i="3" a="1"/>
  <c r="GX25" i="3" s="1"/>
  <c r="GX29" i="3" s="1"/>
  <c r="GX27" i="19" a="1"/>
  <c r="GX27" i="19" s="1"/>
  <c r="GX31" i="19" s="1"/>
  <c r="HK25" i="3" a="1"/>
  <c r="HK25" i="3" s="1"/>
  <c r="HK29" i="3" s="1"/>
  <c r="HK27" i="19" a="1"/>
  <c r="HK27" i="19" s="1"/>
  <c r="HK31" i="19" s="1"/>
  <c r="IM25" i="3" a="1"/>
  <c r="IM25" i="3" s="1"/>
  <c r="IM29" i="3" s="1"/>
  <c r="IM27" i="19" a="1"/>
  <c r="IM27" i="19" s="1"/>
  <c r="IM31" i="19" s="1"/>
  <c r="BT14" i="3" a="1"/>
  <c r="BT14" i="3" s="1"/>
  <c r="BT15" i="3" s="1"/>
  <c r="BT21" i="3" s="1"/>
  <c r="DH14" i="3" a="1"/>
  <c r="DH14" i="3" s="1"/>
  <c r="DH15" i="3" s="1"/>
  <c r="DH21" i="3" s="1"/>
  <c r="DH35" i="3" s="1"/>
  <c r="DH14" i="19" a="1"/>
  <c r="DH14" i="19" s="1"/>
  <c r="DH15" i="19" s="1"/>
  <c r="DH22" i="19" s="1"/>
  <c r="FL14" i="3" a="1"/>
  <c r="FL14" i="3" s="1"/>
  <c r="FL15" i="3" s="1"/>
  <c r="FL21" i="3" s="1"/>
  <c r="FL35" i="3" s="1"/>
  <c r="FL36" i="3" s="1"/>
  <c r="FL37" i="3" s="1"/>
  <c r="FL14" i="19" a="1"/>
  <c r="FL14" i="19" s="1"/>
  <c r="FL15" i="19" s="1"/>
  <c r="FL22" i="19" s="1"/>
  <c r="CR25" i="3" a="1"/>
  <c r="CR25" i="3" s="1"/>
  <c r="CR29" i="3" s="1"/>
  <c r="CR27" i="19" a="1"/>
  <c r="CR27" i="19" s="1"/>
  <c r="CR31" i="19" s="1"/>
  <c r="JE25" i="3" a="1"/>
  <c r="JE25" i="3" s="1"/>
  <c r="JE29" i="3" s="1"/>
  <c r="JE27" i="19" a="1"/>
  <c r="JE27" i="19" s="1"/>
  <c r="JE31" i="19" s="1"/>
  <c r="DL14" i="3" a="1"/>
  <c r="DL14" i="3" s="1"/>
  <c r="DL15" i="3" s="1"/>
  <c r="DL21" i="3" s="1"/>
  <c r="DL35" i="3" s="1"/>
  <c r="DL14" i="19" a="1"/>
  <c r="DL14" i="19" s="1"/>
  <c r="DL15" i="19" s="1"/>
  <c r="DL22" i="19" s="1"/>
  <c r="FB14" i="3" a="1"/>
  <c r="FB14" i="3" s="1"/>
  <c r="FB15" i="3" s="1"/>
  <c r="FB21" i="3" s="1"/>
  <c r="FB35" i="3" s="1"/>
  <c r="FB36" i="3" s="1"/>
  <c r="FB37" i="3" s="1"/>
  <c r="FB14" i="19" a="1"/>
  <c r="FB14" i="19" s="1"/>
  <c r="FB15" i="19" s="1"/>
  <c r="FB22" i="19" s="1"/>
  <c r="ER25" i="3" a="1"/>
  <c r="ER25" i="3" s="1"/>
  <c r="ER29" i="3" s="1"/>
  <c r="ER27" i="19" a="1"/>
  <c r="ER27" i="19" s="1"/>
  <c r="ER31" i="19" s="1"/>
  <c r="AZ14" i="3" a="1"/>
  <c r="AZ14" i="3" s="1"/>
  <c r="AZ15" i="3" s="1"/>
  <c r="AZ21" i="3" s="1"/>
  <c r="AZ35" i="3" s="1"/>
  <c r="AZ15" i="19"/>
  <c r="AZ22" i="19" s="1"/>
  <c r="IX14" i="3" a="1"/>
  <c r="IX14" i="3" s="1"/>
  <c r="IX15" i="3" s="1"/>
  <c r="IX21" i="3" s="1"/>
  <c r="IX35" i="3" s="1"/>
  <c r="IX36" i="3" s="1"/>
  <c r="IX37" i="3" s="1"/>
  <c r="IX14" i="19" a="1"/>
  <c r="IX14" i="19" s="1"/>
  <c r="IX15" i="19" s="1"/>
  <c r="IX22" i="19" s="1"/>
  <c r="EV25" i="3" a="1"/>
  <c r="EV25" i="3" s="1"/>
  <c r="EV29" i="3" s="1"/>
  <c r="EV27" i="19" a="1"/>
  <c r="EV27" i="19" s="1"/>
  <c r="EV31" i="19" s="1"/>
  <c r="GT25" i="3" a="1"/>
  <c r="GT25" i="3" s="1"/>
  <c r="GT29" i="3" s="1"/>
  <c r="GT27" i="19" a="1"/>
  <c r="GT27" i="19" s="1"/>
  <c r="GT31" i="19" s="1"/>
  <c r="HQ14" i="3" a="1"/>
  <c r="HQ14" i="3" s="1"/>
  <c r="HQ15" i="3" s="1"/>
  <c r="HQ21" i="3" s="1"/>
  <c r="HQ35" i="3" s="1"/>
  <c r="HQ36" i="3" s="1"/>
  <c r="HQ37" i="3" s="1"/>
  <c r="HQ14" i="19" a="1"/>
  <c r="HQ14" i="19" s="1"/>
  <c r="HQ15" i="19" s="1"/>
  <c r="HQ22" i="19" s="1"/>
  <c r="DU14" i="3" a="1"/>
  <c r="DU14" i="3" s="1"/>
  <c r="DU15" i="3" s="1"/>
  <c r="DU21" i="3" s="1"/>
  <c r="DU35" i="3" s="1"/>
  <c r="DU36" i="3" s="1"/>
  <c r="DU37" i="3" s="1"/>
  <c r="DU14" i="19" a="1"/>
  <c r="DU14" i="19" s="1"/>
  <c r="DU15" i="19" s="1"/>
  <c r="DU22" i="19" s="1"/>
  <c r="BZ14" i="3" a="1"/>
  <c r="BZ14" i="3" s="1"/>
  <c r="BZ15" i="3" s="1"/>
  <c r="BZ21" i="3" s="1"/>
  <c r="BZ35" i="3" s="1"/>
  <c r="CM14" i="3" a="1"/>
  <c r="CM14" i="3" s="1"/>
  <c r="CM15" i="3" s="1"/>
  <c r="CM21" i="3" s="1"/>
  <c r="CM35" i="3" s="1"/>
  <c r="CM14" i="19" a="1"/>
  <c r="CM14" i="19" s="1"/>
  <c r="CM15" i="19" s="1"/>
  <c r="CM22" i="19" s="1"/>
  <c r="BU25" i="3" a="1"/>
  <c r="BU25" i="3" s="1"/>
  <c r="BU29" i="3" s="1"/>
  <c r="BU31" i="19"/>
  <c r="CY25" i="3" a="1"/>
  <c r="CY25" i="3" s="1"/>
  <c r="CY29" i="3" s="1"/>
  <c r="CY27" i="19" a="1"/>
  <c r="CY27" i="19" s="1"/>
  <c r="CY31" i="19" s="1"/>
  <c r="JW25" i="3" a="1"/>
  <c r="JW25" i="3" s="1"/>
  <c r="JW29" i="3" s="1"/>
  <c r="JW27" i="19" a="1"/>
  <c r="JW27" i="19" s="1"/>
  <c r="JW31" i="19" s="1"/>
  <c r="EY14" i="3" a="1"/>
  <c r="EY14" i="3" s="1"/>
  <c r="EY15" i="3" s="1"/>
  <c r="EY21" i="3" s="1"/>
  <c r="EY14" i="19" a="1"/>
  <c r="EY14" i="19" s="1"/>
  <c r="EY15" i="19" s="1"/>
  <c r="EY22" i="19" s="1"/>
  <c r="JG14" i="3" a="1"/>
  <c r="JG14" i="3" s="1"/>
  <c r="JG15" i="3" s="1"/>
  <c r="JG21" i="3" s="1"/>
  <c r="JG35" i="3" s="1"/>
  <c r="JG36" i="3" s="1"/>
  <c r="JG37" i="3" s="1"/>
  <c r="JG14" i="19" a="1"/>
  <c r="JG14" i="19" s="1"/>
  <c r="JG15" i="19" s="1"/>
  <c r="JG22" i="19" s="1"/>
  <c r="GH25" i="3" a="1"/>
  <c r="GH25" i="3" s="1"/>
  <c r="GH29" i="3" s="1"/>
  <c r="GH27" i="19" a="1"/>
  <c r="GH27" i="19" s="1"/>
  <c r="GH31" i="19" s="1"/>
  <c r="IS14" i="3" a="1"/>
  <c r="IS14" i="3" s="1"/>
  <c r="IS15" i="3" s="1"/>
  <c r="IS21" i="3" s="1"/>
  <c r="IS35" i="3" s="1"/>
  <c r="IS36" i="3" s="1"/>
  <c r="IS37" i="3" s="1"/>
  <c r="IS14" i="19" a="1"/>
  <c r="IS14" i="19" s="1"/>
  <c r="IS15" i="19" s="1"/>
  <c r="IS22" i="19" s="1"/>
  <c r="EK25" i="3" a="1"/>
  <c r="EK25" i="3" s="1"/>
  <c r="EK29" i="3" s="1"/>
  <c r="EK27" i="19" a="1"/>
  <c r="EK27" i="19" s="1"/>
  <c r="EK31" i="19" s="1"/>
  <c r="JT25" i="3" a="1"/>
  <c r="JT25" i="3" s="1"/>
  <c r="JT29" i="3" s="1"/>
  <c r="JT27" i="19" a="1"/>
  <c r="JT27" i="19" s="1"/>
  <c r="JT31" i="19" s="1"/>
  <c r="BK25" i="3" a="1"/>
  <c r="BK25" i="3" s="1"/>
  <c r="BK29" i="3" s="1"/>
  <c r="BK31" i="19"/>
  <c r="DQ14" i="3" a="1"/>
  <c r="DQ14" i="3" s="1"/>
  <c r="DQ15" i="3" s="1"/>
  <c r="DQ21" i="3" s="1"/>
  <c r="DQ14" i="19" a="1"/>
  <c r="DQ14" i="19" s="1"/>
  <c r="DQ15" i="19" s="1"/>
  <c r="DQ22" i="19" s="1"/>
  <c r="CS25" i="3" a="1"/>
  <c r="CS25" i="3" s="1"/>
  <c r="CS29" i="3" s="1"/>
  <c r="CS27" i="19" a="1"/>
  <c r="CS27" i="19" s="1"/>
  <c r="CS31" i="19" s="1"/>
  <c r="DV14" i="3" a="1"/>
  <c r="DV14" i="3" s="1"/>
  <c r="DV15" i="3" s="1"/>
  <c r="DV21" i="3" s="1"/>
  <c r="DV14" i="19" a="1"/>
  <c r="DV14" i="19" s="1"/>
  <c r="DV15" i="19" s="1"/>
  <c r="DV22" i="19" s="1"/>
  <c r="EQ25" i="3" a="1"/>
  <c r="EQ25" i="3" s="1"/>
  <c r="EQ29" i="3" s="1"/>
  <c r="EQ27" i="19" a="1"/>
  <c r="EQ27" i="19" s="1"/>
  <c r="EQ31" i="19" s="1"/>
  <c r="ED25" i="3" a="1"/>
  <c r="ED25" i="3" s="1"/>
  <c r="ED29" i="3" s="1"/>
  <c r="ED27" i="19" a="1"/>
  <c r="ED27" i="19" s="1"/>
  <c r="ED31" i="19" s="1"/>
  <c r="BX14" i="3" a="1"/>
  <c r="BX14" i="3" s="1"/>
  <c r="BX15" i="3" s="1"/>
  <c r="BX21" i="3" s="1"/>
  <c r="BX35" i="3" s="1"/>
  <c r="BX15" i="19"/>
  <c r="BX22" i="19" s="1"/>
  <c r="IA25" i="3" a="1"/>
  <c r="IA25" i="3" s="1"/>
  <c r="IA29" i="3" s="1"/>
  <c r="IA27" i="19" a="1"/>
  <c r="IA27" i="19" s="1"/>
  <c r="IA31" i="19" s="1"/>
  <c r="ER14" i="3" a="1"/>
  <c r="ER14" i="3" s="1"/>
  <c r="ER15" i="3" s="1"/>
  <c r="ER21" i="3" s="1"/>
  <c r="ER35" i="3" s="1"/>
  <c r="ER36" i="3" s="1"/>
  <c r="ER37" i="3" s="1"/>
  <c r="ER14" i="19" a="1"/>
  <c r="ER14" i="19" s="1"/>
  <c r="ER15" i="19" s="1"/>
  <c r="ER22" i="19" s="1"/>
  <c r="KJ14" i="3" a="1"/>
  <c r="KJ14" i="3" s="1"/>
  <c r="KJ15" i="3" s="1"/>
  <c r="KJ21" i="3" s="1"/>
  <c r="KJ14" i="19" a="1"/>
  <c r="KJ14" i="19" s="1"/>
  <c r="KJ15" i="19" s="1"/>
  <c r="KJ22" i="19" s="1"/>
  <c r="CB25" i="3" a="1"/>
  <c r="CB25" i="3" s="1"/>
  <c r="CB29" i="3" s="1"/>
  <c r="CB31" i="19"/>
  <c r="JY14" i="3" a="1"/>
  <c r="JY14" i="3" s="1"/>
  <c r="JY15" i="3" s="1"/>
  <c r="JY21" i="3" s="1"/>
  <c r="JY35" i="3" s="1"/>
  <c r="JY36" i="3" s="1"/>
  <c r="JY37" i="3" s="1"/>
  <c r="JY14" i="19" a="1"/>
  <c r="JY14" i="19" s="1"/>
  <c r="JY15" i="19" s="1"/>
  <c r="JY22" i="19" s="1"/>
  <c r="HD14" i="3" a="1"/>
  <c r="HD14" i="3" s="1"/>
  <c r="HD15" i="3" s="1"/>
  <c r="HD21" i="3" s="1"/>
  <c r="HD35" i="3" s="1"/>
  <c r="HD36" i="3" s="1"/>
  <c r="HD37" i="3" s="1"/>
  <c r="HD14" i="19" a="1"/>
  <c r="HD14" i="19" s="1"/>
  <c r="HD15" i="19" s="1"/>
  <c r="HD22" i="19" s="1"/>
  <c r="DP25" i="3" a="1"/>
  <c r="DP25" i="3" s="1"/>
  <c r="DP29" i="3" s="1"/>
  <c r="DP27" i="19" a="1"/>
  <c r="DP27" i="19" s="1"/>
  <c r="DP31" i="19" s="1"/>
  <c r="CP14" i="3" a="1"/>
  <c r="CP14" i="3" s="1"/>
  <c r="CP15" i="3" s="1"/>
  <c r="CP21" i="3" s="1"/>
  <c r="CP35" i="3" s="1"/>
  <c r="CP14" i="19" a="1"/>
  <c r="CP14" i="19" s="1"/>
  <c r="CP15" i="19" s="1"/>
  <c r="CP22" i="19" s="1"/>
  <c r="IO14" i="3" a="1"/>
  <c r="IO14" i="3" s="1"/>
  <c r="IO15" i="3" s="1"/>
  <c r="IO21" i="3" s="1"/>
  <c r="IO35" i="3" s="1"/>
  <c r="IO36" i="3" s="1"/>
  <c r="IO37" i="3" s="1"/>
  <c r="IO14" i="19" a="1"/>
  <c r="IO14" i="19" s="1"/>
  <c r="IO15" i="19" s="1"/>
  <c r="IO22" i="19" s="1"/>
  <c r="CG14" i="3" a="1"/>
  <c r="CG14" i="3" s="1"/>
  <c r="CG15" i="3" s="1"/>
  <c r="CG21" i="3" s="1"/>
  <c r="CG35" i="3" s="1"/>
  <c r="CG15" i="19"/>
  <c r="CG22" i="19" s="1"/>
  <c r="HV14" i="3" a="1"/>
  <c r="HV14" i="3" s="1"/>
  <c r="HV15" i="3" s="1"/>
  <c r="HV21" i="3" s="1"/>
  <c r="HV35" i="3" s="1"/>
  <c r="HV36" i="3" s="1"/>
  <c r="HV37" i="3" s="1"/>
  <c r="HV14" i="19" a="1"/>
  <c r="HV14" i="19" s="1"/>
  <c r="HV15" i="19" s="1"/>
  <c r="HV22" i="19" s="1"/>
  <c r="GL25" i="3" a="1"/>
  <c r="GL25" i="3" s="1"/>
  <c r="GL29" i="3" s="1"/>
  <c r="GL27" i="19" a="1"/>
  <c r="GL27" i="19" s="1"/>
  <c r="GL31" i="19" s="1"/>
  <c r="AZ25" i="3" a="1"/>
  <c r="AZ25" i="3" s="1"/>
  <c r="AZ29" i="3" s="1"/>
  <c r="AZ31" i="19"/>
  <c r="BA25" i="3" a="1"/>
  <c r="BA25" i="3" s="1"/>
  <c r="BA29" i="3" s="1"/>
  <c r="BA31" i="19"/>
  <c r="FZ14" i="3" a="1"/>
  <c r="FZ14" i="3" s="1"/>
  <c r="FZ15" i="3" s="1"/>
  <c r="FZ21" i="3" s="1"/>
  <c r="FZ35" i="3" s="1"/>
  <c r="FZ36" i="3" s="1"/>
  <c r="FZ37" i="3" s="1"/>
  <c r="FZ14" i="19" a="1"/>
  <c r="FZ14" i="19" s="1"/>
  <c r="FZ15" i="19" s="1"/>
  <c r="FZ22" i="19" s="1"/>
  <c r="BJ25" i="3" a="1"/>
  <c r="BJ25" i="3" s="1"/>
  <c r="BJ29" i="3" s="1"/>
  <c r="BJ31" i="19"/>
  <c r="EY25" i="3" a="1"/>
  <c r="EY25" i="3" s="1"/>
  <c r="EY29" i="3" s="1"/>
  <c r="EY27" i="19" a="1"/>
  <c r="EY27" i="19" s="1"/>
  <c r="EY31" i="19" s="1"/>
  <c r="BR14" i="3" a="1"/>
  <c r="BR14" i="3" s="1"/>
  <c r="BR15" i="3" s="1"/>
  <c r="BR21" i="3" s="1"/>
  <c r="BR35" i="3" s="1"/>
  <c r="BR15" i="19"/>
  <c r="BR22" i="19" s="1"/>
  <c r="DF25" i="3" a="1"/>
  <c r="DF25" i="3" s="1"/>
  <c r="DF29" i="3" s="1"/>
  <c r="DF27" i="19" a="1"/>
  <c r="DF27" i="19" s="1"/>
  <c r="DF31" i="19" s="1"/>
  <c r="HF14" i="3" a="1"/>
  <c r="HF14" i="3" s="1"/>
  <c r="HF15" i="3" s="1"/>
  <c r="HF21" i="3" s="1"/>
  <c r="HF14" i="19" a="1"/>
  <c r="HF14" i="19" s="1"/>
  <c r="HF15" i="19" s="1"/>
  <c r="HF22" i="19" s="1"/>
  <c r="JE14" i="3" a="1"/>
  <c r="JE14" i="3" s="1"/>
  <c r="JE15" i="3" s="1"/>
  <c r="JE21" i="3" s="1"/>
  <c r="JE14" i="19" a="1"/>
  <c r="JE14" i="19" s="1"/>
  <c r="JE15" i="19" s="1"/>
  <c r="JE22" i="19" s="1"/>
  <c r="CX25" i="3" a="1"/>
  <c r="CX25" i="3" s="1"/>
  <c r="CX29" i="3" s="1"/>
  <c r="CX27" i="19" a="1"/>
  <c r="CX27" i="19" s="1"/>
  <c r="CX31" i="19" s="1"/>
  <c r="EU14" i="3" a="1"/>
  <c r="EU14" i="3" s="1"/>
  <c r="EU15" i="3" s="1"/>
  <c r="EU21" i="3" s="1"/>
  <c r="EU35" i="3" s="1"/>
  <c r="EU36" i="3" s="1"/>
  <c r="EU37" i="3" s="1"/>
  <c r="EU14" i="19" a="1"/>
  <c r="EU14" i="19" s="1"/>
  <c r="EU15" i="19" s="1"/>
  <c r="EU22" i="19" s="1"/>
  <c r="IM14" i="3" a="1"/>
  <c r="IM14" i="3" s="1"/>
  <c r="IM15" i="3" s="1"/>
  <c r="IM21" i="3" s="1"/>
  <c r="IM14" i="19" a="1"/>
  <c r="IM14" i="19" s="1"/>
  <c r="IM15" i="19" s="1"/>
  <c r="IM22" i="19" s="1"/>
  <c r="IJ14" i="3" a="1"/>
  <c r="IJ14" i="3" s="1"/>
  <c r="IJ15" i="3" s="1"/>
  <c r="IJ21" i="3" s="1"/>
  <c r="IJ35" i="3" s="1"/>
  <c r="IJ36" i="3" s="1"/>
  <c r="IJ37" i="3" s="1"/>
  <c r="IJ14" i="19" a="1"/>
  <c r="IJ14" i="19" s="1"/>
  <c r="IJ15" i="19" s="1"/>
  <c r="IJ22" i="19" s="1"/>
  <c r="KN25" i="3" a="1"/>
  <c r="KN25" i="3" s="1"/>
  <c r="KN29" i="3" s="1"/>
  <c r="KN27" i="19" a="1"/>
  <c r="KN27" i="19" s="1"/>
  <c r="KN31" i="19" s="1"/>
  <c r="FT25" i="3" a="1"/>
  <c r="FT25" i="3" s="1"/>
  <c r="FT29" i="3" s="1"/>
  <c r="FT27" i="19" a="1"/>
  <c r="FT27" i="19" s="1"/>
  <c r="FT31" i="19" s="1"/>
  <c r="HK14" i="3" a="1"/>
  <c r="HK14" i="3" s="1"/>
  <c r="HK15" i="3" s="1"/>
  <c r="HK21" i="3" s="1"/>
  <c r="HK35" i="3" s="1"/>
  <c r="HK36" i="3" s="1"/>
  <c r="HK37" i="3" s="1"/>
  <c r="HK14" i="19" a="1"/>
  <c r="HK14" i="19" s="1"/>
  <c r="HK15" i="19" s="1"/>
  <c r="HK22" i="19" s="1"/>
  <c r="IF25" i="3" a="1"/>
  <c r="IF25" i="3" s="1"/>
  <c r="IF29" i="3" s="1"/>
  <c r="IF27" i="19" a="1"/>
  <c r="IF27" i="19" s="1"/>
  <c r="IF31" i="19" s="1"/>
  <c r="IX25" i="3" a="1"/>
  <c r="IX25" i="3" s="1"/>
  <c r="IX29" i="3" s="1"/>
  <c r="IX27" i="19" a="1"/>
  <c r="IX27" i="19" s="1"/>
  <c r="IX31" i="19" s="1"/>
  <c r="GB25" i="3" a="1"/>
  <c r="GB25" i="3" s="1"/>
  <c r="GB29" i="3" s="1"/>
  <c r="GB27" i="19" a="1"/>
  <c r="GB27" i="19" s="1"/>
  <c r="GB31" i="19" s="1"/>
  <c r="GV25" i="3" a="1"/>
  <c r="GV25" i="3" s="1"/>
  <c r="GV29" i="3" s="1"/>
  <c r="GV27" i="19" a="1"/>
  <c r="GV27" i="19" s="1"/>
  <c r="GV31" i="19" s="1"/>
  <c r="HS25" i="3" a="1"/>
  <c r="HS25" i="3" s="1"/>
  <c r="HS29" i="3" s="1"/>
  <c r="HS27" i="19" a="1"/>
  <c r="HS27" i="19" s="1"/>
  <c r="HS31" i="19" s="1"/>
  <c r="IG14" i="3" a="1"/>
  <c r="IG14" i="3" s="1"/>
  <c r="IG15" i="3" s="1"/>
  <c r="IG21" i="3" s="1"/>
  <c r="IG35" i="3" s="1"/>
  <c r="IG36" i="3" s="1"/>
  <c r="IG37" i="3" s="1"/>
  <c r="IG14" i="19" a="1"/>
  <c r="IG14" i="19" s="1"/>
  <c r="IG15" i="19" s="1"/>
  <c r="IG22" i="19" s="1"/>
  <c r="JF25" i="3" a="1"/>
  <c r="JF25" i="3" s="1"/>
  <c r="JF29" i="3" s="1"/>
  <c r="JF27" i="19" a="1"/>
  <c r="JF27" i="19" s="1"/>
  <c r="JF31" i="19" s="1"/>
  <c r="JC14" i="3" a="1"/>
  <c r="JC14" i="3" s="1"/>
  <c r="JC15" i="3" s="1"/>
  <c r="JC21" i="3" s="1"/>
  <c r="JC14" i="19" a="1"/>
  <c r="JC14" i="19" s="1"/>
  <c r="JC15" i="19" s="1"/>
  <c r="JC22" i="19" s="1"/>
  <c r="EA14" i="3" a="1"/>
  <c r="EA14" i="3" s="1"/>
  <c r="EA15" i="3" s="1"/>
  <c r="EA21" i="3" s="1"/>
  <c r="EA14" i="19" a="1"/>
  <c r="EA14" i="19" s="1"/>
  <c r="EA15" i="19" s="1"/>
  <c r="EA22" i="19" s="1"/>
  <c r="GP14" i="3" a="1"/>
  <c r="GP14" i="3" s="1"/>
  <c r="GP15" i="3" s="1"/>
  <c r="GP21" i="3" s="1"/>
  <c r="GP35" i="3" s="1"/>
  <c r="GP36" i="3" s="1"/>
  <c r="GP37" i="3" s="1"/>
  <c r="GP14" i="19" a="1"/>
  <c r="GP14" i="19" s="1"/>
  <c r="GP15" i="19" s="1"/>
  <c r="GP22" i="19" s="1"/>
  <c r="DM14" i="3" a="1"/>
  <c r="DM14" i="3" s="1"/>
  <c r="DM15" i="3" s="1"/>
  <c r="DM21" i="3" s="1"/>
  <c r="DM35" i="3" s="1"/>
  <c r="DM14" i="19" a="1"/>
  <c r="DM14" i="19" s="1"/>
  <c r="DM15" i="19" s="1"/>
  <c r="DM22" i="19" s="1"/>
  <c r="CQ25" i="3" a="1"/>
  <c r="CQ25" i="3" s="1"/>
  <c r="CQ27" i="19" a="1"/>
  <c r="CQ27" i="19" s="1"/>
  <c r="CQ31" i="19" s="1"/>
  <c r="HU25" i="3" a="1"/>
  <c r="HU25" i="3" s="1"/>
  <c r="HU29" i="3" s="1"/>
  <c r="HU27" i="19" a="1"/>
  <c r="HU27" i="19" s="1"/>
  <c r="HU31" i="19" s="1"/>
  <c r="BB25" i="3" a="1"/>
  <c r="BB25" i="3" s="1"/>
  <c r="BB29" i="3" s="1"/>
  <c r="BB31" i="19"/>
  <c r="BG25" i="3" a="1"/>
  <c r="BG25" i="3" s="1"/>
  <c r="BG29" i="3" s="1"/>
  <c r="BG31" i="19"/>
  <c r="CP25" i="3" a="1"/>
  <c r="CP25" i="3" s="1"/>
  <c r="CP29" i="3" s="1"/>
  <c r="CP27" i="19" a="1"/>
  <c r="CP27" i="19" s="1"/>
  <c r="CP31" i="19" s="1"/>
  <c r="KI14" i="3" a="1"/>
  <c r="KI14" i="3" s="1"/>
  <c r="KI15" i="3" s="1"/>
  <c r="KI21" i="3" s="1"/>
  <c r="KI14" i="19" a="1"/>
  <c r="KI14" i="19" s="1"/>
  <c r="KI15" i="19" s="1"/>
  <c r="KI22" i="19" s="1"/>
  <c r="HI25" i="3" a="1"/>
  <c r="HI25" i="3" s="1"/>
  <c r="HI29" i="3" s="1"/>
  <c r="HI27" i="19" a="1"/>
  <c r="HI27" i="19" s="1"/>
  <c r="HI31" i="19" s="1"/>
  <c r="BW25" i="3" a="1"/>
  <c r="BW25" i="3" s="1"/>
  <c r="BW29" i="3" s="1"/>
  <c r="BW31" i="19"/>
  <c r="FF25" i="3" a="1"/>
  <c r="FF25" i="3" s="1"/>
  <c r="FF29" i="3" s="1"/>
  <c r="FF27" i="19" a="1"/>
  <c r="FF27" i="19" s="1"/>
  <c r="FF31" i="19" s="1"/>
  <c r="HG25" i="3" a="1"/>
  <c r="HG25" i="3" s="1"/>
  <c r="HG29" i="3" s="1"/>
  <c r="HG27" i="19" a="1"/>
  <c r="HG27" i="19" s="1"/>
  <c r="HG31" i="19" s="1"/>
  <c r="DE25" i="3" a="1"/>
  <c r="DE25" i="3" s="1"/>
  <c r="DE29" i="3" s="1"/>
  <c r="DE27" i="19" a="1"/>
  <c r="DE27" i="19" s="1"/>
  <c r="DE31" i="19" s="1"/>
  <c r="JU14" i="3" a="1"/>
  <c r="JU14" i="3" s="1"/>
  <c r="JU15" i="3" s="1"/>
  <c r="JU21" i="3" s="1"/>
  <c r="JU14" i="19" a="1"/>
  <c r="JU14" i="19" s="1"/>
  <c r="JU15" i="19" s="1"/>
  <c r="JU22" i="19" s="1"/>
  <c r="IB14" i="3" a="1"/>
  <c r="IB14" i="3" s="1"/>
  <c r="IB15" i="3" s="1"/>
  <c r="IB21" i="3" s="1"/>
  <c r="IB14" i="19" a="1"/>
  <c r="IB14" i="19" s="1"/>
  <c r="IB15" i="19" s="1"/>
  <c r="IB22" i="19" s="1"/>
  <c r="GC14" i="3" a="1"/>
  <c r="GC14" i="3" s="1"/>
  <c r="GC15" i="3" s="1"/>
  <c r="GC21" i="3" s="1"/>
  <c r="GC35" i="3" s="1"/>
  <c r="GC36" i="3" s="1"/>
  <c r="GC37" i="3" s="1"/>
  <c r="GC14" i="19" a="1"/>
  <c r="GC14" i="19" s="1"/>
  <c r="GC15" i="19" s="1"/>
  <c r="GC22" i="19" s="1"/>
  <c r="HE25" i="3" a="1"/>
  <c r="HE25" i="3" s="1"/>
  <c r="HE29" i="3" s="1"/>
  <c r="HE27" i="19" a="1"/>
  <c r="HE27" i="19" s="1"/>
  <c r="HE31" i="19" s="1"/>
  <c r="HY14" i="3" a="1"/>
  <c r="HY14" i="3" s="1"/>
  <c r="HY15" i="3" s="1"/>
  <c r="HY21" i="3" s="1"/>
  <c r="HY35" i="3" s="1"/>
  <c r="HY36" i="3" s="1"/>
  <c r="HY37" i="3" s="1"/>
  <c r="HY14" i="19" a="1"/>
  <c r="HY14" i="19" s="1"/>
  <c r="HY15" i="19" s="1"/>
  <c r="HY22" i="19" s="1"/>
  <c r="EL14" i="3" a="1"/>
  <c r="EL14" i="3" s="1"/>
  <c r="EL15" i="3" s="1"/>
  <c r="EL21" i="3" s="1"/>
  <c r="EL35" i="3" s="1"/>
  <c r="EL36" i="3" s="1"/>
  <c r="EL37" i="3" s="1"/>
  <c r="EL14" i="19" a="1"/>
  <c r="EL14" i="19" s="1"/>
  <c r="EL15" i="19" s="1"/>
  <c r="EL22" i="19" s="1"/>
  <c r="JI14" i="3" a="1"/>
  <c r="JI14" i="3" s="1"/>
  <c r="JI15" i="3" s="1"/>
  <c r="JI21" i="3" s="1"/>
  <c r="JI35" i="3" s="1"/>
  <c r="JI36" i="3" s="1"/>
  <c r="JI37" i="3" s="1"/>
  <c r="JI14" i="19" a="1"/>
  <c r="JI14" i="19" s="1"/>
  <c r="JI15" i="19" s="1"/>
  <c r="JI22" i="19" s="1"/>
  <c r="DM25" i="3" a="1"/>
  <c r="DM25" i="3" s="1"/>
  <c r="DM29" i="3" s="1"/>
  <c r="DM27" i="19" a="1"/>
  <c r="DM27" i="19" s="1"/>
  <c r="DM31" i="19" s="1"/>
  <c r="AX14" i="3" a="1"/>
  <c r="AX14" i="3" s="1"/>
  <c r="AX15" i="3" s="1"/>
  <c r="AX21" i="3" s="1"/>
  <c r="AX35" i="3" s="1"/>
  <c r="AX15" i="19"/>
  <c r="AX22" i="19" s="1"/>
  <c r="FS25" i="3" a="1"/>
  <c r="FS25" i="3" s="1"/>
  <c r="FS29" i="3" s="1"/>
  <c r="FS27" i="19" a="1"/>
  <c r="FS27" i="19" s="1"/>
  <c r="FS31" i="19" s="1"/>
  <c r="HH14" i="3" a="1"/>
  <c r="HH14" i="3" s="1"/>
  <c r="HH15" i="3" s="1"/>
  <c r="HH21" i="3" s="1"/>
  <c r="HH14" i="19" a="1"/>
  <c r="HH14" i="19" s="1"/>
  <c r="HH15" i="19" s="1"/>
  <c r="HH22" i="19" s="1"/>
  <c r="JH14" i="3" a="1"/>
  <c r="JH14" i="3" s="1"/>
  <c r="JH15" i="3" s="1"/>
  <c r="JH21" i="3" s="1"/>
  <c r="JH35" i="3" s="1"/>
  <c r="JH36" i="3" s="1"/>
  <c r="JH37" i="3" s="1"/>
  <c r="JH14" i="19" a="1"/>
  <c r="JH14" i="19" s="1"/>
  <c r="JH15" i="19" s="1"/>
  <c r="JH22" i="19" s="1"/>
  <c r="HO14" i="3" a="1"/>
  <c r="HO14" i="3" s="1"/>
  <c r="HO15" i="3" s="1"/>
  <c r="HO21" i="3" s="1"/>
  <c r="HO35" i="3" s="1"/>
  <c r="HO36" i="3" s="1"/>
  <c r="HO37" i="3" s="1"/>
  <c r="HO14" i="19" a="1"/>
  <c r="HO14" i="19" s="1"/>
  <c r="HO15" i="19" s="1"/>
  <c r="HO22" i="19" s="1"/>
  <c r="CW25" i="3" a="1"/>
  <c r="CW25" i="3" s="1"/>
  <c r="CW29" i="3" s="1"/>
  <c r="CW27" i="19" a="1"/>
  <c r="CW27" i="19" s="1"/>
  <c r="CW31" i="19" s="1"/>
  <c r="EF25" i="3" a="1"/>
  <c r="EF25" i="3" s="1"/>
  <c r="EF29" i="3" s="1"/>
  <c r="EF27" i="19" a="1"/>
  <c r="EF27" i="19" s="1"/>
  <c r="EF31" i="19" s="1"/>
  <c r="EZ25" i="3" a="1"/>
  <c r="EZ25" i="3" s="1"/>
  <c r="EZ29" i="3" s="1"/>
  <c r="EZ27" i="19" a="1"/>
  <c r="EZ27" i="19" s="1"/>
  <c r="EZ31" i="19" s="1"/>
  <c r="ED14" i="3" a="1"/>
  <c r="ED14" i="3" s="1"/>
  <c r="ED15" i="3" s="1"/>
  <c r="ED21" i="3" s="1"/>
  <c r="ED35" i="3" s="1"/>
  <c r="ED36" i="3" s="1"/>
  <c r="ED37" i="3" s="1"/>
  <c r="ED14" i="19" a="1"/>
  <c r="ED14" i="19" s="1"/>
  <c r="ED15" i="19" s="1"/>
  <c r="ED22" i="19" s="1"/>
  <c r="CX14" i="3" a="1"/>
  <c r="CX14" i="3" s="1"/>
  <c r="CX15" i="3" s="1"/>
  <c r="CX21" i="3" s="1"/>
  <c r="CX35" i="3" s="1"/>
  <c r="CX14" i="19" a="1"/>
  <c r="CX14" i="19" s="1"/>
  <c r="CX15" i="19" s="1"/>
  <c r="CX22" i="19" s="1"/>
  <c r="IS25" i="3" a="1"/>
  <c r="IS25" i="3" s="1"/>
  <c r="IS29" i="3" s="1"/>
  <c r="IS27" i="19" a="1"/>
  <c r="IS27" i="19" s="1"/>
  <c r="IS31" i="19" s="1"/>
  <c r="HY25" i="3" a="1"/>
  <c r="HY25" i="3" s="1"/>
  <c r="HY29" i="3" s="1"/>
  <c r="HY27" i="19" a="1"/>
  <c r="HY27" i="19" s="1"/>
  <c r="HY31" i="19" s="1"/>
  <c r="JQ25" i="3" a="1"/>
  <c r="JQ25" i="3" s="1"/>
  <c r="JQ29" i="3" s="1"/>
  <c r="JQ27" i="19" a="1"/>
  <c r="JQ27" i="19" s="1"/>
  <c r="JQ31" i="19" s="1"/>
  <c r="GH14" i="3" a="1"/>
  <c r="GH14" i="3" s="1"/>
  <c r="GH15" i="3" s="1"/>
  <c r="GH21" i="3" s="1"/>
  <c r="GH14" i="19" a="1"/>
  <c r="GH14" i="19" s="1"/>
  <c r="GH15" i="19" s="1"/>
  <c r="GH22" i="19" s="1"/>
  <c r="EG14" i="3" a="1"/>
  <c r="EG14" i="3" s="1"/>
  <c r="EG15" i="3" s="1"/>
  <c r="EG21" i="3" s="1"/>
  <c r="EG35" i="3" s="1"/>
  <c r="EG36" i="3" s="1"/>
  <c r="EG37" i="3" s="1"/>
  <c r="EG14" i="19" a="1"/>
  <c r="EG14" i="19" s="1"/>
  <c r="EG15" i="19" s="1"/>
  <c r="EG22" i="19" s="1"/>
  <c r="BY14" i="3" a="1"/>
  <c r="BY14" i="3" s="1"/>
  <c r="BY15" i="3" s="1"/>
  <c r="BY21" i="3" s="1"/>
  <c r="BY35" i="3" s="1"/>
  <c r="BY15" i="19"/>
  <c r="BY22" i="19" s="1"/>
  <c r="IN25" i="3" a="1"/>
  <c r="IN25" i="3" s="1"/>
  <c r="IN29" i="3" s="1"/>
  <c r="IN27" i="19" a="1"/>
  <c r="IN27" i="19" s="1"/>
  <c r="IN31" i="19" s="1"/>
  <c r="KL25" i="3" a="1"/>
  <c r="KL25" i="3" s="1"/>
  <c r="KL29" i="3" s="1"/>
  <c r="KL27" i="19" a="1"/>
  <c r="KL27" i="19" s="1"/>
  <c r="KL31" i="19" s="1"/>
  <c r="HL14" i="3" a="1"/>
  <c r="HL14" i="3" s="1"/>
  <c r="HL15" i="3" s="1"/>
  <c r="HL21" i="3" s="1"/>
  <c r="HL14" i="19" a="1"/>
  <c r="HL14" i="19" s="1"/>
  <c r="HL15" i="19" s="1"/>
  <c r="HL22" i="19" s="1"/>
  <c r="EH25" i="3" a="1"/>
  <c r="EH25" i="3" s="1"/>
  <c r="EH29" i="3" s="1"/>
  <c r="EH27" i="19" a="1"/>
  <c r="EH27" i="19" s="1"/>
  <c r="EH31" i="19" s="1"/>
  <c r="BO14" i="3" a="1"/>
  <c r="BO14" i="3" s="1"/>
  <c r="BO15" i="3" s="1"/>
  <c r="BO21" i="3" s="1"/>
  <c r="BO35" i="3" s="1"/>
  <c r="BO15" i="19"/>
  <c r="BO22" i="19" s="1"/>
  <c r="FI25" i="3" a="1"/>
  <c r="FI25" i="3" s="1"/>
  <c r="FI29" i="3" s="1"/>
  <c r="FI27" i="19" a="1"/>
  <c r="FI27" i="19" s="1"/>
  <c r="FI31" i="19" s="1"/>
  <c r="FY14" i="3" a="1"/>
  <c r="FY14" i="3" s="1"/>
  <c r="FY15" i="3" s="1"/>
  <c r="FY21" i="3" s="1"/>
  <c r="FY35" i="3" s="1"/>
  <c r="FY36" i="3" s="1"/>
  <c r="FY37" i="3" s="1"/>
  <c r="FY14" i="19" a="1"/>
  <c r="FY14" i="19" s="1"/>
  <c r="FY15" i="19" s="1"/>
  <c r="FY22" i="19" s="1"/>
  <c r="FD14" i="3" a="1"/>
  <c r="FD14" i="3" s="1"/>
  <c r="FD15" i="3" s="1"/>
  <c r="FD21" i="3" s="1"/>
  <c r="FD35" i="3" s="1"/>
  <c r="FD36" i="3" s="1"/>
  <c r="FD37" i="3" s="1"/>
  <c r="FD14" i="19" a="1"/>
  <c r="FD14" i="19" s="1"/>
  <c r="FD15" i="19" s="1"/>
  <c r="FD22" i="19" s="1"/>
  <c r="FK25" i="3" a="1"/>
  <c r="FK25" i="3" s="1"/>
  <c r="FK29" i="3" s="1"/>
  <c r="FK27" i="19" a="1"/>
  <c r="FK27" i="19" s="1"/>
  <c r="FK31" i="19" s="1"/>
  <c r="EN25" i="3" a="1"/>
  <c r="EN25" i="3" s="1"/>
  <c r="EN29" i="3" s="1"/>
  <c r="EN27" i="19" a="1"/>
  <c r="EN27" i="19" s="1"/>
  <c r="EN31" i="19" s="1"/>
  <c r="CH25" i="3" a="1"/>
  <c r="CH25" i="3" s="1"/>
  <c r="CH29" i="3" s="1"/>
  <c r="CH31" i="19"/>
  <c r="HX14" i="3" a="1"/>
  <c r="HX14" i="3" s="1"/>
  <c r="HX15" i="3" s="1"/>
  <c r="HX21" i="3" s="1"/>
  <c r="HX35" i="3" s="1"/>
  <c r="HX36" i="3" s="1"/>
  <c r="HX37" i="3" s="1"/>
  <c r="HX14" i="19" a="1"/>
  <c r="HX14" i="19" s="1"/>
  <c r="HX15" i="19" s="1"/>
  <c r="HX22" i="19" s="1"/>
  <c r="EF14" i="3" a="1"/>
  <c r="EF14" i="3" s="1"/>
  <c r="EF15" i="3" s="1"/>
  <c r="EF21" i="3" s="1"/>
  <c r="EF35" i="3" s="1"/>
  <c r="EF36" i="3" s="1"/>
  <c r="EF37" i="3" s="1"/>
  <c r="EF14" i="19" a="1"/>
  <c r="EF14" i="19" s="1"/>
  <c r="EF15" i="19" s="1"/>
  <c r="EF22" i="19" s="1"/>
  <c r="ID25" i="3" a="1"/>
  <c r="ID25" i="3" s="1"/>
  <c r="ID29" i="3" s="1"/>
  <c r="ID27" i="19" a="1"/>
  <c r="ID27" i="19" s="1"/>
  <c r="ID31" i="19" s="1"/>
  <c r="IL14" i="3" a="1"/>
  <c r="IL14" i="3" s="1"/>
  <c r="IL15" i="3" s="1"/>
  <c r="IL21" i="3" s="1"/>
  <c r="IL35" i="3" s="1"/>
  <c r="IL36" i="3" s="1"/>
  <c r="IL37" i="3" s="1"/>
  <c r="IL14" i="19" a="1"/>
  <c r="IL14" i="19" s="1"/>
  <c r="IL15" i="19" s="1"/>
  <c r="IL22" i="19" s="1"/>
  <c r="IR14" i="3" a="1"/>
  <c r="IR14" i="3" s="1"/>
  <c r="IR15" i="3" s="1"/>
  <c r="IR21" i="3" s="1"/>
  <c r="IR35" i="3" s="1"/>
  <c r="IR36" i="3" s="1"/>
  <c r="IR37" i="3" s="1"/>
  <c r="IR14" i="19" a="1"/>
  <c r="IR14" i="19" s="1"/>
  <c r="IR15" i="19" s="1"/>
  <c r="IR22" i="19" s="1"/>
  <c r="FJ14" i="3" a="1"/>
  <c r="FJ14" i="3" s="1"/>
  <c r="FJ15" i="3" s="1"/>
  <c r="FJ21" i="3" s="1"/>
  <c r="FJ35" i="3" s="1"/>
  <c r="FJ36" i="3" s="1"/>
  <c r="FJ37" i="3" s="1"/>
  <c r="FJ14" i="19" a="1"/>
  <c r="FJ14" i="19" s="1"/>
  <c r="FJ15" i="19" s="1"/>
  <c r="FJ22" i="19" s="1"/>
  <c r="BP14" i="3" a="1"/>
  <c r="BP14" i="3" s="1"/>
  <c r="BP15" i="3" s="1"/>
  <c r="BP21" i="3" s="1"/>
  <c r="BP35" i="3" s="1"/>
  <c r="BP15" i="19"/>
  <c r="BP22" i="19" s="1"/>
  <c r="FN25" i="3" a="1"/>
  <c r="FN25" i="3" s="1"/>
  <c r="FN29" i="3" s="1"/>
  <c r="FN27" i="19" a="1"/>
  <c r="FN27" i="19" s="1"/>
  <c r="FN31" i="19" s="1"/>
  <c r="HN25" i="3" a="1"/>
  <c r="HN25" i="3" s="1"/>
  <c r="HN29" i="3" s="1"/>
  <c r="HN27" i="19" a="1"/>
  <c r="HN27" i="19" s="1"/>
  <c r="HN31" i="19" s="1"/>
  <c r="GQ14" i="3" a="1"/>
  <c r="GQ14" i="3" s="1"/>
  <c r="GQ15" i="3" s="1"/>
  <c r="GQ21" i="3" s="1"/>
  <c r="GQ35" i="3" s="1"/>
  <c r="GQ36" i="3" s="1"/>
  <c r="GQ37" i="3" s="1"/>
  <c r="GQ14" i="19" a="1"/>
  <c r="GQ14" i="19" s="1"/>
  <c r="GQ15" i="19" s="1"/>
  <c r="GQ22" i="19" s="1"/>
  <c r="CU14" i="3" a="1"/>
  <c r="CU14" i="3" s="1"/>
  <c r="CU14" i="19" a="1"/>
  <c r="CU14" i="19" s="1"/>
  <c r="CH14" i="3" a="1"/>
  <c r="CH14" i="3" s="1"/>
  <c r="CH15" i="3" s="1"/>
  <c r="CH21" i="3" s="1"/>
  <c r="CH35" i="3" s="1"/>
  <c r="CH15" i="19"/>
  <c r="CH22" i="19" s="1"/>
  <c r="CO14" i="3" a="1"/>
  <c r="CO14" i="3" s="1"/>
  <c r="CO15" i="3" s="1"/>
  <c r="CO21" i="3" s="1"/>
  <c r="CO14" i="19" a="1"/>
  <c r="CO14" i="19" s="1"/>
  <c r="EB14" i="3" a="1"/>
  <c r="EB14" i="3" s="1"/>
  <c r="EB15" i="3" s="1"/>
  <c r="EB21" i="3" s="1"/>
  <c r="EB35" i="3" s="1"/>
  <c r="EB36" i="3" s="1"/>
  <c r="EB37" i="3" s="1"/>
  <c r="EB14" i="19" a="1"/>
  <c r="EB14" i="19" s="1"/>
  <c r="EB15" i="19" s="1"/>
  <c r="EB22" i="19" s="1"/>
  <c r="FW14" i="3" a="1"/>
  <c r="FW14" i="3" s="1"/>
  <c r="FW15" i="3" s="1"/>
  <c r="FW21" i="3" s="1"/>
  <c r="FW14" i="19" a="1"/>
  <c r="FW14" i="19" s="1"/>
  <c r="FW15" i="19" s="1"/>
  <c r="FW22" i="19" s="1"/>
  <c r="FO25" i="3" a="1"/>
  <c r="FO25" i="3" s="1"/>
  <c r="FO29" i="3" s="1"/>
  <c r="FO27" i="19" a="1"/>
  <c r="FO27" i="19" s="1"/>
  <c r="FO31" i="19" s="1"/>
  <c r="EI14" i="3" a="1"/>
  <c r="EI14" i="3" s="1"/>
  <c r="EI15" i="3" s="1"/>
  <c r="EI21" i="3" s="1"/>
  <c r="EI35" i="3" s="1"/>
  <c r="EI36" i="3" s="1"/>
  <c r="EI37" i="3" s="1"/>
  <c r="EI14" i="19" a="1"/>
  <c r="EI14" i="19" s="1"/>
  <c r="EI15" i="19" s="1"/>
  <c r="EI22" i="19" s="1"/>
  <c r="GS14" i="3" a="1"/>
  <c r="GS14" i="3" s="1"/>
  <c r="GS15" i="3" s="1"/>
  <c r="GS21" i="3" s="1"/>
  <c r="GS14" i="19" a="1"/>
  <c r="GS14" i="19" s="1"/>
  <c r="GS15" i="19" s="1"/>
  <c r="GS22" i="19" s="1"/>
  <c r="IY25" i="3" a="1"/>
  <c r="IY25" i="3" s="1"/>
  <c r="IY29" i="3" s="1"/>
  <c r="IY27" i="19" a="1"/>
  <c r="IY27" i="19" s="1"/>
  <c r="IY31" i="19" s="1"/>
  <c r="FX14" i="3" a="1"/>
  <c r="FX14" i="3" s="1"/>
  <c r="FX15" i="3" s="1"/>
  <c r="FX21" i="3" s="1"/>
  <c r="FX35" i="3" s="1"/>
  <c r="FX36" i="3" s="1"/>
  <c r="FX37" i="3" s="1"/>
  <c r="FX14" i="19" a="1"/>
  <c r="FX14" i="19" s="1"/>
  <c r="FX15" i="19" s="1"/>
  <c r="FX22" i="19" s="1"/>
  <c r="DV25" i="3" a="1"/>
  <c r="DV25" i="3" s="1"/>
  <c r="DV29" i="3" s="1"/>
  <c r="DV27" i="19" a="1"/>
  <c r="DV27" i="19" s="1"/>
  <c r="DV31" i="19" s="1"/>
  <c r="ES14" i="3" a="1"/>
  <c r="ES14" i="3" s="1"/>
  <c r="ES15" i="3" s="1"/>
  <c r="ES21" i="3" s="1"/>
  <c r="ES35" i="3" s="1"/>
  <c r="ES36" i="3" s="1"/>
  <c r="ES37" i="3" s="1"/>
  <c r="ES14" i="19" a="1"/>
  <c r="ES14" i="19" s="1"/>
  <c r="ES15" i="19" s="1"/>
  <c r="ES22" i="19" s="1"/>
  <c r="CN14" i="3" a="1"/>
  <c r="CN14" i="3" s="1"/>
  <c r="CN15" i="3" s="1"/>
  <c r="CN21" i="3" s="1"/>
  <c r="CN14" i="19" a="1"/>
  <c r="CN14" i="19" s="1"/>
  <c r="CN15" i="19" s="1"/>
  <c r="CN22" i="19" s="1"/>
  <c r="CE14" i="3" a="1"/>
  <c r="CE14" i="3" s="1"/>
  <c r="CE15" i="3" s="1"/>
  <c r="CE21" i="3" s="1"/>
  <c r="CE15" i="19"/>
  <c r="CE22" i="19" s="1"/>
  <c r="BY25" i="3" a="1"/>
  <c r="BY25" i="3" s="1"/>
  <c r="BY29" i="3" s="1"/>
  <c r="BY31" i="19"/>
  <c r="IB25" i="3" a="1"/>
  <c r="IB25" i="3" s="1"/>
  <c r="IB29" i="3" s="1"/>
  <c r="IB27" i="19" a="1"/>
  <c r="IB27" i="19" s="1"/>
  <c r="IB31" i="19" s="1"/>
  <c r="IZ25" i="3" a="1"/>
  <c r="IZ25" i="3" s="1"/>
  <c r="IZ29" i="3" s="1"/>
  <c r="IZ27" i="19" a="1"/>
  <c r="IZ27" i="19" s="1"/>
  <c r="IZ31" i="19" s="1"/>
  <c r="DQ25" i="3" a="1"/>
  <c r="DQ25" i="3" s="1"/>
  <c r="DQ29" i="3" s="1"/>
  <c r="DQ27" i="19" a="1"/>
  <c r="DQ27" i="19" s="1"/>
  <c r="DQ31" i="19" s="1"/>
  <c r="GO25" i="3" a="1"/>
  <c r="GO25" i="3" s="1"/>
  <c r="GO29" i="3" s="1"/>
  <c r="GO27" i="19" a="1"/>
  <c r="GO27" i="19" s="1"/>
  <c r="GO31" i="19" s="1"/>
  <c r="GA14" i="3" a="1"/>
  <c r="GA14" i="3" s="1"/>
  <c r="GA15" i="3" s="1"/>
  <c r="GA21" i="3" s="1"/>
  <c r="GA14" i="19" a="1"/>
  <c r="GA14" i="19" s="1"/>
  <c r="GA15" i="19" s="1"/>
  <c r="GA22" i="19" s="1"/>
  <c r="HZ25" i="3" a="1"/>
  <c r="HZ25" i="3" s="1"/>
  <c r="HZ29" i="3" s="1"/>
  <c r="HZ27" i="19" a="1"/>
  <c r="HZ27" i="19" s="1"/>
  <c r="HZ31" i="19" s="1"/>
  <c r="CY14" i="3" a="1"/>
  <c r="CY14" i="3" s="1"/>
  <c r="CY15" i="3" s="1"/>
  <c r="CY21" i="3" s="1"/>
  <c r="CY35" i="3" s="1"/>
  <c r="CY14" i="19" a="1"/>
  <c r="CY14" i="19" s="1"/>
  <c r="CY15" i="19" s="1"/>
  <c r="CY22" i="19" s="1"/>
  <c r="CQ14" i="3" a="1"/>
  <c r="CQ14" i="3" s="1"/>
  <c r="CQ15" i="3" s="1"/>
  <c r="CQ21" i="3" s="1"/>
  <c r="CQ14" i="19" a="1"/>
  <c r="CQ14" i="19" s="1"/>
  <c r="CQ15" i="19" s="1"/>
  <c r="CQ22" i="19" s="1"/>
  <c r="FG25" i="3" a="1"/>
  <c r="FG25" i="3" s="1"/>
  <c r="FG29" i="3" s="1"/>
  <c r="FG27" i="19" a="1"/>
  <c r="FG27" i="19" s="1"/>
  <c r="FG31" i="19" s="1"/>
  <c r="HH25" i="3" a="1"/>
  <c r="HH25" i="3" s="1"/>
  <c r="HH29" i="3" s="1"/>
  <c r="HH27" i="19" a="1"/>
  <c r="HH27" i="19" s="1"/>
  <c r="HH31" i="19" s="1"/>
  <c r="CV25" i="3" a="1"/>
  <c r="CV25" i="3" s="1"/>
  <c r="CV29" i="3" s="1"/>
  <c r="CV27" i="19" a="1"/>
  <c r="CV27" i="19" s="1"/>
  <c r="CV31" i="19" s="1"/>
  <c r="JC25" i="3" a="1"/>
  <c r="JC25" i="3" s="1"/>
  <c r="JC29" i="3" s="1"/>
  <c r="JC27" i="19" a="1"/>
  <c r="JC27" i="19" s="1"/>
  <c r="JC31" i="19" s="1"/>
  <c r="AY14" i="3" a="1"/>
  <c r="AY14" i="3" s="1"/>
  <c r="GW14" i="3" a="1"/>
  <c r="GW14" i="3" s="1"/>
  <c r="GW15" i="3" s="1"/>
  <c r="GW21" i="3" s="1"/>
  <c r="GW14" i="19" a="1"/>
  <c r="GW14" i="19" s="1"/>
  <c r="GW15" i="19" s="1"/>
  <c r="GW22" i="19" s="1"/>
  <c r="EV14" i="3" a="1"/>
  <c r="EV14" i="3" s="1"/>
  <c r="EV15" i="3" s="1"/>
  <c r="EV21" i="3" s="1"/>
  <c r="EV35" i="3" s="1"/>
  <c r="EV36" i="3" s="1"/>
  <c r="EV37" i="3" s="1"/>
  <c r="EV14" i="19" a="1"/>
  <c r="EV14" i="19" s="1"/>
  <c r="EV15" i="19" s="1"/>
  <c r="EV22" i="19" s="1"/>
  <c r="HF25" i="3" a="1"/>
  <c r="HF25" i="3" s="1"/>
  <c r="HF29" i="3" s="1"/>
  <c r="HF27" i="19" a="1"/>
  <c r="HF27" i="19" s="1"/>
  <c r="HF31" i="19" s="1"/>
  <c r="DN25" i="3" a="1"/>
  <c r="DN25" i="3" s="1"/>
  <c r="DN29" i="3" s="1"/>
  <c r="DN27" i="19" a="1"/>
  <c r="DN27" i="19" s="1"/>
  <c r="DN31" i="19" s="1"/>
  <c r="CG25" i="3" a="1"/>
  <c r="CG25" i="3" s="1"/>
  <c r="CG29" i="3" s="1"/>
  <c r="CG31" i="19"/>
  <c r="KB14" i="3" a="1"/>
  <c r="KB14" i="3" s="1"/>
  <c r="KB15" i="3" s="1"/>
  <c r="KB21" i="3" s="1"/>
  <c r="KB35" i="3" s="1"/>
  <c r="KB36" i="3" s="1"/>
  <c r="KB37" i="3" s="1"/>
  <c r="KB14" i="19" a="1"/>
  <c r="KB14" i="19" s="1"/>
  <c r="KB15" i="19" s="1"/>
  <c r="KB22" i="19" s="1"/>
  <c r="DN14" i="3" a="1"/>
  <c r="DN14" i="3" s="1"/>
  <c r="DN15" i="3" s="1"/>
  <c r="DN21" i="3" s="1"/>
  <c r="DN35" i="3" s="1"/>
  <c r="DN14" i="19" a="1"/>
  <c r="DN14" i="19" s="1"/>
  <c r="DN15" i="19" s="1"/>
  <c r="DN22" i="19" s="1"/>
  <c r="KA25" i="3" a="1"/>
  <c r="KA25" i="3" s="1"/>
  <c r="KA29" i="3" s="1"/>
  <c r="KA27" i="19" a="1"/>
  <c r="KA27" i="19" s="1"/>
  <c r="KA31" i="19" s="1"/>
  <c r="HW14" i="3" a="1"/>
  <c r="HW14" i="3" s="1"/>
  <c r="HW15" i="3" s="1"/>
  <c r="HW21" i="3" s="1"/>
  <c r="HW14" i="19" a="1"/>
  <c r="HW14" i="19" s="1"/>
  <c r="HW15" i="19" s="1"/>
  <c r="HW22" i="19" s="1"/>
  <c r="CL25" i="3" a="1"/>
  <c r="CL25" i="3" s="1"/>
  <c r="CL29" i="3" s="1"/>
  <c r="CL31" i="19"/>
  <c r="DZ25" i="3" a="1"/>
  <c r="DZ25" i="3" s="1"/>
  <c r="DZ29" i="3" s="1"/>
  <c r="DZ27" i="19" a="1"/>
  <c r="DZ27" i="19" s="1"/>
  <c r="DZ31" i="19" s="1"/>
  <c r="CO25" i="3" a="1"/>
  <c r="CO25" i="3" s="1"/>
  <c r="CO29" i="3" s="1"/>
  <c r="CO27" i="19" a="1"/>
  <c r="CO27" i="19" s="1"/>
  <c r="CO31" i="19" s="1"/>
  <c r="DW25" i="3" a="1"/>
  <c r="DW25" i="3" s="1"/>
  <c r="DW29" i="3" s="1"/>
  <c r="DW27" i="19" a="1"/>
  <c r="DW27" i="19" s="1"/>
  <c r="DW31" i="19" s="1"/>
  <c r="HI14" i="3" a="1"/>
  <c r="HI14" i="3" s="1"/>
  <c r="HI15" i="3" s="1"/>
  <c r="HI21" i="3" s="1"/>
  <c r="HI14" i="19" a="1"/>
  <c r="HI14" i="19" s="1"/>
  <c r="HI15" i="19" s="1"/>
  <c r="HI22" i="19" s="1"/>
  <c r="HG14" i="3" a="1"/>
  <c r="HG14" i="3" s="1"/>
  <c r="HG15" i="3" s="1"/>
  <c r="HG21" i="3" s="1"/>
  <c r="HG14" i="19" a="1"/>
  <c r="HG14" i="19" s="1"/>
  <c r="HG15" i="19" s="1"/>
  <c r="HG22" i="19" s="1"/>
  <c r="DF14" i="3" a="1"/>
  <c r="DF14" i="3" s="1"/>
  <c r="DF15" i="3" s="1"/>
  <c r="DF21" i="3" s="1"/>
  <c r="DF35" i="3" s="1"/>
  <c r="DF14" i="19" a="1"/>
  <c r="DF14" i="19" s="1"/>
  <c r="DF15" i="19" s="1"/>
  <c r="DF22" i="19" s="1"/>
  <c r="KK25" i="3" a="1"/>
  <c r="KK25" i="3" s="1"/>
  <c r="KK29" i="3" s="1"/>
  <c r="KK27" i="19" a="1"/>
  <c r="KK27" i="19" s="1"/>
  <c r="KK31" i="19" s="1"/>
  <c r="HW25" i="3" a="1"/>
  <c r="HW25" i="3" s="1"/>
  <c r="HW29" i="3" s="1"/>
  <c r="HW27" i="19" a="1"/>
  <c r="HW27" i="19" s="1"/>
  <c r="HW31" i="19" s="1"/>
  <c r="JB25" i="3" a="1"/>
  <c r="JB25" i="3" s="1"/>
  <c r="JB29" i="3" s="1"/>
  <c r="JB27" i="19" a="1"/>
  <c r="JB27" i="19" s="1"/>
  <c r="JB31" i="19" s="1"/>
  <c r="IK14" i="3" a="1"/>
  <c r="IK14" i="3" s="1"/>
  <c r="IK15" i="3" s="1"/>
  <c r="IK21" i="3" s="1"/>
  <c r="IK35" i="3" s="1"/>
  <c r="IK36" i="3" s="1"/>
  <c r="IK37" i="3" s="1"/>
  <c r="IK14" i="19" a="1"/>
  <c r="IK14" i="19" s="1"/>
  <c r="IK15" i="19" s="1"/>
  <c r="IK22" i="19" s="1"/>
  <c r="EX14" i="3" a="1"/>
  <c r="EX14" i="3" s="1"/>
  <c r="EX15" i="3" s="1"/>
  <c r="EX21" i="3" s="1"/>
  <c r="EX35" i="3" s="1"/>
  <c r="EX36" i="3" s="1"/>
  <c r="EX37" i="3" s="1"/>
  <c r="EX14" i="19" a="1"/>
  <c r="EX14" i="19" s="1"/>
  <c r="EX15" i="19" s="1"/>
  <c r="EX22" i="19" s="1"/>
  <c r="KF25" i="3" a="1"/>
  <c r="KF25" i="3" s="1"/>
  <c r="KF29" i="3" s="1"/>
  <c r="KF27" i="19" a="1"/>
  <c r="KF27" i="19" s="1"/>
  <c r="KF31" i="19" s="1"/>
  <c r="HS14" i="3" a="1"/>
  <c r="HS14" i="3" s="1"/>
  <c r="HS15" i="3" s="1"/>
  <c r="HS21" i="3" s="1"/>
  <c r="HS14" i="19" a="1"/>
  <c r="HS14" i="19" s="1"/>
  <c r="HS15" i="19" s="1"/>
  <c r="HS22" i="19" s="1"/>
  <c r="GM14" i="3" a="1"/>
  <c r="GM14" i="3" s="1"/>
  <c r="GM15" i="3" s="1"/>
  <c r="GM21" i="3" s="1"/>
  <c r="GM35" i="3" s="1"/>
  <c r="GM36" i="3" s="1"/>
  <c r="GM37" i="3" s="1"/>
  <c r="GM14" i="19" a="1"/>
  <c r="GM14" i="19" s="1"/>
  <c r="GM15" i="19" s="1"/>
  <c r="GM22" i="19" s="1"/>
  <c r="GV14" i="3" a="1"/>
  <c r="GV14" i="3" s="1"/>
  <c r="GV15" i="3" s="1"/>
  <c r="GV21" i="3" s="1"/>
  <c r="GV31" i="3" s="1"/>
  <c r="GV14" i="19" a="1"/>
  <c r="GV14" i="19" s="1"/>
  <c r="GV15" i="19" s="1"/>
  <c r="GV22" i="19" s="1"/>
  <c r="CV14" i="3" a="1"/>
  <c r="CV14" i="3" s="1"/>
  <c r="CV15" i="3" s="1"/>
  <c r="CV21" i="3" s="1"/>
  <c r="CV35" i="3" s="1"/>
  <c r="CV14" i="19" a="1"/>
  <c r="CV14" i="19" s="1"/>
  <c r="CV15" i="19" s="1"/>
  <c r="CV22" i="19" s="1"/>
  <c r="EO14" i="3" a="1"/>
  <c r="EO14" i="3" s="1"/>
  <c r="EO15" i="3" s="1"/>
  <c r="EO21" i="3" s="1"/>
  <c r="EO35" i="3" s="1"/>
  <c r="EO36" i="3" s="1"/>
  <c r="EO37" i="3" s="1"/>
  <c r="EO14" i="19" a="1"/>
  <c r="EO14" i="19" s="1"/>
  <c r="EO15" i="19" s="1"/>
  <c r="EO22" i="19" s="1"/>
  <c r="CN25" i="3" a="1"/>
  <c r="CN25" i="3" s="1"/>
  <c r="CN29" i="3" s="1"/>
  <c r="CN31" i="19"/>
  <c r="DX25" i="3" a="1"/>
  <c r="DX25" i="3" s="1"/>
  <c r="DX29" i="3" s="1"/>
  <c r="DX27" i="19" a="1"/>
  <c r="DX27" i="19" s="1"/>
  <c r="DX31" i="19" s="1"/>
  <c r="CI14" i="3" a="1"/>
  <c r="CI14" i="3" s="1"/>
  <c r="EI25" i="3" a="1"/>
  <c r="EI25" i="3" s="1"/>
  <c r="EI29" i="3" s="1"/>
  <c r="EI27" i="19" a="1"/>
  <c r="EI27" i="19" s="1"/>
  <c r="EI31" i="19" s="1"/>
  <c r="DS14" i="3" a="1"/>
  <c r="DS14" i="3" s="1"/>
  <c r="DS15" i="3" s="1"/>
  <c r="DS21" i="3" s="1"/>
  <c r="DS35" i="3" s="1"/>
  <c r="DS36" i="3" s="1"/>
  <c r="DS37" i="3" s="1"/>
  <c r="DS14" i="19" a="1"/>
  <c r="DS14" i="19" s="1"/>
  <c r="DS15" i="19" s="1"/>
  <c r="DS22" i="19" s="1"/>
  <c r="JV25" i="3" a="1"/>
  <c r="JV25" i="3" s="1"/>
  <c r="JV29" i="3" s="1"/>
  <c r="JV27" i="19" a="1"/>
  <c r="JV27" i="19" s="1"/>
  <c r="JV31" i="19" s="1"/>
  <c r="GJ25" i="3" a="1"/>
  <c r="GJ25" i="3" s="1"/>
  <c r="GJ29" i="3" s="1"/>
  <c r="GJ27" i="19" a="1"/>
  <c r="GJ27" i="19" s="1"/>
  <c r="GJ31" i="19" s="1"/>
  <c r="HZ14" i="3" a="1"/>
  <c r="HZ14" i="3" s="1"/>
  <c r="HZ15" i="3" s="1"/>
  <c r="HZ21" i="3" s="1"/>
  <c r="HZ14" i="19" a="1"/>
  <c r="HZ14" i="19" s="1"/>
  <c r="HZ15" i="19" s="1"/>
  <c r="HZ22" i="19" s="1"/>
  <c r="IN14" i="3" a="1"/>
  <c r="IN14" i="3" s="1"/>
  <c r="IN15" i="3" s="1"/>
  <c r="IN21" i="3" s="1"/>
  <c r="IN35" i="3" s="1"/>
  <c r="IN36" i="3" s="1"/>
  <c r="IN37" i="3" s="1"/>
  <c r="IN14" i="19" a="1"/>
  <c r="IN14" i="19" s="1"/>
  <c r="IN15" i="19" s="1"/>
  <c r="IN22" i="19" s="1"/>
  <c r="BQ25" i="3" a="1"/>
  <c r="BQ25" i="3" s="1"/>
  <c r="BQ29" i="3" s="1"/>
  <c r="BQ31" i="19"/>
  <c r="JD25" i="3" a="1"/>
  <c r="JD25" i="3" s="1"/>
  <c r="JD29" i="3" s="1"/>
  <c r="JD27" i="19" a="1"/>
  <c r="JD27" i="19" s="1"/>
  <c r="JD31" i="19" s="1"/>
  <c r="HC14" i="3" a="1"/>
  <c r="HC14" i="3" s="1"/>
  <c r="HC15" i="3" s="1"/>
  <c r="HC21" i="3" s="1"/>
  <c r="HC35" i="3" s="1"/>
  <c r="HC36" i="3" s="1"/>
  <c r="HC37" i="3" s="1"/>
  <c r="HC14" i="19" a="1"/>
  <c r="HC14" i="19" s="1"/>
  <c r="HC15" i="19" s="1"/>
  <c r="HC22" i="19" s="1"/>
  <c r="IC25" i="3" a="1"/>
  <c r="IC25" i="3" s="1"/>
  <c r="IC29" i="3" s="1"/>
  <c r="IC27" i="19" a="1"/>
  <c r="IC27" i="19" s="1"/>
  <c r="IC31" i="19" s="1"/>
  <c r="CC14" i="3" a="1"/>
  <c r="CC14" i="3" s="1"/>
  <c r="CC15" i="3" s="1"/>
  <c r="CC21" i="3" s="1"/>
  <c r="KM14" i="3" a="1"/>
  <c r="KM14" i="3" s="1"/>
  <c r="KM15" i="3" s="1"/>
  <c r="KM21" i="3" s="1"/>
  <c r="KM14" i="19" a="1"/>
  <c r="KM14" i="19" s="1"/>
  <c r="KM15" i="19" s="1"/>
  <c r="KM22" i="19" s="1"/>
  <c r="EG25" i="3" a="1"/>
  <c r="EG25" i="3" s="1"/>
  <c r="EG29" i="3" s="1"/>
  <c r="EG27" i="19" a="1"/>
  <c r="EG27" i="19" s="1"/>
  <c r="EG31" i="19" s="1"/>
  <c r="KD25" i="3" a="1"/>
  <c r="KD25" i="3" s="1"/>
  <c r="KD29" i="3" s="1"/>
  <c r="KD27" i="19" a="1"/>
  <c r="KD27" i="19" s="1"/>
  <c r="KD31" i="19" s="1"/>
  <c r="KH25" i="3" a="1"/>
  <c r="KH25" i="3" s="1"/>
  <c r="KH29" i="3" s="1"/>
  <c r="KH27" i="19" a="1"/>
  <c r="KH27" i="19" s="1"/>
  <c r="KH31" i="19" s="1"/>
  <c r="FV25" i="3" a="1"/>
  <c r="FV25" i="3" s="1"/>
  <c r="FV29" i="3" s="1"/>
  <c r="FV27" i="19" a="1"/>
  <c r="FV27" i="19" s="1"/>
  <c r="FV31" i="19" s="1"/>
  <c r="JA14" i="3" a="1"/>
  <c r="JA14" i="3" s="1"/>
  <c r="JA15" i="3" s="1"/>
  <c r="JA21" i="3" s="1"/>
  <c r="JA14" i="19" a="1"/>
  <c r="JA14" i="19" s="1"/>
  <c r="JA15" i="19" s="1"/>
  <c r="JA22" i="19" s="1"/>
  <c r="EW25" i="3" a="1"/>
  <c r="EW25" i="3" s="1"/>
  <c r="EW29" i="3" s="1"/>
  <c r="EW27" i="19" a="1"/>
  <c r="EW27" i="19" s="1"/>
  <c r="EW31" i="19" s="1"/>
  <c r="CI25" i="3" a="1"/>
  <c r="CI25" i="3" s="1"/>
  <c r="CI29" i="3" s="1"/>
  <c r="CI31" i="19"/>
  <c r="BJ14" i="3" a="1"/>
  <c r="BJ14" i="3" s="1"/>
  <c r="BJ15" i="3" s="1"/>
  <c r="BJ21" i="3" s="1"/>
  <c r="BJ35" i="3" s="1"/>
  <c r="BJ15" i="19"/>
  <c r="BJ22" i="19" s="1"/>
  <c r="GB14" i="3" a="1"/>
  <c r="GB14" i="3" s="1"/>
  <c r="GB15" i="3" s="1"/>
  <c r="GB21" i="3" s="1"/>
  <c r="GB35" i="3" s="1"/>
  <c r="GB36" i="3" s="1"/>
  <c r="GB37" i="3" s="1"/>
  <c r="GB14" i="19" a="1"/>
  <c r="GB14" i="19" s="1"/>
  <c r="GB15" i="19" s="1"/>
  <c r="GB22" i="19" s="1"/>
  <c r="HQ25" i="3" a="1"/>
  <c r="HQ25" i="3" s="1"/>
  <c r="HQ29" i="3" s="1"/>
  <c r="HQ27" i="19" a="1"/>
  <c r="HQ27" i="19" s="1"/>
  <c r="HQ31" i="19" s="1"/>
  <c r="DK25" i="3" a="1"/>
  <c r="DK25" i="3" s="1"/>
  <c r="DK29" i="3" s="1"/>
  <c r="DK27" i="19" a="1"/>
  <c r="DK27" i="19" s="1"/>
  <c r="DK31" i="19" s="1"/>
  <c r="FZ25" i="3" a="1"/>
  <c r="FZ25" i="3" s="1"/>
  <c r="FZ29" i="3" s="1"/>
  <c r="FZ27" i="19" a="1"/>
  <c r="FZ27" i="19" s="1"/>
  <c r="FZ31" i="19" s="1"/>
  <c r="GE25" i="3" a="1"/>
  <c r="GE25" i="3" s="1"/>
  <c r="GE29" i="3" s="1"/>
  <c r="GE27" i="19" a="1"/>
  <c r="GE27" i="19" s="1"/>
  <c r="GE31" i="19" s="1"/>
  <c r="EE25" i="3" a="1"/>
  <c r="EE25" i="3" s="1"/>
  <c r="EE29" i="3" s="1"/>
  <c r="EE27" i="19" a="1"/>
  <c r="EE27" i="19" s="1"/>
  <c r="EE31" i="19" s="1"/>
  <c r="EW14" i="3" a="1"/>
  <c r="EW14" i="3" s="1"/>
  <c r="EW15" i="3" s="1"/>
  <c r="EW21" i="3" s="1"/>
  <c r="EW35" i="3" s="1"/>
  <c r="EW36" i="3" s="1"/>
  <c r="EW37" i="3" s="1"/>
  <c r="EW14" i="19" a="1"/>
  <c r="EW14" i="19" s="1"/>
  <c r="EW15" i="19" s="1"/>
  <c r="EW22" i="19" s="1"/>
  <c r="HN14" i="3" a="1"/>
  <c r="HN14" i="3" s="1"/>
  <c r="HN15" i="3" s="1"/>
  <c r="HN21" i="3" s="1"/>
  <c r="HN14" i="19" a="1"/>
  <c r="HN14" i="19" s="1"/>
  <c r="HN15" i="19" s="1"/>
  <c r="HN22" i="19" s="1"/>
  <c r="KA14" i="3" a="1"/>
  <c r="KA14" i="3" s="1"/>
  <c r="KA15" i="3" s="1"/>
  <c r="KA21" i="3" s="1"/>
  <c r="KA14" i="19" a="1"/>
  <c r="KA14" i="19" s="1"/>
  <c r="KA15" i="19" s="1"/>
  <c r="KA22" i="19" s="1"/>
  <c r="GX14" i="3" a="1"/>
  <c r="GX14" i="3" s="1"/>
  <c r="GX15" i="3" s="1"/>
  <c r="GX21" i="3" s="1"/>
  <c r="GX14" i="19" a="1"/>
  <c r="GX14" i="19" s="1"/>
  <c r="GX15" i="19" s="1"/>
  <c r="GX22" i="19" s="1"/>
  <c r="AY25" i="3" a="1"/>
  <c r="AY25" i="3" s="1"/>
  <c r="AY29" i="3" s="1"/>
  <c r="AY31" i="19"/>
  <c r="BC25" i="3" a="1"/>
  <c r="BC25" i="3" s="1"/>
  <c r="BC29" i="3" s="1"/>
  <c r="BC31" i="19"/>
  <c r="KD14" i="3" a="1"/>
  <c r="KD14" i="3" s="1"/>
  <c r="KD15" i="3" s="1"/>
  <c r="KD21" i="3" s="1"/>
  <c r="KD35" i="3" s="1"/>
  <c r="KD36" i="3" s="1"/>
  <c r="KD37" i="3" s="1"/>
  <c r="KD14" i="19" a="1"/>
  <c r="KD14" i="19" s="1"/>
  <c r="KD15" i="19" s="1"/>
  <c r="KD22" i="19" s="1"/>
  <c r="BW14" i="3" a="1"/>
  <c r="BW14" i="3" s="1"/>
  <c r="GL14" i="3" a="1"/>
  <c r="GL14" i="3" s="1"/>
  <c r="GL15" i="3" s="1"/>
  <c r="GL21" i="3" s="1"/>
  <c r="GL35" i="3" s="1"/>
  <c r="GL36" i="3" s="1"/>
  <c r="GL37" i="3" s="1"/>
  <c r="GL14" i="19" a="1"/>
  <c r="GL14" i="19" s="1"/>
  <c r="GL15" i="19" s="1"/>
  <c r="GL22" i="19" s="1"/>
  <c r="IC14" i="3" a="1"/>
  <c r="IC14" i="3" s="1"/>
  <c r="IC15" i="3" s="1"/>
  <c r="IC21" i="3" s="1"/>
  <c r="IC35" i="3" s="1"/>
  <c r="IC36" i="3" s="1"/>
  <c r="IC37" i="3" s="1"/>
  <c r="IC14" i="19" a="1"/>
  <c r="IC14" i="19" s="1"/>
  <c r="IC15" i="19" s="1"/>
  <c r="IC22" i="19" s="1"/>
  <c r="IF14" i="3" a="1"/>
  <c r="IF14" i="3" s="1"/>
  <c r="IF15" i="3" s="1"/>
  <c r="IF21" i="3" s="1"/>
  <c r="IF14" i="19" a="1"/>
  <c r="IF14" i="19" s="1"/>
  <c r="IF15" i="19" s="1"/>
  <c r="IF22" i="19" s="1"/>
  <c r="FO14" i="3" a="1"/>
  <c r="FO14" i="3" s="1"/>
  <c r="FO15" i="3" s="1"/>
  <c r="FO21" i="3" s="1"/>
  <c r="FO14" i="19" a="1"/>
  <c r="FO14" i="19" s="1"/>
  <c r="FO15" i="19" s="1"/>
  <c r="FO22" i="19" s="1"/>
  <c r="DA14" i="3" a="1"/>
  <c r="DA14" i="3" s="1"/>
  <c r="DA15" i="3" s="1"/>
  <c r="DA21" i="3" s="1"/>
  <c r="DA35" i="3" s="1"/>
  <c r="DA14" i="19" a="1"/>
  <c r="DA14" i="19" s="1"/>
  <c r="DA15" i="19" s="1"/>
  <c r="DA22" i="19" s="1"/>
  <c r="DZ14" i="3" a="1"/>
  <c r="DZ14" i="3" s="1"/>
  <c r="DZ15" i="3" s="1"/>
  <c r="DZ21" i="3" s="1"/>
  <c r="DZ35" i="3" s="1"/>
  <c r="DZ36" i="3" s="1"/>
  <c r="DZ37" i="3" s="1"/>
  <c r="DZ14" i="19" a="1"/>
  <c r="DZ14" i="19" s="1"/>
  <c r="DZ15" i="19" s="1"/>
  <c r="DZ22" i="19" s="1"/>
  <c r="JO25" i="3" a="1"/>
  <c r="JO25" i="3" s="1"/>
  <c r="JO29" i="3" s="1"/>
  <c r="JO27" i="19" a="1"/>
  <c r="JO27" i="19" s="1"/>
  <c r="JO31" i="19" s="1"/>
  <c r="HM25" i="3" a="1"/>
  <c r="HM25" i="3" s="1"/>
  <c r="HM29" i="3" s="1"/>
  <c r="HM27" i="19" a="1"/>
  <c r="HM27" i="19" s="1"/>
  <c r="HM31" i="19" s="1"/>
  <c r="HR25" i="3" a="1"/>
  <c r="HR25" i="3" s="1"/>
  <c r="HR29" i="3" s="1"/>
  <c r="HR27" i="19" a="1"/>
  <c r="HR27" i="19" s="1"/>
  <c r="HR31" i="19" s="1"/>
  <c r="HP14" i="3" a="1"/>
  <c r="HP14" i="3" s="1"/>
  <c r="HP15" i="3" s="1"/>
  <c r="HP21" i="3" s="1"/>
  <c r="HP35" i="3" s="1"/>
  <c r="HP36" i="3" s="1"/>
  <c r="HP37" i="3" s="1"/>
  <c r="HP14" i="19" a="1"/>
  <c r="HP14" i="19" s="1"/>
  <c r="HP15" i="19" s="1"/>
  <c r="HP22" i="19" s="1"/>
  <c r="KH14" i="3" a="1"/>
  <c r="KH14" i="3" s="1"/>
  <c r="KH15" i="3" s="1"/>
  <c r="KH21" i="3" s="1"/>
  <c r="KH35" i="3" s="1"/>
  <c r="KH36" i="3" s="1"/>
  <c r="KH37" i="3" s="1"/>
  <c r="KH14" i="19" a="1"/>
  <c r="KH14" i="19" s="1"/>
  <c r="KH15" i="19" s="1"/>
  <c r="KH22" i="19" s="1"/>
  <c r="BL14" i="3" a="1"/>
  <c r="BL14" i="3" s="1"/>
  <c r="BL15" i="3" s="1"/>
  <c r="BL21" i="3" s="1"/>
  <c r="BL15" i="19"/>
  <c r="BL22" i="19" s="1"/>
  <c r="FM14" i="3" a="1"/>
  <c r="FM14" i="3" s="1"/>
  <c r="FM15" i="3" s="1"/>
  <c r="FM21" i="3" s="1"/>
  <c r="FM35" i="3" s="1"/>
  <c r="FM36" i="3" s="1"/>
  <c r="FM37" i="3" s="1"/>
  <c r="FM14" i="19" a="1"/>
  <c r="FM14" i="19" s="1"/>
  <c r="FM15" i="19" s="1"/>
  <c r="FM22" i="19" s="1"/>
  <c r="HD25" i="3" a="1"/>
  <c r="HD25" i="3" s="1"/>
  <c r="HD29" i="3" s="1"/>
  <c r="HD27" i="19" a="1"/>
  <c r="HD27" i="19" s="1"/>
  <c r="HD31" i="19" s="1"/>
  <c r="DH25" i="3" a="1"/>
  <c r="DH25" i="3" s="1"/>
  <c r="DH29" i="3" s="1"/>
  <c r="DH27" i="19" a="1"/>
  <c r="DH27" i="19" s="1"/>
  <c r="DH31" i="19" s="1"/>
  <c r="EC25" i="3" a="1"/>
  <c r="EC25" i="3" s="1"/>
  <c r="EC29" i="3" s="1"/>
  <c r="EC27" i="19" a="1"/>
  <c r="EC27" i="19" s="1"/>
  <c r="EC31" i="19" s="1"/>
  <c r="AX25" i="3" a="1"/>
  <c r="AX25" i="3" s="1"/>
  <c r="AX29" i="3" s="1"/>
  <c r="AX31" i="19"/>
  <c r="FQ14" i="3" a="1"/>
  <c r="FQ14" i="3" s="1"/>
  <c r="FQ15" i="3" s="1"/>
  <c r="FQ21" i="3" s="1"/>
  <c r="FQ35" i="3" s="1"/>
  <c r="FQ36" i="3" s="1"/>
  <c r="FQ37" i="3" s="1"/>
  <c r="FQ14" i="19" a="1"/>
  <c r="FQ14" i="19" s="1"/>
  <c r="FQ15" i="19" s="1"/>
  <c r="FQ22" i="19" s="1"/>
  <c r="KO14" i="3" a="1"/>
  <c r="KO14" i="3" s="1"/>
  <c r="KO15" i="3" s="1"/>
  <c r="KO21" i="3" s="1"/>
  <c r="KO14" i="19" a="1"/>
  <c r="KO14" i="19" s="1"/>
  <c r="KO15" i="19" s="1"/>
  <c r="KO22" i="19" s="1"/>
  <c r="CF25" i="3" a="1"/>
  <c r="CF25" i="3" s="1"/>
  <c r="CF29" i="3" s="1"/>
  <c r="CF31" i="19"/>
  <c r="JV14" i="3" a="1"/>
  <c r="JV14" i="3" s="1"/>
  <c r="JV15" i="3" s="1"/>
  <c r="JV21" i="3" s="1"/>
  <c r="JV35" i="3" s="1"/>
  <c r="JV36" i="3" s="1"/>
  <c r="JV37" i="3" s="1"/>
  <c r="JV14" i="19" a="1"/>
  <c r="JV14" i="19" s="1"/>
  <c r="JV15" i="19" s="1"/>
  <c r="JV22" i="19" s="1"/>
  <c r="EE14" i="3" a="1"/>
  <c r="EE14" i="3" s="1"/>
  <c r="EE15" i="3" s="1"/>
  <c r="EE21" i="3" s="1"/>
  <c r="EE35" i="3" s="1"/>
  <c r="EE36" i="3" s="1"/>
  <c r="EE37" i="3" s="1"/>
  <c r="EE14" i="19" a="1"/>
  <c r="EE14" i="19" s="1"/>
  <c r="EE15" i="19" s="1"/>
  <c r="EE22" i="19" s="1"/>
  <c r="FI14" i="3" a="1"/>
  <c r="FI14" i="3" s="1"/>
  <c r="FI15" i="3" s="1"/>
  <c r="FI21" i="3" s="1"/>
  <c r="FI35" i="3" s="1"/>
  <c r="FI36" i="3" s="1"/>
  <c r="FI37" i="3" s="1"/>
  <c r="FI14" i="19" a="1"/>
  <c r="FI14" i="19" s="1"/>
  <c r="FI15" i="19" s="1"/>
  <c r="FI22" i="19" s="1"/>
  <c r="DO14" i="3" a="1"/>
  <c r="DO14" i="3" s="1"/>
  <c r="DO14" i="19" a="1"/>
  <c r="DO14" i="19" s="1"/>
  <c r="DO15" i="19" s="1"/>
  <c r="DO22" i="19" s="1"/>
  <c r="KB25" i="3" a="1"/>
  <c r="KB25" i="3" s="1"/>
  <c r="KB29" i="3" s="1"/>
  <c r="KB27" i="19" a="1"/>
  <c r="KB27" i="19" s="1"/>
  <c r="KB31" i="19" s="1"/>
  <c r="JM14" i="3" a="1"/>
  <c r="JM14" i="3" s="1"/>
  <c r="JM15" i="3" s="1"/>
  <c r="JM21" i="3" s="1"/>
  <c r="JM35" i="3" s="1"/>
  <c r="JM36" i="3" s="1"/>
  <c r="JM37" i="3" s="1"/>
  <c r="JM14" i="19" a="1"/>
  <c r="JM14" i="19" s="1"/>
  <c r="JM15" i="19" s="1"/>
  <c r="JM22" i="19" s="1"/>
  <c r="BL25" i="3" a="1"/>
  <c r="BL25" i="3" s="1"/>
  <c r="BL29" i="3" s="1"/>
  <c r="BL31" i="19"/>
  <c r="DS25" i="3" a="1"/>
  <c r="DS25" i="3" s="1"/>
  <c r="DS29" i="3" s="1"/>
  <c r="DS27" i="19" a="1"/>
  <c r="DS27" i="19" s="1"/>
  <c r="DS31" i="19" s="1"/>
  <c r="KE25" i="3" a="1"/>
  <c r="KE25" i="3" s="1"/>
  <c r="KE29" i="3" s="1"/>
  <c r="KE27" i="19" a="1"/>
  <c r="KE27" i="19" s="1"/>
  <c r="KE31" i="19" s="1"/>
  <c r="KK14" i="3" a="1"/>
  <c r="KK14" i="3" s="1"/>
  <c r="KK15" i="3" s="1"/>
  <c r="KK21" i="3" s="1"/>
  <c r="KK35" i="3" s="1"/>
  <c r="KK36" i="3" s="1"/>
  <c r="KK37" i="3" s="1"/>
  <c r="KK14" i="19" a="1"/>
  <c r="KK14" i="19" s="1"/>
  <c r="KK15" i="19" s="1"/>
  <c r="KK22" i="19" s="1"/>
  <c r="JR14" i="3" a="1"/>
  <c r="JR14" i="3" s="1"/>
  <c r="JR15" i="3" s="1"/>
  <c r="JR21" i="3" s="1"/>
  <c r="JR35" i="3" s="1"/>
  <c r="JR36" i="3" s="1"/>
  <c r="JR37" i="3" s="1"/>
  <c r="JR14" i="19" a="1"/>
  <c r="JR14" i="19" s="1"/>
  <c r="JR15" i="19" s="1"/>
  <c r="JR22" i="19" s="1"/>
  <c r="HT14" i="3" a="1"/>
  <c r="HT14" i="3" s="1"/>
  <c r="HT15" i="3" s="1"/>
  <c r="HT21" i="3" s="1"/>
  <c r="HT35" i="3" s="1"/>
  <c r="HT36" i="3" s="1"/>
  <c r="HT37" i="3" s="1"/>
  <c r="HT14" i="19" a="1"/>
  <c r="HT14" i="19" s="1"/>
  <c r="HT15" i="19" s="1"/>
  <c r="HT22" i="19" s="1"/>
  <c r="CT14" i="3" a="1"/>
  <c r="CT14" i="3" s="1"/>
  <c r="CT15" i="3" s="1"/>
  <c r="CT21" i="3" s="1"/>
  <c r="CT31" i="3" s="1"/>
  <c r="CT14" i="19" a="1"/>
  <c r="CT14" i="19" s="1"/>
  <c r="CT15" i="19" s="1"/>
  <c r="CT22" i="19" s="1"/>
  <c r="BZ25" i="3" a="1"/>
  <c r="BZ25" i="3" s="1"/>
  <c r="BZ29" i="3" s="1"/>
  <c r="BZ31" i="19"/>
  <c r="BM14" i="3" a="1"/>
  <c r="BM14" i="3" s="1"/>
  <c r="BM15" i="3" s="1"/>
  <c r="BM21" i="3" s="1"/>
  <c r="BM15" i="19"/>
  <c r="BM22" i="19" s="1"/>
  <c r="CZ14" i="3" a="1"/>
  <c r="CZ14" i="3" s="1"/>
  <c r="CZ15" i="3" s="1"/>
  <c r="CZ21" i="3" s="1"/>
  <c r="CZ35" i="3" s="1"/>
  <c r="CZ14" i="19" a="1"/>
  <c r="CZ14" i="19" s="1"/>
  <c r="CZ15" i="19" s="1"/>
  <c r="CZ22" i="19" s="1"/>
  <c r="GR25" i="3" a="1"/>
  <c r="GR25" i="3" s="1"/>
  <c r="GR29" i="3" s="1"/>
  <c r="GR27" i="19" a="1"/>
  <c r="GR27" i="19" s="1"/>
  <c r="GR31" i="19" s="1"/>
  <c r="JN14" i="3" a="1"/>
  <c r="JN14" i="3" s="1"/>
  <c r="JN15" i="3" s="1"/>
  <c r="JN21" i="3" s="1"/>
  <c r="JN35" i="3" s="1"/>
  <c r="JN36" i="3" s="1"/>
  <c r="JN37" i="3" s="1"/>
  <c r="JN14" i="19" a="1"/>
  <c r="JN14" i="19" s="1"/>
  <c r="JN15" i="19" s="1"/>
  <c r="JN22" i="19" s="1"/>
  <c r="FP14" i="3" a="1"/>
  <c r="FP14" i="3" s="1"/>
  <c r="FP15" i="3" s="1"/>
  <c r="FP21" i="3" s="1"/>
  <c r="FP35" i="3" s="1"/>
  <c r="FP36" i="3" s="1"/>
  <c r="FP37" i="3" s="1"/>
  <c r="FP14" i="19" a="1"/>
  <c r="FP14" i="19" s="1"/>
  <c r="FP15" i="19" s="1"/>
  <c r="FP22" i="19" s="1"/>
  <c r="GK14" i="3" a="1"/>
  <c r="GK14" i="3" s="1"/>
  <c r="GK15" i="3" s="1"/>
  <c r="GK21" i="3" s="1"/>
  <c r="GK14" i="19" a="1"/>
  <c r="GK14" i="19" s="1"/>
  <c r="GK15" i="19" s="1"/>
  <c r="GK22" i="19" s="1"/>
  <c r="BF14" i="3" a="1"/>
  <c r="BF14" i="3" s="1"/>
  <c r="BF15" i="3" s="1"/>
  <c r="BF21" i="3" s="1"/>
  <c r="BF35" i="3" s="1"/>
  <c r="BF15" i="19"/>
  <c r="BF22" i="19" s="1"/>
  <c r="FD25" i="3" a="1"/>
  <c r="FD25" i="3" s="1"/>
  <c r="FD29" i="3" s="1"/>
  <c r="FD27" i="19" a="1"/>
  <c r="FD27" i="19" s="1"/>
  <c r="FD31" i="19" s="1"/>
  <c r="GO14" i="3" a="1"/>
  <c r="GO14" i="3" s="1"/>
  <c r="GO15" i="3" s="1"/>
  <c r="GO21" i="3" s="1"/>
  <c r="GO14" i="19" a="1"/>
  <c r="GO14" i="19" s="1"/>
  <c r="GO15" i="19" s="1"/>
  <c r="GO22" i="19" s="1"/>
  <c r="FA25" i="3" a="1"/>
  <c r="FA25" i="3" s="1"/>
  <c r="FA29" i="3" s="1"/>
  <c r="FA27" i="19" a="1"/>
  <c r="FA27" i="19" s="1"/>
  <c r="FA31" i="19" s="1"/>
  <c r="IL25" i="3" a="1"/>
  <c r="IL25" i="3" s="1"/>
  <c r="IL29" i="3" s="1"/>
  <c r="IL27" i="19" a="1"/>
  <c r="IL27" i="19" s="1"/>
  <c r="IL31" i="19" s="1"/>
  <c r="EA25" i="3" a="1"/>
  <c r="EA25" i="3" s="1"/>
  <c r="EA29" i="3" s="1"/>
  <c r="EA27" i="19" a="1"/>
  <c r="EA27" i="19" s="1"/>
  <c r="EA31" i="19" s="1"/>
  <c r="DT14" i="3" a="1"/>
  <c r="DT14" i="3" s="1"/>
  <c r="DT15" i="3" s="1"/>
  <c r="DT21" i="3" s="1"/>
  <c r="DT35" i="3" s="1"/>
  <c r="DT36" i="3" s="1"/>
  <c r="DT37" i="3" s="1"/>
  <c r="DT14" i="19" a="1"/>
  <c r="DT14" i="19" s="1"/>
  <c r="DT15" i="19" s="1"/>
  <c r="DT22" i="19" s="1"/>
  <c r="JK14" i="3" a="1"/>
  <c r="JK14" i="3" s="1"/>
  <c r="JK15" i="3" s="1"/>
  <c r="JK21" i="3" s="1"/>
  <c r="JK35" i="3" s="1"/>
  <c r="JK36" i="3" s="1"/>
  <c r="JK37" i="3" s="1"/>
  <c r="JK14" i="19" a="1"/>
  <c r="JK14" i="19" s="1"/>
  <c r="JK15" i="19" s="1"/>
  <c r="JK22" i="19" s="1"/>
  <c r="FK14" i="3" a="1"/>
  <c r="FK14" i="3" s="1"/>
  <c r="FK15" i="3" s="1"/>
  <c r="FK21" i="3" s="1"/>
  <c r="FK14" i="19" a="1"/>
  <c r="FK14" i="19" s="1"/>
  <c r="FK15" i="19" s="1"/>
  <c r="FK22" i="19" s="1"/>
  <c r="GZ25" i="3" a="1"/>
  <c r="GZ25" i="3" s="1"/>
  <c r="GZ29" i="3" s="1"/>
  <c r="GZ27" i="19" a="1"/>
  <c r="GZ27" i="19" s="1"/>
  <c r="GZ31" i="19" s="1"/>
  <c r="FB25" i="3" a="1"/>
  <c r="FB25" i="3" s="1"/>
  <c r="FB29" i="3" s="1"/>
  <c r="FB27" i="19" a="1"/>
  <c r="FB27" i="19" s="1"/>
  <c r="FB31" i="19" s="1"/>
  <c r="BM25" i="3" a="1"/>
  <c r="BM25" i="3" s="1"/>
  <c r="BM29" i="3" s="1"/>
  <c r="BM31" i="19"/>
  <c r="FF14" i="3" a="1"/>
  <c r="FF14" i="3" s="1"/>
  <c r="FF15" i="3" s="1"/>
  <c r="FF21" i="3" s="1"/>
  <c r="FF35" i="3" s="1"/>
  <c r="FF36" i="3" s="1"/>
  <c r="FF37" i="3" s="1"/>
  <c r="FF14" i="19" a="1"/>
  <c r="FF14" i="19" s="1"/>
  <c r="FF15" i="19" s="1"/>
  <c r="FF22" i="19" s="1"/>
  <c r="GU25" i="3" a="1"/>
  <c r="GU25" i="3" s="1"/>
  <c r="GU29" i="3" s="1"/>
  <c r="GU27" i="19" a="1"/>
  <c r="GU27" i="19" s="1"/>
  <c r="GU31" i="19" s="1"/>
  <c r="DC25" i="3" a="1"/>
  <c r="DC25" i="3" s="1"/>
  <c r="DC29" i="3" s="1"/>
  <c r="DC27" i="19" a="1"/>
  <c r="DC27" i="19" s="1"/>
  <c r="DC31" i="19" s="1"/>
  <c r="IY14" i="3" a="1"/>
  <c r="IY14" i="3" s="1"/>
  <c r="IY15" i="3" s="1"/>
  <c r="IY21" i="3" s="1"/>
  <c r="IY14" i="19" a="1"/>
  <c r="IY14" i="19" s="1"/>
  <c r="IY15" i="19" s="1"/>
  <c r="IY22" i="19" s="1"/>
  <c r="JQ14" i="3" a="1"/>
  <c r="JQ14" i="3" s="1"/>
  <c r="JQ15" i="3" s="1"/>
  <c r="JQ21" i="3" s="1"/>
  <c r="JQ35" i="3" s="1"/>
  <c r="JQ36" i="3" s="1"/>
  <c r="JQ37" i="3" s="1"/>
  <c r="JQ14" i="19" a="1"/>
  <c r="JQ14" i="19" s="1"/>
  <c r="JQ15" i="19" s="1"/>
  <c r="JQ22" i="19" s="1"/>
  <c r="JP14" i="3" a="1"/>
  <c r="JP14" i="3" s="1"/>
  <c r="JP15" i="3" s="1"/>
  <c r="JP21" i="3" s="1"/>
  <c r="JP14" i="19" a="1"/>
  <c r="JP14" i="19" s="1"/>
  <c r="JP15" i="19" s="1"/>
  <c r="JP22" i="19" s="1"/>
  <c r="CL14" i="3" a="1"/>
  <c r="CL14" i="3" s="1"/>
  <c r="CL15" i="3" s="1"/>
  <c r="CL21" i="3" s="1"/>
  <c r="CL35" i="3" s="1"/>
  <c r="CL14" i="19" a="1"/>
  <c r="CL14" i="19" s="1"/>
  <c r="GD14" i="3" a="1"/>
  <c r="GD14" i="3" s="1"/>
  <c r="GD15" i="3" s="1"/>
  <c r="GD21" i="3" s="1"/>
  <c r="GD31" i="3" s="1"/>
  <c r="GD14" i="19" a="1"/>
  <c r="GD14" i="19" s="1"/>
  <c r="GD15" i="19" s="1"/>
  <c r="GD22" i="19" s="1"/>
  <c r="KN14" i="3" a="1"/>
  <c r="KN14" i="3" s="1"/>
  <c r="KN15" i="3" s="1"/>
  <c r="KN21" i="3" s="1"/>
  <c r="KN14" i="19" a="1"/>
  <c r="KN14" i="19" s="1"/>
  <c r="KN15" i="19" s="1"/>
  <c r="KN22" i="19" s="1"/>
  <c r="IT25" i="3" a="1"/>
  <c r="IT25" i="3" s="1"/>
  <c r="IT29" i="3" s="1"/>
  <c r="IT27" i="19" a="1"/>
  <c r="IT27" i="19" s="1"/>
  <c r="IT31" i="19" s="1"/>
  <c r="BD14" i="3" a="1"/>
  <c r="BD14" i="3" s="1"/>
  <c r="BD15" i="3" s="1"/>
  <c r="BD21" i="3" s="1"/>
  <c r="BD35" i="3" s="1"/>
  <c r="BD15" i="19"/>
  <c r="BD22" i="19" s="1"/>
  <c r="GM25" i="3" a="1"/>
  <c r="GM25" i="3" s="1"/>
  <c r="GM29" i="3" s="1"/>
  <c r="GM27" i="19" a="1"/>
  <c r="GM27" i="19" s="1"/>
  <c r="GM31" i="19" s="1"/>
  <c r="GJ14" i="3" a="1"/>
  <c r="GJ14" i="3" s="1"/>
  <c r="GJ15" i="3" s="1"/>
  <c r="GJ21" i="3" s="1"/>
  <c r="GJ35" i="3" s="1"/>
  <c r="GJ36" i="3" s="1"/>
  <c r="GJ37" i="3" s="1"/>
  <c r="GJ14" i="19" a="1"/>
  <c r="GJ14" i="19" s="1"/>
  <c r="GJ15" i="19" s="1"/>
  <c r="GJ22" i="19" s="1"/>
  <c r="CM25" i="3" a="1"/>
  <c r="CM25" i="3" s="1"/>
  <c r="CM29" i="3" s="1"/>
  <c r="CM31" i="19"/>
  <c r="HP25" i="3" a="1"/>
  <c r="HP25" i="3" s="1"/>
  <c r="HP29" i="3" s="1"/>
  <c r="HP27" i="19" a="1"/>
  <c r="HP27" i="19" s="1"/>
  <c r="HP31" i="19" s="1"/>
  <c r="KG14" i="3" a="1"/>
  <c r="KG14" i="3" s="1"/>
  <c r="KG15" i="3" s="1"/>
  <c r="KG21" i="3" s="1"/>
  <c r="KG14" i="19" a="1"/>
  <c r="KG14" i="19" s="1"/>
  <c r="KG15" i="19" s="1"/>
  <c r="KG22" i="19" s="1"/>
  <c r="EX25" i="3" a="1"/>
  <c r="EX25" i="3" s="1"/>
  <c r="EX29" i="3" s="1"/>
  <c r="EX27" i="19" a="1"/>
  <c r="EX27" i="19" s="1"/>
  <c r="EX31" i="19" s="1"/>
  <c r="BT25" i="3" a="1"/>
  <c r="BT25" i="3" s="1"/>
  <c r="BT29" i="3" s="1"/>
  <c r="BT31" i="19"/>
  <c r="GA25" i="3" a="1"/>
  <c r="GA25" i="3" s="1"/>
  <c r="GA29" i="3" s="1"/>
  <c r="GA27" i="19" a="1"/>
  <c r="GA27" i="19" s="1"/>
  <c r="GA31" i="19" s="1"/>
  <c r="JN25" i="3" a="1"/>
  <c r="JN25" i="3" s="1"/>
  <c r="JN29" i="3" s="1"/>
  <c r="JN27" i="19" a="1"/>
  <c r="JN27" i="19" s="1"/>
  <c r="JN31" i="19" s="1"/>
  <c r="CE25" i="3" a="1"/>
  <c r="CE25" i="3" s="1"/>
  <c r="CE29" i="3" s="1"/>
  <c r="CE31" i="19"/>
  <c r="FY25" i="3" a="1"/>
  <c r="FY25" i="3" s="1"/>
  <c r="FY29" i="3" s="1"/>
  <c r="FY27" i="19" a="1"/>
  <c r="FY27" i="19" s="1"/>
  <c r="FY31" i="19" s="1"/>
  <c r="JF14" i="3" a="1"/>
  <c r="JF14" i="3" s="1"/>
  <c r="JF15" i="3" s="1"/>
  <c r="JF21" i="3" s="1"/>
  <c r="JF35" i="3" s="1"/>
  <c r="JF36" i="3" s="1"/>
  <c r="JF37" i="3" s="1"/>
  <c r="JF14" i="19" a="1"/>
  <c r="JF14" i="19" s="1"/>
  <c r="JF15" i="19" s="1"/>
  <c r="JF22" i="19" s="1"/>
  <c r="FU14" i="3" a="1"/>
  <c r="FU14" i="3" s="1"/>
  <c r="FU15" i="3" s="1"/>
  <c r="FU21" i="3" s="1"/>
  <c r="FU35" i="3" s="1"/>
  <c r="FU36" i="3" s="1"/>
  <c r="FU37" i="3" s="1"/>
  <c r="FU14" i="19" a="1"/>
  <c r="FU14" i="19" s="1"/>
  <c r="FU15" i="19" s="1"/>
  <c r="FU22" i="19" s="1"/>
  <c r="DD25" i="3" a="1"/>
  <c r="DD25" i="3" s="1"/>
  <c r="DD29" i="3" s="1"/>
  <c r="DD27" i="19" a="1"/>
  <c r="DD27" i="19" s="1"/>
  <c r="DD31" i="19" s="1"/>
  <c r="IH25" i="3" a="1"/>
  <c r="IH25" i="3" s="1"/>
  <c r="IH29" i="3" s="1"/>
  <c r="IH27" i="19" a="1"/>
  <c r="IH27" i="19" s="1"/>
  <c r="IH31" i="19" s="1"/>
  <c r="BU14" i="3" a="1"/>
  <c r="BU14" i="3" s="1"/>
  <c r="BU15" i="3" s="1"/>
  <c r="BU21" i="3" s="1"/>
  <c r="BU15" i="19"/>
  <c r="BU22" i="19" s="1"/>
  <c r="EP14" i="3" a="1"/>
  <c r="EP14" i="3" s="1"/>
  <c r="EP15" i="3" s="1"/>
  <c r="EP21" i="3" s="1"/>
  <c r="EP35" i="3" s="1"/>
  <c r="EP36" i="3" s="1"/>
  <c r="EP37" i="3" s="1"/>
  <c r="EP14" i="19" a="1"/>
  <c r="EP14" i="19" s="1"/>
  <c r="EP15" i="19" s="1"/>
  <c r="EP22" i="19" s="1"/>
  <c r="FS14" i="3" a="1"/>
  <c r="FS14" i="3" s="1"/>
  <c r="FS15" i="3" s="1"/>
  <c r="FS21" i="3" s="1"/>
  <c r="FS35" i="3" s="1"/>
  <c r="FS36" i="3" s="1"/>
  <c r="FS37" i="3" s="1"/>
  <c r="FS14" i="19" a="1"/>
  <c r="FS14" i="19" s="1"/>
  <c r="FS15" i="19" s="1"/>
  <c r="FS22" i="19" s="1"/>
  <c r="ET25" i="3" a="1"/>
  <c r="ET25" i="3" s="1"/>
  <c r="ET29" i="3" s="1"/>
  <c r="ET27" i="19" a="1"/>
  <c r="ET27" i="19" s="1"/>
  <c r="ET31" i="19" s="1"/>
  <c r="CK25" i="3" a="1"/>
  <c r="CK25" i="3" s="1"/>
  <c r="CK29" i="3" s="1"/>
  <c r="CK31" i="19"/>
  <c r="HV25" i="3" a="1"/>
  <c r="HV25" i="3" s="1"/>
  <c r="HV29" i="3" s="1"/>
  <c r="HV27" i="19" a="1"/>
  <c r="HV27" i="19" s="1"/>
  <c r="HV31" i="19" s="1"/>
  <c r="EB25" i="3" a="1"/>
  <c r="EB25" i="3" s="1"/>
  <c r="EB29" i="3" s="1"/>
  <c r="EB27" i="19" a="1"/>
  <c r="EB27" i="19" s="1"/>
  <c r="EB31" i="19" s="1"/>
  <c r="KC14" i="3" a="1"/>
  <c r="KC14" i="3" s="1"/>
  <c r="KC15" i="3" s="1"/>
  <c r="KC21" i="3" s="1"/>
  <c r="KC35" i="3" s="1"/>
  <c r="KC36" i="3" s="1"/>
  <c r="KC37" i="3" s="1"/>
  <c r="KC14" i="19" a="1"/>
  <c r="KC14" i="19" s="1"/>
  <c r="KC15" i="19" s="1"/>
  <c r="KC22" i="19" s="1"/>
  <c r="GC25" i="3" a="1"/>
  <c r="GC25" i="3" s="1"/>
  <c r="GC29" i="3" s="1"/>
  <c r="GC27" i="19" a="1"/>
  <c r="GC27" i="19" s="1"/>
  <c r="GC31" i="19" s="1"/>
  <c r="JY25" i="3" a="1"/>
  <c r="JY25" i="3" s="1"/>
  <c r="JY29" i="3" s="1"/>
  <c r="JY27" i="19" a="1"/>
  <c r="JY27" i="19" s="1"/>
  <c r="JY31" i="19" s="1"/>
  <c r="BC14" i="3" a="1"/>
  <c r="BC14" i="3" s="1"/>
  <c r="BC15" i="19"/>
  <c r="BC22" i="19" s="1"/>
  <c r="FV14" i="3" a="1"/>
  <c r="FV14" i="3" s="1"/>
  <c r="FV15" i="3" s="1"/>
  <c r="FV21" i="3" s="1"/>
  <c r="FV35" i="3" s="1"/>
  <c r="FV36" i="3" s="1"/>
  <c r="FV37" i="3" s="1"/>
  <c r="FV14" i="19" a="1"/>
  <c r="FV14" i="19" s="1"/>
  <c r="FV15" i="19" s="1"/>
  <c r="FV22" i="19" s="1"/>
  <c r="BI14" i="3" a="1"/>
  <c r="BI14" i="3" s="1"/>
  <c r="BI15" i="3" s="1"/>
  <c r="BI21" i="3" s="1"/>
  <c r="BI35" i="3" s="1"/>
  <c r="BI15" i="19"/>
  <c r="BI22" i="19" s="1"/>
  <c r="HO25" i="3" a="1"/>
  <c r="HO25" i="3" s="1"/>
  <c r="HO29" i="3" s="1"/>
  <c r="HO27" i="19" a="1"/>
  <c r="HO27" i="19" s="1"/>
  <c r="HO31" i="19" s="1"/>
  <c r="IG25" i="3" a="1"/>
  <c r="IG25" i="3" s="1"/>
  <c r="IG29" i="3" s="1"/>
  <c r="IG27" i="19" a="1"/>
  <c r="IG27" i="19" s="1"/>
  <c r="IG31" i="19" s="1"/>
  <c r="DI25" i="3" a="1"/>
  <c r="DI25" i="3" s="1"/>
  <c r="DI29" i="3" s="1"/>
  <c r="DI27" i="19" a="1"/>
  <c r="DI27" i="19" s="1"/>
  <c r="DI31" i="19" s="1"/>
  <c r="KG25" i="3" a="1"/>
  <c r="KG25" i="3" s="1"/>
  <c r="KG29" i="3" s="1"/>
  <c r="KG27" i="19" a="1"/>
  <c r="KG27" i="19" s="1"/>
  <c r="KG31" i="19" s="1"/>
  <c r="CJ14" i="3" a="1"/>
  <c r="CJ14" i="3" s="1"/>
  <c r="CJ15" i="3" s="1"/>
  <c r="CJ21" i="3" s="1"/>
  <c r="CJ35" i="3" s="1"/>
  <c r="CJ14" i="19" a="1"/>
  <c r="CJ14" i="19" s="1"/>
  <c r="CJ15" i="19" s="1"/>
  <c r="CJ22" i="19" s="1"/>
  <c r="JX25" i="3" a="1"/>
  <c r="JX25" i="3" s="1"/>
  <c r="JX29" i="3" s="1"/>
  <c r="JX27" i="19" a="1"/>
  <c r="JX27" i="19" s="1"/>
  <c r="JX31" i="19" s="1"/>
  <c r="IU14" i="3" a="1"/>
  <c r="IU14" i="3" s="1"/>
  <c r="IU15" i="3" s="1"/>
  <c r="IU21" i="3" s="1"/>
  <c r="IU14" i="19" a="1"/>
  <c r="IU14" i="19" s="1"/>
  <c r="IU15" i="19" s="1"/>
  <c r="IU22" i="19" s="1"/>
  <c r="DY25" i="3" a="1"/>
  <c r="DY25" i="3" s="1"/>
  <c r="DY29" i="3" s="1"/>
  <c r="DY27" i="19" a="1"/>
  <c r="DY27" i="19" s="1"/>
  <c r="DY31" i="19" s="1"/>
  <c r="JZ25" i="3" a="1"/>
  <c r="JZ25" i="3" s="1"/>
  <c r="JZ29" i="3" s="1"/>
  <c r="JZ27" i="19" a="1"/>
  <c r="JZ27" i="19" s="1"/>
  <c r="JZ31" i="19" s="1"/>
  <c r="HU14" i="3" a="1"/>
  <c r="HU14" i="3" s="1"/>
  <c r="HU15" i="3" s="1"/>
  <c r="HU21" i="3" s="1"/>
  <c r="HU14" i="19" a="1"/>
  <c r="HU14" i="19" s="1"/>
  <c r="HU15" i="19" s="1"/>
  <c r="HU22" i="19" s="1"/>
  <c r="IZ14" i="3" a="1"/>
  <c r="IZ14" i="3" s="1"/>
  <c r="IZ15" i="3" s="1"/>
  <c r="IZ21" i="3" s="1"/>
  <c r="IZ35" i="3" s="1"/>
  <c r="IZ36" i="3" s="1"/>
  <c r="IZ37" i="3" s="1"/>
  <c r="IZ14" i="19" a="1"/>
  <c r="IZ14" i="19" s="1"/>
  <c r="IZ15" i="19" s="1"/>
  <c r="IZ22" i="19" s="1"/>
  <c r="GK25" i="3" a="1"/>
  <c r="GK25" i="3" s="1"/>
  <c r="GK29" i="3" s="1"/>
  <c r="GK27" i="19" a="1"/>
  <c r="GK27" i="19" s="1"/>
  <c r="GK31" i="19" s="1"/>
  <c r="DJ25" i="3" a="1"/>
  <c r="DJ25" i="3" s="1"/>
  <c r="DJ29" i="3" s="1"/>
  <c r="DJ27" i="19" a="1"/>
  <c r="DJ27" i="19" s="1"/>
  <c r="DJ31" i="19" s="1"/>
  <c r="HM14" i="3" a="1"/>
  <c r="HM14" i="3" s="1"/>
  <c r="HM15" i="3" s="1"/>
  <c r="HM21" i="3" s="1"/>
  <c r="HM14" i="19" a="1"/>
  <c r="HM14" i="19" s="1"/>
  <c r="HM15" i="19" s="1"/>
  <c r="HM22" i="19" s="1"/>
  <c r="DA25" i="3" a="1"/>
  <c r="DA25" i="3" s="1"/>
  <c r="DA29" i="3" s="1"/>
  <c r="DA27" i="19" a="1"/>
  <c r="DA27" i="19" s="1"/>
  <c r="DA31" i="19" s="1"/>
  <c r="EU25" i="3" a="1"/>
  <c r="EU25" i="3" s="1"/>
  <c r="EU29" i="3" s="1"/>
  <c r="EU27" i="19" a="1"/>
  <c r="EU27" i="19" s="1"/>
  <c r="EU31" i="19" s="1"/>
  <c r="DB25" i="3" a="1"/>
  <c r="DB25" i="3" s="1"/>
  <c r="DB29" i="3" s="1"/>
  <c r="DB27" i="19" a="1"/>
  <c r="DB27" i="19" s="1"/>
  <c r="DB31" i="19" s="1"/>
  <c r="KP14" i="3" a="1"/>
  <c r="KP14" i="3" s="1"/>
  <c r="KP15" i="3" s="1"/>
  <c r="KP21" i="3" s="1"/>
  <c r="KP35" i="3" s="1"/>
  <c r="KP36" i="3" s="1"/>
  <c r="KP37" i="3" s="1"/>
  <c r="KP14" i="19" a="1"/>
  <c r="KP14" i="19" s="1"/>
  <c r="KP15" i="19" s="1"/>
  <c r="KP22" i="19" s="1"/>
  <c r="FU25" i="3" a="1"/>
  <c r="FU25" i="3" s="1"/>
  <c r="FU29" i="3" s="1"/>
  <c r="FU27" i="19" a="1"/>
  <c r="FU27" i="19" s="1"/>
  <c r="FU31" i="19" s="1"/>
  <c r="CW14" i="3" a="1"/>
  <c r="CW14" i="3" s="1"/>
  <c r="CW15" i="3" s="1"/>
  <c r="CW21" i="3" s="1"/>
  <c r="CW31" i="3" s="1"/>
  <c r="CW14" i="19" a="1"/>
  <c r="CW14" i="19" s="1"/>
  <c r="CW15" i="19" s="1"/>
  <c r="CW22" i="19" s="1"/>
  <c r="DL25" i="3" a="1"/>
  <c r="DL25" i="3" s="1"/>
  <c r="DL29" i="3" s="1"/>
  <c r="DL27" i="19" a="1"/>
  <c r="DL27" i="19" s="1"/>
  <c r="DL31" i="19" s="1"/>
  <c r="GN14" i="3" a="1"/>
  <c r="GN14" i="3" s="1"/>
  <c r="GN15" i="3" s="1"/>
  <c r="GN21" i="3" s="1"/>
  <c r="GN14" i="19" a="1"/>
  <c r="GN14" i="19" s="1"/>
  <c r="GN15" i="19" s="1"/>
  <c r="GN22" i="19" s="1"/>
  <c r="DR14" i="3" a="1"/>
  <c r="DR14" i="3" s="1"/>
  <c r="DR15" i="3" s="1"/>
  <c r="DR21" i="3" s="1"/>
  <c r="DR35" i="3" s="1"/>
  <c r="DR36" i="3" s="1"/>
  <c r="DR37" i="3" s="1"/>
  <c r="DR14" i="19" a="1"/>
  <c r="DR14" i="19" s="1"/>
  <c r="DR15" i="19" s="1"/>
  <c r="DR22" i="19" s="1"/>
  <c r="GI25" i="3" a="1"/>
  <c r="GI25" i="3" s="1"/>
  <c r="GI29" i="3" s="1"/>
  <c r="GI27" i="19" a="1"/>
  <c r="GI27" i="19" s="1"/>
  <c r="GI31" i="19" s="1"/>
  <c r="IU25" i="3" a="1"/>
  <c r="IU25" i="3" s="1"/>
  <c r="IU29" i="3" s="1"/>
  <c r="IU27" i="19" a="1"/>
  <c r="IU27" i="19" s="1"/>
  <c r="IU31" i="19" s="1"/>
  <c r="FC25" i="3" a="1"/>
  <c r="FC25" i="3" s="1"/>
  <c r="FC29" i="3" s="1"/>
  <c r="FC27" i="19" a="1"/>
  <c r="FC27" i="19" s="1"/>
  <c r="FC31" i="19" s="1"/>
  <c r="CU25" i="3" a="1"/>
  <c r="CU25" i="3" s="1"/>
  <c r="CU29" i="3" s="1"/>
  <c r="CU27" i="19" a="1"/>
  <c r="CU27" i="19" s="1"/>
  <c r="CU31" i="19" s="1"/>
  <c r="GY14" i="3" a="1"/>
  <c r="GY14" i="3" s="1"/>
  <c r="GY15" i="3" s="1"/>
  <c r="GY21" i="3" s="1"/>
  <c r="GY35" i="3" s="1"/>
  <c r="GY36" i="3" s="1"/>
  <c r="GY37" i="3" s="1"/>
  <c r="GY14" i="19" a="1"/>
  <c r="GY14" i="19" s="1"/>
  <c r="GY15" i="19" s="1"/>
  <c r="GY22" i="19" s="1"/>
  <c r="CJ25" i="3" a="1"/>
  <c r="CJ25" i="3" s="1"/>
  <c r="CJ29" i="3" s="1"/>
  <c r="CJ31" i="19"/>
  <c r="JH25" i="3" a="1"/>
  <c r="JH25" i="3" s="1"/>
  <c r="JH29" i="3" s="1"/>
  <c r="JH27" i="19" a="1"/>
  <c r="JH27" i="19" s="1"/>
  <c r="JH31" i="19" s="1"/>
  <c r="GW25" i="3" a="1"/>
  <c r="GW25" i="3" s="1"/>
  <c r="GW29" i="3" s="1"/>
  <c r="GW27" i="19" a="1"/>
  <c r="GW27" i="19" s="1"/>
  <c r="GW31" i="19" s="1"/>
  <c r="JJ25" i="3" a="1"/>
  <c r="JJ25" i="3" s="1"/>
  <c r="JJ29" i="3" s="1"/>
  <c r="JJ27" i="19" a="1"/>
  <c r="JJ27" i="19" s="1"/>
  <c r="JJ31" i="19" s="1"/>
  <c r="KP25" i="3" a="1"/>
  <c r="KP25" i="3" s="1"/>
  <c r="KP29" i="3" s="1"/>
  <c r="KP27" i="19" a="1"/>
  <c r="KP27" i="19" s="1"/>
  <c r="KP31" i="19" s="1"/>
  <c r="GP25" i="3" a="1"/>
  <c r="GP25" i="3" s="1"/>
  <c r="GP29" i="3" s="1"/>
  <c r="GP27" i="19" a="1"/>
  <c r="GP27" i="19" s="1"/>
  <c r="GP31" i="19" s="1"/>
  <c r="KC25" i="3" a="1"/>
  <c r="KC25" i="3" s="1"/>
  <c r="KC29" i="3" s="1"/>
  <c r="KC27" i="19" a="1"/>
  <c r="KC27" i="19" s="1"/>
  <c r="KC31" i="19" s="1"/>
  <c r="JX14" i="3" a="1"/>
  <c r="JX14" i="3" s="1"/>
  <c r="JX15" i="3" s="1"/>
  <c r="JX21" i="3" s="1"/>
  <c r="JX35" i="3" s="1"/>
  <c r="JX36" i="3" s="1"/>
  <c r="JX37" i="3" s="1"/>
  <c r="JX14" i="19" a="1"/>
  <c r="JX14" i="19" s="1"/>
  <c r="JX15" i="19" s="1"/>
  <c r="JX22" i="19" s="1"/>
  <c r="ES25" i="3" a="1"/>
  <c r="ES25" i="3" s="1"/>
  <c r="ES29" i="3" s="1"/>
  <c r="ES27" i="19" a="1"/>
  <c r="ES27" i="19" s="1"/>
  <c r="ES31" i="19" s="1"/>
  <c r="BS14" i="3" a="1"/>
  <c r="BS14" i="3" s="1"/>
  <c r="BS15" i="3" s="1"/>
  <c r="BS21" i="3" s="1"/>
  <c r="BS15" i="19"/>
  <c r="BS22" i="19" s="1"/>
  <c r="GG14" i="3" a="1"/>
  <c r="GG14" i="3" s="1"/>
  <c r="GG15" i="3" s="1"/>
  <c r="GG21" i="3" s="1"/>
  <c r="GG14" i="19" a="1"/>
  <c r="GG14" i="19" s="1"/>
  <c r="GG15" i="19" s="1"/>
  <c r="GG22" i="19" s="1"/>
  <c r="BK14" i="3" a="1"/>
  <c r="BK14" i="3" s="1"/>
  <c r="EM25" i="3" a="1"/>
  <c r="EM25" i="3" s="1"/>
  <c r="EM29" i="3" s="1"/>
  <c r="EM27" i="19" a="1"/>
  <c r="EM27" i="19" s="1"/>
  <c r="EM31" i="19" s="1"/>
  <c r="BN25" i="3" a="1"/>
  <c r="BN25" i="3" s="1"/>
  <c r="BN29" i="3" s="1"/>
  <c r="BN31" i="19"/>
  <c r="BV25" i="3" a="1"/>
  <c r="BV25" i="3" s="1"/>
  <c r="BV29" i="3" s="1"/>
  <c r="BV31" i="19"/>
  <c r="EN14" i="3" a="1"/>
  <c r="EN14" i="3" s="1"/>
  <c r="EN15" i="3" s="1"/>
  <c r="EN21" i="3" s="1"/>
  <c r="EN35" i="3" s="1"/>
  <c r="EN36" i="3" s="1"/>
  <c r="EN37" i="3" s="1"/>
  <c r="EN14" i="19" a="1"/>
  <c r="EN14" i="19" s="1"/>
  <c r="EN15" i="19" s="1"/>
  <c r="EN22" i="19" s="1"/>
  <c r="CS14" i="3" a="1"/>
  <c r="CS14" i="3" s="1"/>
  <c r="CS15" i="3" s="1"/>
  <c r="CS21" i="3" s="1"/>
  <c r="CS35" i="3" s="1"/>
  <c r="CS14" i="19" a="1"/>
  <c r="CS14" i="19" s="1"/>
  <c r="CS15" i="19" s="1"/>
  <c r="CS22" i="19" s="1"/>
  <c r="GQ25" i="3" a="1"/>
  <c r="GQ25" i="3" s="1"/>
  <c r="GQ29" i="3" s="1"/>
  <c r="GQ27" i="19" a="1"/>
  <c r="GQ27" i="19" s="1"/>
  <c r="GQ31" i="19" s="1"/>
  <c r="IH14" i="3" a="1"/>
  <c r="IH14" i="3" s="1"/>
  <c r="IH15" i="3" s="1"/>
  <c r="IH21" i="3" s="1"/>
  <c r="IH14" i="19" a="1"/>
  <c r="IH14" i="19" s="1"/>
  <c r="IH15" i="19" s="1"/>
  <c r="IH22" i="19" s="1"/>
  <c r="IO25" i="3" a="1"/>
  <c r="IO25" i="3" s="1"/>
  <c r="IO29" i="3" s="1"/>
  <c r="IO27" i="19" a="1"/>
  <c r="IO27" i="19" s="1"/>
  <c r="IO31" i="19" s="1"/>
  <c r="JM25" i="3" a="1"/>
  <c r="JM25" i="3" s="1"/>
  <c r="JM29" i="3" s="1"/>
  <c r="JM27" i="19" a="1"/>
  <c r="JM27" i="19" s="1"/>
  <c r="JM31" i="19" s="1"/>
  <c r="JL14" i="3" a="1"/>
  <c r="JL14" i="3" s="1"/>
  <c r="JL15" i="3" s="1"/>
  <c r="JL21" i="3" s="1"/>
  <c r="JL35" i="3" s="1"/>
  <c r="JL36" i="3" s="1"/>
  <c r="JL37" i="3" s="1"/>
  <c r="JL14" i="19" a="1"/>
  <c r="JL14" i="19" s="1"/>
  <c r="JL15" i="19" s="1"/>
  <c r="JL22" i="19" s="1"/>
  <c r="IE25" i="3" a="1"/>
  <c r="IE25" i="3" s="1"/>
  <c r="IE29" i="3" s="1"/>
  <c r="IE27" i="19" a="1"/>
  <c r="IE27" i="19" s="1"/>
  <c r="IE31" i="19" s="1"/>
  <c r="CD14" i="3" a="1"/>
  <c r="CD14" i="3" s="1"/>
  <c r="CD15" i="3" s="1"/>
  <c r="CD21" i="3" s="1"/>
  <c r="CD35" i="3" s="1"/>
  <c r="CD15" i="19"/>
  <c r="CD22" i="19" s="1"/>
  <c r="JT14" i="3" a="1"/>
  <c r="JT14" i="3" s="1"/>
  <c r="JT15" i="3" s="1"/>
  <c r="JT21" i="3" s="1"/>
  <c r="JT35" i="3" s="1"/>
  <c r="JT36" i="3" s="1"/>
  <c r="JT37" i="3" s="1"/>
  <c r="JT14" i="19" a="1"/>
  <c r="JT14" i="19" s="1"/>
  <c r="JT15" i="19" s="1"/>
  <c r="JT22" i="19" s="1"/>
  <c r="BE14" i="3" a="1"/>
  <c r="BE14" i="3" s="1"/>
  <c r="BE15" i="3" s="1"/>
  <c r="BE21" i="3" s="1"/>
  <c r="FH14" i="3" a="1"/>
  <c r="FH14" i="3" s="1"/>
  <c r="FH15" i="3" s="1"/>
  <c r="FH21" i="3" s="1"/>
  <c r="FH14" i="19" a="1"/>
  <c r="FH14" i="19" s="1"/>
  <c r="FH15" i="19" s="1"/>
  <c r="FH22" i="19" s="1"/>
  <c r="KO25" i="3" a="1"/>
  <c r="KO25" i="3" s="1"/>
  <c r="KO29" i="3" s="1"/>
  <c r="KO27" i="19" a="1"/>
  <c r="KO27" i="19" s="1"/>
  <c r="KO31" i="19" s="1"/>
  <c r="JK25" i="3" a="1"/>
  <c r="JK25" i="3" s="1"/>
  <c r="JK29" i="3" s="1"/>
  <c r="JK27" i="19" a="1"/>
  <c r="JK27" i="19" s="1"/>
  <c r="JK31" i="19" s="1"/>
  <c r="IW25" i="3" a="1"/>
  <c r="IW25" i="3" s="1"/>
  <c r="IW29" i="3" s="1"/>
  <c r="IW27" i="19" a="1"/>
  <c r="IW27" i="19" s="1"/>
  <c r="IW31" i="19" s="1"/>
  <c r="DC14" i="3" a="1"/>
  <c r="DC14" i="3" s="1"/>
  <c r="DC15" i="3" s="1"/>
  <c r="DC21" i="3" s="1"/>
  <c r="DC14" i="19" a="1"/>
  <c r="DC14" i="19" s="1"/>
  <c r="DC15" i="19" s="1"/>
  <c r="DC22" i="19" s="1"/>
  <c r="GN25" i="3" a="1"/>
  <c r="GN25" i="3" s="1"/>
  <c r="GN29" i="3" s="1"/>
  <c r="GN27" i="19" a="1"/>
  <c r="GN27" i="19" s="1"/>
  <c r="GN31" i="19" s="1"/>
  <c r="FR14" i="3" a="1"/>
  <c r="FR14" i="3" s="1"/>
  <c r="FR15" i="3" s="1"/>
  <c r="FR21" i="3" s="1"/>
  <c r="FR35" i="3" s="1"/>
  <c r="FR36" i="3" s="1"/>
  <c r="FR37" i="3" s="1"/>
  <c r="FR14" i="19" a="1"/>
  <c r="FR14" i="19" s="1"/>
  <c r="FR15" i="19" s="1"/>
  <c r="FR22" i="19" s="1"/>
  <c r="BQ14" i="3" a="1"/>
  <c r="BQ14" i="3" s="1"/>
  <c r="BQ15" i="3" s="1"/>
  <c r="BQ21" i="3" s="1"/>
  <c r="BQ35" i="3" s="1"/>
  <c r="DT25" i="3" a="1"/>
  <c r="DT25" i="3" s="1"/>
  <c r="DT29" i="3" s="1"/>
  <c r="DT27" i="19" a="1"/>
  <c r="DT27" i="19" s="1"/>
  <c r="DT31" i="19" s="1"/>
  <c r="FR25" i="3" a="1"/>
  <c r="FR25" i="3" s="1"/>
  <c r="FR29" i="3" s="1"/>
  <c r="FR27" i="19" a="1"/>
  <c r="FR27" i="19" s="1"/>
  <c r="FR31" i="19" s="1"/>
  <c r="HR14" i="3" a="1"/>
  <c r="HR14" i="3" s="1"/>
  <c r="HR15" i="3" s="1"/>
  <c r="HR21" i="3" s="1"/>
  <c r="HR14" i="19" a="1"/>
  <c r="HR14" i="19" s="1"/>
  <c r="HR15" i="19" s="1"/>
  <c r="HR22" i="19" s="1"/>
  <c r="FJ25" i="3" a="1"/>
  <c r="FJ25" i="3" s="1"/>
  <c r="FJ29" i="3" s="1"/>
  <c r="FJ27" i="19" a="1"/>
  <c r="FJ27" i="19" s="1"/>
  <c r="FJ31" i="19" s="1"/>
  <c r="BS25" i="3" a="1"/>
  <c r="BS25" i="3" s="1"/>
  <c r="BS29" i="3" s="1"/>
  <c r="BS31" i="19"/>
  <c r="CB14" i="3" a="1"/>
  <c r="CB14" i="3" s="1"/>
  <c r="CB15" i="3" s="1"/>
  <c r="CB21" i="3" s="1"/>
  <c r="CB35" i="3" s="1"/>
  <c r="CB15" i="19"/>
  <c r="CB22" i="19" s="1"/>
  <c r="JP25" i="3" a="1"/>
  <c r="JP25" i="3" s="1"/>
  <c r="JP29" i="3" s="1"/>
  <c r="JP27" i="19" a="1"/>
  <c r="JP27" i="19" s="1"/>
  <c r="JP31" i="19" s="1"/>
  <c r="FC14" i="3" a="1"/>
  <c r="FC14" i="3" s="1"/>
  <c r="FC15" i="3" s="1"/>
  <c r="FC21" i="3" s="1"/>
  <c r="FC35" i="3" s="1"/>
  <c r="FC36" i="3" s="1"/>
  <c r="FC37" i="3" s="1"/>
  <c r="FC14" i="19" a="1"/>
  <c r="FC14" i="19" s="1"/>
  <c r="FC15" i="19" s="1"/>
  <c r="FC22" i="19" s="1"/>
  <c r="EQ14" i="3" a="1"/>
  <c r="EQ14" i="3" s="1"/>
  <c r="EQ15" i="3" s="1"/>
  <c r="EQ21" i="3" s="1"/>
  <c r="EQ14" i="19" a="1"/>
  <c r="EQ14" i="19" s="1"/>
  <c r="EQ15" i="19" s="1"/>
  <c r="EQ22" i="19" s="1"/>
  <c r="DP14" i="3" a="1"/>
  <c r="DP14" i="3" s="1"/>
  <c r="DP15" i="3" s="1"/>
  <c r="DP21" i="3" s="1"/>
  <c r="DP14" i="19" a="1"/>
  <c r="DP14" i="19" s="1"/>
  <c r="DP15" i="19" s="1"/>
  <c r="DP22" i="19" s="1"/>
  <c r="BB14" i="3" a="1"/>
  <c r="BB14" i="3" s="1"/>
  <c r="BB15" i="3" s="1"/>
  <c r="BB21" i="3" s="1"/>
  <c r="BB35" i="3" s="1"/>
  <c r="HT25" i="3" a="1"/>
  <c r="HT25" i="3" s="1"/>
  <c r="HT29" i="3" s="1"/>
  <c r="HT27" i="19" a="1"/>
  <c r="HT27" i="19" s="1"/>
  <c r="HT31" i="19" s="1"/>
  <c r="JR25" i="3" a="1"/>
  <c r="JR25" i="3" s="1"/>
  <c r="JR29" i="3" s="1"/>
  <c r="JR27" i="19" a="1"/>
  <c r="JR27" i="19" s="1"/>
  <c r="JR31" i="19" s="1"/>
  <c r="GG25" i="3" a="1"/>
  <c r="GG25" i="3" s="1"/>
  <c r="GG29" i="3" s="1"/>
  <c r="GG27" i="19" a="1"/>
  <c r="GG27" i="19" s="1"/>
  <c r="GG31" i="19" s="1"/>
  <c r="JS14" i="3" a="1"/>
  <c r="JS14" i="3" s="1"/>
  <c r="JS15" i="3" s="1"/>
  <c r="JS21" i="3" s="1"/>
  <c r="JS35" i="3" s="1"/>
  <c r="JS36" i="3" s="1"/>
  <c r="JS37" i="3" s="1"/>
  <c r="JS14" i="19" a="1"/>
  <c r="JS14" i="19" s="1"/>
  <c r="JS15" i="19" s="1"/>
  <c r="JS22" i="19" s="1"/>
  <c r="HL25" i="3" a="1"/>
  <c r="HL25" i="3" s="1"/>
  <c r="HL29" i="3" s="1"/>
  <c r="HL27" i="19" a="1"/>
  <c r="HL27" i="19" s="1"/>
  <c r="HL31" i="19" s="1"/>
  <c r="ID14" i="3" a="1"/>
  <c r="ID14" i="3" s="1"/>
  <c r="ID15" i="3" s="1"/>
  <c r="ID21" i="3" s="1"/>
  <c r="ID35" i="3" s="1"/>
  <c r="ID36" i="3" s="1"/>
  <c r="ID37" i="3" s="1"/>
  <c r="ID14" i="19" a="1"/>
  <c r="ID14" i="19" s="1"/>
  <c r="ID15" i="19" s="1"/>
  <c r="ID22" i="19" s="1"/>
  <c r="EP25" i="3" a="1"/>
  <c r="EP25" i="3" s="1"/>
  <c r="EP29" i="3" s="1"/>
  <c r="EP27" i="19" a="1"/>
  <c r="EP27" i="19" s="1"/>
  <c r="EP31" i="19" s="1"/>
  <c r="CF14" i="3" a="1"/>
  <c r="CF14" i="3" s="1"/>
  <c r="CF15" i="3" s="1"/>
  <c r="CF21" i="3" s="1"/>
  <c r="DX14" i="3" a="1"/>
  <c r="DX14" i="3" s="1"/>
  <c r="DX15" i="3" s="1"/>
  <c r="DX21" i="3" s="1"/>
  <c r="DX35" i="3" s="1"/>
  <c r="DX36" i="3" s="1"/>
  <c r="DX37" i="3" s="1"/>
  <c r="DX14" i="19" a="1"/>
  <c r="DX14" i="19" s="1"/>
  <c r="DX15" i="19" s="1"/>
  <c r="DX22" i="19" s="1"/>
  <c r="EH14" i="3" a="1"/>
  <c r="EH14" i="3" s="1"/>
  <c r="EH15" i="3" s="1"/>
  <c r="EH21" i="3" s="1"/>
  <c r="EH14" i="19" a="1"/>
  <c r="EH14" i="19" s="1"/>
  <c r="EH15" i="19" s="1"/>
  <c r="EH22" i="19" s="1"/>
  <c r="DG14" i="3" a="1"/>
  <c r="DG14" i="3" s="1"/>
  <c r="DG15" i="3" s="1"/>
  <c r="DG21" i="3" s="1"/>
  <c r="DG35" i="3" s="1"/>
  <c r="DG14" i="19" a="1"/>
  <c r="DG14" i="19" s="1"/>
  <c r="DG15" i="19" s="1"/>
  <c r="DG22" i="19" s="1"/>
  <c r="BI25" i="3" a="1"/>
  <c r="BI25" i="3" s="1"/>
  <c r="BI29" i="3" s="1"/>
  <c r="BI31" i="19"/>
  <c r="BE25" i="3" a="1"/>
  <c r="BE25" i="3" s="1"/>
  <c r="BE29" i="3" s="1"/>
  <c r="BE31" i="19"/>
  <c r="BA14" i="3" a="1"/>
  <c r="BA14" i="3" s="1"/>
  <c r="BA15" i="3" s="1"/>
  <c r="BA21" i="3" s="1"/>
  <c r="BA35" i="3" s="1"/>
  <c r="BA15" i="19"/>
  <c r="BA22" i="19" s="1"/>
  <c r="HX25" i="3" a="1"/>
  <c r="HX25" i="3" s="1"/>
  <c r="HX29" i="3" s="1"/>
  <c r="HX27" i="19" a="1"/>
  <c r="HX27" i="19" s="1"/>
  <c r="HX31" i="19" s="1"/>
  <c r="HJ14" i="3" a="1"/>
  <c r="HJ14" i="3" s="1"/>
  <c r="HJ15" i="3" s="1"/>
  <c r="HJ21" i="3" s="1"/>
  <c r="HJ35" i="3" s="1"/>
  <c r="HJ36" i="3" s="1"/>
  <c r="HJ37" i="3" s="1"/>
  <c r="HJ14" i="19" a="1"/>
  <c r="HJ14" i="19" s="1"/>
  <c r="HJ15" i="19" s="1"/>
  <c r="HJ22" i="19" s="1"/>
  <c r="IQ14" i="3" a="1"/>
  <c r="IQ14" i="3" s="1"/>
  <c r="IQ15" i="3" s="1"/>
  <c r="IQ21" i="3" s="1"/>
  <c r="IQ35" i="3" s="1"/>
  <c r="IQ14" i="19" a="1"/>
  <c r="IQ14" i="19" s="1"/>
  <c r="IQ15" i="19" s="1"/>
  <c r="IQ22" i="19" s="1"/>
  <c r="GT14" i="3" a="1"/>
  <c r="GT14" i="3" s="1"/>
  <c r="GT15" i="3" s="1"/>
  <c r="GT21" i="3" s="1"/>
  <c r="GT35" i="3" s="1"/>
  <c r="GT36" i="3" s="1"/>
  <c r="GT37" i="3" s="1"/>
  <c r="GT14" i="19" a="1"/>
  <c r="GT14" i="19" s="1"/>
  <c r="GT15" i="19" s="1"/>
  <c r="GT22" i="19" s="1"/>
  <c r="IA14" i="3" a="1"/>
  <c r="IA14" i="3" s="1"/>
  <c r="IA15" i="3" s="1"/>
  <c r="IA21" i="3" s="1"/>
  <c r="IA35" i="3" s="1"/>
  <c r="IA36" i="3" s="1"/>
  <c r="IA37" i="3" s="1"/>
  <c r="IA14" i="19" a="1"/>
  <c r="IA14" i="19" s="1"/>
  <c r="IA15" i="19" s="1"/>
  <c r="IA22" i="19" s="1"/>
  <c r="FH25" i="3" a="1"/>
  <c r="FH25" i="3" s="1"/>
  <c r="FH29" i="3" s="1"/>
  <c r="FH27" i="19" a="1"/>
  <c r="FH27" i="19" s="1"/>
  <c r="FH31" i="19" s="1"/>
  <c r="CR14" i="3" a="1"/>
  <c r="CR14" i="3" s="1"/>
  <c r="CR15" i="3" s="1"/>
  <c r="CR21" i="3" s="1"/>
  <c r="CR14" i="19" a="1"/>
  <c r="CR14" i="19" s="1"/>
  <c r="KQ14" i="3" a="1"/>
  <c r="KQ14" i="3" s="1"/>
  <c r="KQ15" i="3" s="1"/>
  <c r="KQ21" i="3" s="1"/>
  <c r="KQ35" i="3" s="1"/>
  <c r="KQ36" i="3" s="1"/>
  <c r="KQ37" i="3" s="1"/>
  <c r="KQ14" i="19" a="1"/>
  <c r="KQ14" i="19" s="1"/>
  <c r="KQ15" i="19" s="1"/>
  <c r="KQ22" i="19" s="1"/>
  <c r="KF14" i="3" a="1"/>
  <c r="KF14" i="3" s="1"/>
  <c r="KF15" i="3" s="1"/>
  <c r="KF21" i="3" s="1"/>
  <c r="KF35" i="3" s="1"/>
  <c r="KF36" i="3" s="1"/>
  <c r="KF37" i="3" s="1"/>
  <c r="KF14" i="19" a="1"/>
  <c r="KF14" i="19" s="1"/>
  <c r="KF15" i="19" s="1"/>
  <c r="KF22" i="19" s="1"/>
  <c r="GU14" i="3" a="1"/>
  <c r="GU14" i="3" s="1"/>
  <c r="GU15" i="3" s="1"/>
  <c r="GU21" i="3" s="1"/>
  <c r="GU35" i="3" s="1"/>
  <c r="GU14" i="19" a="1"/>
  <c r="GU14" i="19" s="1"/>
  <c r="GU15" i="19" s="1"/>
  <c r="GU22" i="19" s="1"/>
  <c r="JJ14" i="3" a="1"/>
  <c r="JJ14" i="3" s="1"/>
  <c r="JJ15" i="3" s="1"/>
  <c r="JJ21" i="3" s="1"/>
  <c r="JJ35" i="3" s="1"/>
  <c r="JJ36" i="3" s="1"/>
  <c r="JJ37" i="3" s="1"/>
  <c r="JJ14" i="19" a="1"/>
  <c r="JJ14" i="19" s="1"/>
  <c r="JJ15" i="19" s="1"/>
  <c r="JJ22" i="19" s="1"/>
  <c r="KQ25" i="3" a="1"/>
  <c r="KQ25" i="3" s="1"/>
  <c r="KQ29" i="3" s="1"/>
  <c r="KO31" i="3" l="1"/>
  <c r="GO31" i="3"/>
  <c r="CQ29" i="3"/>
  <c r="EM15" i="3"/>
  <c r="EM21" i="3" s="1"/>
  <c r="GI15" i="3"/>
  <c r="GI21" i="3" s="1"/>
  <c r="HL31" i="3"/>
  <c r="KI31" i="3"/>
  <c r="IM31" i="3"/>
  <c r="KJ31" i="3"/>
  <c r="GX31" i="3"/>
  <c r="JE31" i="3"/>
  <c r="HI31" i="3"/>
  <c r="EQ31" i="3"/>
  <c r="JP31" i="3"/>
  <c r="JU31" i="3"/>
  <c r="JW31" i="3"/>
  <c r="IP31" i="3"/>
  <c r="HB31" i="3"/>
  <c r="HH31" i="3"/>
  <c r="DV31" i="3"/>
  <c r="IB31" i="3"/>
  <c r="HZ31" i="3"/>
  <c r="CC31" i="3"/>
  <c r="JA31" i="3"/>
  <c r="HN31" i="3"/>
  <c r="FO31" i="3"/>
  <c r="BL31" i="3"/>
  <c r="GG31" i="3"/>
  <c r="HR31" i="3"/>
  <c r="DP31" i="3"/>
  <c r="EH31" i="3"/>
  <c r="KG31" i="3"/>
  <c r="EP31" i="3"/>
  <c r="FG31" i="3"/>
  <c r="DS31" i="3"/>
  <c r="GJ31" i="3"/>
  <c r="FD31" i="3"/>
  <c r="HC31" i="3"/>
  <c r="AZ31" i="3"/>
  <c r="HX31" i="3"/>
  <c r="GF31" i="3"/>
  <c r="CH31" i="3"/>
  <c r="FN31" i="3"/>
  <c r="EG31" i="3"/>
  <c r="FA31" i="3"/>
  <c r="GZ31" i="3"/>
  <c r="FY31" i="3"/>
  <c r="ET31" i="3"/>
  <c r="CK31" i="3"/>
  <c r="HV31" i="3"/>
  <c r="HO31" i="3"/>
  <c r="JK31" i="3"/>
  <c r="DB31" i="3"/>
  <c r="JH31" i="3"/>
  <c r="BV31" i="3"/>
  <c r="IO31" i="3"/>
  <c r="JM31" i="3"/>
  <c r="CP31" i="3"/>
  <c r="DL31" i="3"/>
  <c r="GX35" i="3"/>
  <c r="GX36" i="3" s="1"/>
  <c r="GX37" i="3" s="1"/>
  <c r="GP31" i="3"/>
  <c r="EF31" i="3"/>
  <c r="DA31" i="3"/>
  <c r="GH31" i="3"/>
  <c r="CN31" i="3"/>
  <c r="GQ31" i="3"/>
  <c r="GE31" i="3"/>
  <c r="EI31" i="3"/>
  <c r="DU31" i="3"/>
  <c r="JD31" i="3"/>
  <c r="HD31" i="3"/>
  <c r="EK31" i="3"/>
  <c r="GN31" i="3"/>
  <c r="HM31" i="3"/>
  <c r="KB31" i="3"/>
  <c r="HE31" i="3"/>
  <c r="DM31" i="3"/>
  <c r="BU31" i="3"/>
  <c r="GS31" i="3"/>
  <c r="HU31" i="3"/>
  <c r="DQ31" i="3"/>
  <c r="IY31" i="3"/>
  <c r="HY31" i="3"/>
  <c r="IM35" i="3"/>
  <c r="IM36" i="3" s="1"/>
  <c r="IM37" i="3" s="1"/>
  <c r="BT31" i="3"/>
  <c r="II31" i="3"/>
  <c r="DK31" i="3"/>
  <c r="FT31" i="3"/>
  <c r="DD31" i="3"/>
  <c r="KN31" i="3"/>
  <c r="KN35" i="3"/>
  <c r="KN36" i="3" s="1"/>
  <c r="KN37" i="3" s="1"/>
  <c r="DI31" i="3"/>
  <c r="BT35" i="3"/>
  <c r="BT36" i="3" s="1"/>
  <c r="BT37" i="3" s="1"/>
  <c r="GS35" i="3"/>
  <c r="GS36" i="3" s="1"/>
  <c r="GS37" i="3" s="1"/>
  <c r="KP31" i="3"/>
  <c r="CM31" i="3"/>
  <c r="FF31" i="3"/>
  <c r="HU35" i="3"/>
  <c r="HU36" i="3" s="1"/>
  <c r="HU37" i="3" s="1"/>
  <c r="DK35" i="3"/>
  <c r="DK36" i="3" s="1"/>
  <c r="DK37" i="3" s="1"/>
  <c r="BX31" i="3"/>
  <c r="GH35" i="3"/>
  <c r="GH36" i="3" s="1"/>
  <c r="GH37" i="3" s="1"/>
  <c r="CW35" i="3"/>
  <c r="CW36" i="3" s="1"/>
  <c r="CW37" i="3" s="1"/>
  <c r="IL31" i="3"/>
  <c r="EC31" i="3"/>
  <c r="IW31" i="3"/>
  <c r="DW31" i="3"/>
  <c r="HB35" i="3"/>
  <c r="HB36" i="3" s="1"/>
  <c r="HB37" i="3" s="1"/>
  <c r="HE35" i="3"/>
  <c r="HE36" i="3" s="1"/>
  <c r="HE37" i="3" s="1"/>
  <c r="EU31" i="3"/>
  <c r="FB31" i="3"/>
  <c r="EN31" i="3"/>
  <c r="KL31" i="3"/>
  <c r="FS31" i="3"/>
  <c r="GL31" i="3"/>
  <c r="CB31" i="3"/>
  <c r="CS31" i="3"/>
  <c r="GT31" i="3"/>
  <c r="IR31" i="3"/>
  <c r="IJ31" i="3"/>
  <c r="EL31" i="3"/>
  <c r="BO31" i="3"/>
  <c r="HA31" i="3"/>
  <c r="IZ31" i="3"/>
  <c r="FE31" i="3"/>
  <c r="IK31" i="3"/>
  <c r="FM31" i="3"/>
  <c r="IS31" i="3"/>
  <c r="BZ31" i="3"/>
  <c r="KK31" i="3"/>
  <c r="FZ31" i="3"/>
  <c r="FP31" i="3"/>
  <c r="BQ31" i="3"/>
  <c r="JX31" i="3"/>
  <c r="HI35" i="3"/>
  <c r="HI36" i="3" s="1"/>
  <c r="HI37" i="3" s="1"/>
  <c r="CD31" i="3"/>
  <c r="DN31" i="3"/>
  <c r="JR31" i="3"/>
  <c r="II35" i="3"/>
  <c r="II36" i="3" s="1"/>
  <c r="II37" i="3" s="1"/>
  <c r="FX31" i="3"/>
  <c r="CT35" i="3"/>
  <c r="CT36" i="3" s="1"/>
  <c r="CT37" i="3" s="1"/>
  <c r="GN35" i="3"/>
  <c r="GN36" i="3" s="1"/>
  <c r="GN37" i="3" s="1"/>
  <c r="EB31" i="3"/>
  <c r="DJ31" i="3"/>
  <c r="FQ31" i="3"/>
  <c r="JU35" i="3"/>
  <c r="JU36" i="3" s="1"/>
  <c r="JU37" i="3" s="1"/>
  <c r="DQ35" i="3"/>
  <c r="DQ36" i="3" s="1"/>
  <c r="DQ37" i="3" s="1"/>
  <c r="DX31" i="3"/>
  <c r="BF31" i="3"/>
  <c r="KJ35" i="3"/>
  <c r="KJ36" i="3" s="1"/>
  <c r="KJ37" i="3" s="1"/>
  <c r="DF31" i="3"/>
  <c r="FL31" i="3"/>
  <c r="AX31" i="3"/>
  <c r="CG31" i="3"/>
  <c r="FH31" i="3"/>
  <c r="IH31" i="3"/>
  <c r="JV31" i="3"/>
  <c r="IN31" i="3"/>
  <c r="EE31" i="3"/>
  <c r="CO31" i="3"/>
  <c r="JI31" i="3"/>
  <c r="EJ31" i="3"/>
  <c r="JN31" i="3"/>
  <c r="GM31" i="3"/>
  <c r="IY35" i="3"/>
  <c r="IY36" i="3" s="1"/>
  <c r="IY37" i="3" s="1"/>
  <c r="FI31" i="3"/>
  <c r="JS31" i="3"/>
  <c r="GA31" i="3"/>
  <c r="DG31" i="3"/>
  <c r="DE31" i="3"/>
  <c r="GK31" i="3"/>
  <c r="M14" i="10"/>
  <c r="M15" i="10" s="1"/>
  <c r="M22" i="10" s="1"/>
  <c r="JQ31" i="3"/>
  <c r="HM35" i="3"/>
  <c r="HM36" i="3" s="1"/>
  <c r="HM37" i="3" s="1"/>
  <c r="CO35" i="3"/>
  <c r="CO36" i="3" s="1"/>
  <c r="CO37" i="3" s="1"/>
  <c r="DH31" i="3"/>
  <c r="J27" i="10"/>
  <c r="J31" i="10" s="1"/>
  <c r="KD31" i="3"/>
  <c r="ER31" i="3"/>
  <c r="FR31" i="3"/>
  <c r="BU35" i="3"/>
  <c r="BU36" i="3" s="1"/>
  <c r="BU37" i="3" s="1"/>
  <c r="BY31" i="3"/>
  <c r="IG31" i="3"/>
  <c r="IX31" i="3"/>
  <c r="BR31" i="3"/>
  <c r="GK35" i="3"/>
  <c r="GK36" i="3" s="1"/>
  <c r="GK37" i="3" s="1"/>
  <c r="BD31" i="3"/>
  <c r="BB31" i="3"/>
  <c r="HZ35" i="3"/>
  <c r="HZ36" i="3" s="1"/>
  <c r="HZ37" i="3" s="1"/>
  <c r="JE35" i="3"/>
  <c r="JE36" i="3" s="1"/>
  <c r="JE37" i="3" s="1"/>
  <c r="GW31" i="3"/>
  <c r="HK31" i="3"/>
  <c r="EV31" i="3"/>
  <c r="GV35" i="3"/>
  <c r="GV36" i="3" s="1"/>
  <c r="GV37" i="3" s="1"/>
  <c r="CJ31" i="3"/>
  <c r="BE31" i="3"/>
  <c r="CF31" i="3"/>
  <c r="BM31" i="3"/>
  <c r="BA31" i="3"/>
  <c r="GW35" i="3"/>
  <c r="GW36" i="3" s="1"/>
  <c r="GW37" i="3" s="1"/>
  <c r="EQ35" i="3"/>
  <c r="EQ36" i="3" s="1"/>
  <c r="EQ37" i="3" s="1"/>
  <c r="ED31" i="3"/>
  <c r="ID31" i="3"/>
  <c r="IH35" i="3"/>
  <c r="IH36" i="3" s="1"/>
  <c r="IH37" i="3" s="1"/>
  <c r="IP35" i="3"/>
  <c r="IP36" i="3" s="1"/>
  <c r="IP37" i="3" s="1"/>
  <c r="HF31" i="3"/>
  <c r="JP35" i="3"/>
  <c r="JP36" i="3" s="1"/>
  <c r="JP37" i="3" s="1"/>
  <c r="ES31" i="3"/>
  <c r="X27" i="10"/>
  <c r="X31" i="10" s="1"/>
  <c r="EH35" i="3"/>
  <c r="EH36" i="3" s="1"/>
  <c r="EH37" i="3" s="1"/>
  <c r="CC35" i="3"/>
  <c r="CC36" i="3" s="1"/>
  <c r="CC37" i="3" s="1"/>
  <c r="IB35" i="3"/>
  <c r="IB36" i="3" s="1"/>
  <c r="IB37" i="3" s="1"/>
  <c r="IQ31" i="3"/>
  <c r="KO35" i="3"/>
  <c r="KO36" i="3" s="1"/>
  <c r="KO37" i="3" s="1"/>
  <c r="EW31" i="3"/>
  <c r="IA31" i="3"/>
  <c r="KC31" i="3"/>
  <c r="DZ31" i="3"/>
  <c r="EX31" i="3"/>
  <c r="IU31" i="3"/>
  <c r="CR31" i="3"/>
  <c r="BL35" i="3"/>
  <c r="BL36" i="3" s="1"/>
  <c r="BL37" i="3" s="1"/>
  <c r="KQ31" i="3"/>
  <c r="IF31" i="3"/>
  <c r="Q27" i="10"/>
  <c r="Q31" i="10" s="1"/>
  <c r="GA35" i="3"/>
  <c r="GA36" i="3" s="1"/>
  <c r="GA37" i="3" s="1"/>
  <c r="V27" i="10"/>
  <c r="V31" i="10" s="1"/>
  <c r="JB31" i="3"/>
  <c r="HW31" i="3"/>
  <c r="O14" i="10"/>
  <c r="O15" i="10" s="1"/>
  <c r="O22" i="10" s="1"/>
  <c r="JT31" i="3"/>
  <c r="FH35" i="3"/>
  <c r="FH36" i="3" s="1"/>
  <c r="FH37" i="3" s="1"/>
  <c r="EZ31" i="3"/>
  <c r="JA35" i="3"/>
  <c r="JA36" i="3" s="1"/>
  <c r="JA37" i="3" s="1"/>
  <c r="FC31" i="3"/>
  <c r="DT31" i="3"/>
  <c r="FJ31" i="3"/>
  <c r="JL31" i="3"/>
  <c r="Y27" i="10"/>
  <c r="Y31" i="10" s="1"/>
  <c r="CZ31" i="3"/>
  <c r="BM35" i="3"/>
  <c r="BM36" i="3" s="1"/>
  <c r="BM37" i="3" s="1"/>
  <c r="JG31" i="3"/>
  <c r="P27" i="10"/>
  <c r="P31" i="10" s="1"/>
  <c r="BP31" i="3"/>
  <c r="GR31" i="3"/>
  <c r="IU35" i="3"/>
  <c r="IU36" i="3" s="1"/>
  <c r="IU37" i="3" s="1"/>
  <c r="GB31" i="3"/>
  <c r="HF35" i="3"/>
  <c r="HF36" i="3" s="1"/>
  <c r="HF37" i="3" s="1"/>
  <c r="DO15" i="3"/>
  <c r="DO21" i="3" s="1"/>
  <c r="DO35" i="3" s="1"/>
  <c r="DO36" i="3" s="1"/>
  <c r="BJ31" i="3"/>
  <c r="JW35" i="3"/>
  <c r="JW36" i="3" s="1"/>
  <c r="JW37" i="3" s="1"/>
  <c r="IC31" i="3"/>
  <c r="GD35" i="3"/>
  <c r="GD36" i="3" s="1"/>
  <c r="GD37" i="3" s="1"/>
  <c r="IV35" i="3"/>
  <c r="IV36" i="3" s="1"/>
  <c r="IV37" i="3" s="1"/>
  <c r="HQ31" i="3"/>
  <c r="M27" i="10"/>
  <c r="M31" i="10" s="1"/>
  <c r="N14" i="10"/>
  <c r="N15" i="10" s="1"/>
  <c r="N22" i="10" s="1"/>
  <c r="T27" i="10"/>
  <c r="T31" i="10" s="1"/>
  <c r="HH35" i="3"/>
  <c r="HH36" i="3" s="1"/>
  <c r="HH37" i="3" s="1"/>
  <c r="JB35" i="3"/>
  <c r="JB36" i="3" s="1"/>
  <c r="JB37" i="3" s="1"/>
  <c r="BE35" i="3"/>
  <c r="BE36" i="3" s="1"/>
  <c r="BE37" i="3" s="1"/>
  <c r="HR35" i="3"/>
  <c r="HR36" i="3" s="1"/>
  <c r="HR37" i="3" s="1"/>
  <c r="AB14" i="10"/>
  <c r="AB15" i="10" s="1"/>
  <c r="AB22" i="10" s="1"/>
  <c r="S14" i="10"/>
  <c r="S15" i="10" s="1"/>
  <c r="S22" i="10" s="1"/>
  <c r="L14" i="10"/>
  <c r="CY31" i="3"/>
  <c r="JF31" i="3"/>
  <c r="KG35" i="3"/>
  <c r="KG36" i="3" s="1"/>
  <c r="KG37" i="3" s="1"/>
  <c r="DY31" i="3"/>
  <c r="CV31" i="3"/>
  <c r="GO35" i="3"/>
  <c r="GO36" i="3" s="1"/>
  <c r="GO37" i="3" s="1"/>
  <c r="KH31" i="3"/>
  <c r="K14" i="10"/>
  <c r="HW35" i="3"/>
  <c r="HW36" i="3" s="1"/>
  <c r="HW37" i="3" s="1"/>
  <c r="FV31" i="3"/>
  <c r="DP35" i="3"/>
  <c r="DP36" i="3" s="1"/>
  <c r="DP37" i="3" s="1"/>
  <c r="EO31" i="3"/>
  <c r="P14" i="10"/>
  <c r="P15" i="10" s="1"/>
  <c r="P22" i="10" s="1"/>
  <c r="GU31" i="3"/>
  <c r="HL35" i="3"/>
  <c r="HL36" i="3" s="1"/>
  <c r="HL37" i="3" s="1"/>
  <c r="DV35" i="3"/>
  <c r="DV36" i="3" s="1"/>
  <c r="DV37" i="3" s="1"/>
  <c r="AC27" i="10"/>
  <c r="AC31" i="10" s="1"/>
  <c r="BH31" i="3"/>
  <c r="R27" i="10"/>
  <c r="R31" i="10" s="1"/>
  <c r="JZ31" i="3"/>
  <c r="L27" i="10"/>
  <c r="L31" i="10" s="1"/>
  <c r="Q14" i="10"/>
  <c r="Q15" i="10" s="1"/>
  <c r="Q22" i="10" s="1"/>
  <c r="GG35" i="3"/>
  <c r="GG36" i="3" s="1"/>
  <c r="GG37" i="3" s="1"/>
  <c r="J14" i="10"/>
  <c r="W27" i="10"/>
  <c r="W31" i="10" s="1"/>
  <c r="IF35" i="3"/>
  <c r="IF36" i="3" s="1"/>
  <c r="IF37" i="3" s="1"/>
  <c r="CA31" i="3"/>
  <c r="AA27" i="10"/>
  <c r="AA31" i="10" s="1"/>
  <c r="S27" i="10"/>
  <c r="S31" i="10" s="1"/>
  <c r="KF31" i="3"/>
  <c r="R14" i="10"/>
  <c r="R15" i="10" s="1"/>
  <c r="R22" i="10" s="1"/>
  <c r="I14" i="10"/>
  <c r="U14" i="10"/>
  <c r="U15" i="10" s="1"/>
  <c r="U22" i="10" s="1"/>
  <c r="DR31" i="3"/>
  <c r="CL31" i="3"/>
  <c r="O27" i="10"/>
  <c r="O31" i="10" s="1"/>
  <c r="T14" i="10"/>
  <c r="T15" i="10" s="1"/>
  <c r="T22" i="10" s="1"/>
  <c r="CN35" i="3"/>
  <c r="CN36" i="3" s="1"/>
  <c r="CN37" i="3" s="1"/>
  <c r="HP31" i="3"/>
  <c r="Z27" i="10"/>
  <c r="Z31" i="10" s="1"/>
  <c r="HT31" i="3"/>
  <c r="CX31" i="3"/>
  <c r="GY31" i="3"/>
  <c r="HN35" i="3"/>
  <c r="HN36" i="3" s="1"/>
  <c r="HN37" i="3" s="1"/>
  <c r="KI35" i="3"/>
  <c r="KI36" i="3" s="1"/>
  <c r="KI37" i="3" s="1"/>
  <c r="K27" i="10"/>
  <c r="K31" i="10" s="1"/>
  <c r="JY31" i="3"/>
  <c r="JJ31" i="3"/>
  <c r="U27" i="10"/>
  <c r="U31" i="10" s="1"/>
  <c r="W14" i="10"/>
  <c r="W15" i="10" s="1"/>
  <c r="W22" i="10" s="1"/>
  <c r="Z14" i="10"/>
  <c r="Z15" i="10" s="1"/>
  <c r="Z22" i="10" s="1"/>
  <c r="AC14" i="10"/>
  <c r="AC15" i="10" s="1"/>
  <c r="AC22" i="10" s="1"/>
  <c r="V14" i="10"/>
  <c r="V15" i="10" s="1"/>
  <c r="V22" i="10" s="1"/>
  <c r="X14" i="10"/>
  <c r="X15" i="10" s="1"/>
  <c r="X22" i="10" s="1"/>
  <c r="CF35" i="3"/>
  <c r="CF36" i="3" s="1"/>
  <c r="CF37" i="3" s="1"/>
  <c r="IT31" i="3"/>
  <c r="BI31" i="3"/>
  <c r="FO35" i="3"/>
  <c r="FO36" i="3" s="1"/>
  <c r="FO37" i="3" s="1"/>
  <c r="N27" i="10"/>
  <c r="N31" i="10" s="1"/>
  <c r="AA14" i="10"/>
  <c r="AA15" i="10" s="1"/>
  <c r="AA22" i="10" s="1"/>
  <c r="FU31" i="3"/>
  <c r="HJ31" i="3"/>
  <c r="GC31" i="3"/>
  <c r="KE31" i="3"/>
  <c r="I27" i="10"/>
  <c r="I31" i="10" s="1"/>
  <c r="Y14" i="10"/>
  <c r="Y15" i="10" s="1"/>
  <c r="Y22" i="10" s="1"/>
  <c r="CR35" i="3"/>
  <c r="CR36" i="3" s="1"/>
  <c r="CR37" i="3" s="1"/>
  <c r="JJ37" i="19"/>
  <c r="JJ38" i="19" s="1"/>
  <c r="JJ39" i="19" s="1"/>
  <c r="JJ33" i="19"/>
  <c r="GU37" i="19"/>
  <c r="GU38" i="19" s="1"/>
  <c r="GU39" i="19" s="1"/>
  <c r="GU33" i="19"/>
  <c r="KF37" i="19"/>
  <c r="KF38" i="19" s="1"/>
  <c r="KF39" i="19" s="1"/>
  <c r="KF33" i="19"/>
  <c r="KQ37" i="19"/>
  <c r="KQ38" i="19" s="1"/>
  <c r="KQ39" i="19" s="1"/>
  <c r="KQ33" i="19"/>
  <c r="IA37" i="19"/>
  <c r="IA38" i="19" s="1"/>
  <c r="IA39" i="19" s="1"/>
  <c r="IA33" i="19"/>
  <c r="GT37" i="19"/>
  <c r="GT38" i="19" s="1"/>
  <c r="GT39" i="19" s="1"/>
  <c r="GT33" i="19"/>
  <c r="IQ37" i="19"/>
  <c r="IQ38" i="19" s="1"/>
  <c r="IQ39" i="19" s="1"/>
  <c r="IQ33" i="19"/>
  <c r="HJ37" i="19"/>
  <c r="HJ38" i="19" s="1"/>
  <c r="HJ39" i="19" s="1"/>
  <c r="HJ33" i="19"/>
  <c r="BA37" i="19"/>
  <c r="BA38" i="19" s="1"/>
  <c r="BA39" i="19" s="1"/>
  <c r="BA33" i="19"/>
  <c r="DG37" i="19"/>
  <c r="DG38" i="19" s="1"/>
  <c r="DG39" i="19" s="1"/>
  <c r="DG33" i="19"/>
  <c r="EH37" i="19"/>
  <c r="EH38" i="19" s="1"/>
  <c r="EH39" i="19" s="1"/>
  <c r="EH33" i="19"/>
  <c r="DX37" i="19"/>
  <c r="DX38" i="19" s="1"/>
  <c r="DX39" i="19" s="1"/>
  <c r="DX33" i="19"/>
  <c r="ID37" i="19"/>
  <c r="ID38" i="19" s="1"/>
  <c r="ID39" i="19" s="1"/>
  <c r="ID33" i="19"/>
  <c r="JS37" i="19"/>
  <c r="JS38" i="19" s="1"/>
  <c r="JS39" i="19" s="1"/>
  <c r="JS33" i="19"/>
  <c r="DP37" i="19"/>
  <c r="DP38" i="19" s="1"/>
  <c r="DP39" i="19" s="1"/>
  <c r="DP33" i="19"/>
  <c r="EQ37" i="19"/>
  <c r="EQ38" i="19" s="1"/>
  <c r="EQ39" i="19" s="1"/>
  <c r="EQ33" i="19"/>
  <c r="FC37" i="19"/>
  <c r="FC38" i="19" s="1"/>
  <c r="FC39" i="19" s="1"/>
  <c r="FC33" i="19"/>
  <c r="CB37" i="19"/>
  <c r="CB38" i="19" s="1"/>
  <c r="CB39" i="19" s="1"/>
  <c r="CB33" i="19"/>
  <c r="HR37" i="19"/>
  <c r="HR38" i="19" s="1"/>
  <c r="HR39" i="19" s="1"/>
  <c r="HR33" i="19"/>
  <c r="FR37" i="19"/>
  <c r="FR38" i="19" s="1"/>
  <c r="FR39" i="19" s="1"/>
  <c r="FR33" i="19"/>
  <c r="DC37" i="19"/>
  <c r="DC38" i="19" s="1"/>
  <c r="DC39" i="19" s="1"/>
  <c r="DC33" i="19"/>
  <c r="FH37" i="19"/>
  <c r="FH38" i="19" s="1"/>
  <c r="FH39" i="19" s="1"/>
  <c r="FH33" i="19"/>
  <c r="JT37" i="19"/>
  <c r="JT38" i="19" s="1"/>
  <c r="JT39" i="19" s="1"/>
  <c r="JT33" i="19"/>
  <c r="CD37" i="19"/>
  <c r="CD38" i="19" s="1"/>
  <c r="CD39" i="19" s="1"/>
  <c r="CD33" i="19"/>
  <c r="JL37" i="19"/>
  <c r="JL38" i="19" s="1"/>
  <c r="JL39" i="19" s="1"/>
  <c r="JL33" i="19"/>
  <c r="IH37" i="19"/>
  <c r="IH38" i="19" s="1"/>
  <c r="IH39" i="19" s="1"/>
  <c r="IH33" i="19"/>
  <c r="CS37" i="19"/>
  <c r="CS38" i="19" s="1"/>
  <c r="CS39" i="19" s="1"/>
  <c r="CS33" i="19"/>
  <c r="EN37" i="19"/>
  <c r="EN38" i="19" s="1"/>
  <c r="EN39" i="19" s="1"/>
  <c r="EN33" i="19"/>
  <c r="GG37" i="19"/>
  <c r="GG38" i="19" s="1"/>
  <c r="GG39" i="19" s="1"/>
  <c r="GG33" i="19"/>
  <c r="BS37" i="19"/>
  <c r="BS38" i="19" s="1"/>
  <c r="BS39" i="19" s="1"/>
  <c r="BS33" i="19"/>
  <c r="JX37" i="19"/>
  <c r="JX38" i="19" s="1"/>
  <c r="JX39" i="19" s="1"/>
  <c r="JX33" i="19"/>
  <c r="GY37" i="19"/>
  <c r="GY38" i="19" s="1"/>
  <c r="GY39" i="19" s="1"/>
  <c r="GY33" i="19"/>
  <c r="DR37" i="19"/>
  <c r="DR38" i="19" s="1"/>
  <c r="DR39" i="19" s="1"/>
  <c r="DR33" i="19"/>
  <c r="GN37" i="19"/>
  <c r="GN38" i="19" s="1"/>
  <c r="GN39" i="19" s="1"/>
  <c r="GN33" i="19"/>
  <c r="CW37" i="19"/>
  <c r="CW38" i="19" s="1"/>
  <c r="CW39" i="19" s="1"/>
  <c r="CW33" i="19"/>
  <c r="KP37" i="19"/>
  <c r="KP38" i="19" s="1"/>
  <c r="KP39" i="19" s="1"/>
  <c r="KP33" i="19"/>
  <c r="HM37" i="19"/>
  <c r="HM38" i="19" s="1"/>
  <c r="HM39" i="19" s="1"/>
  <c r="HM33" i="19"/>
  <c r="IZ37" i="19"/>
  <c r="IZ38" i="19" s="1"/>
  <c r="IZ39" i="19" s="1"/>
  <c r="IZ33" i="19"/>
  <c r="HU37" i="19"/>
  <c r="HU38" i="19" s="1"/>
  <c r="HU39" i="19" s="1"/>
  <c r="HU33" i="19"/>
  <c r="IU37" i="19"/>
  <c r="IU38" i="19" s="1"/>
  <c r="IU39" i="19" s="1"/>
  <c r="IU33" i="19"/>
  <c r="CJ37" i="19"/>
  <c r="CJ38" i="19" s="1"/>
  <c r="CJ39" i="19" s="1"/>
  <c r="CJ33" i="19"/>
  <c r="BI37" i="19"/>
  <c r="BI38" i="19" s="1"/>
  <c r="BI39" i="19" s="1"/>
  <c r="BI33" i="19"/>
  <c r="FV37" i="19"/>
  <c r="FV38" i="19" s="1"/>
  <c r="FV39" i="19" s="1"/>
  <c r="FV33" i="19"/>
  <c r="BC37" i="19"/>
  <c r="BC38" i="19" s="1"/>
  <c r="BC39" i="19" s="1"/>
  <c r="BC33" i="19"/>
  <c r="KC37" i="19"/>
  <c r="KC38" i="19" s="1"/>
  <c r="KC39" i="19" s="1"/>
  <c r="KC33" i="19"/>
  <c r="FS37" i="19"/>
  <c r="FS38" i="19" s="1"/>
  <c r="FS39" i="19" s="1"/>
  <c r="FS33" i="19"/>
  <c r="EP37" i="19"/>
  <c r="EP38" i="19" s="1"/>
  <c r="EP39" i="19" s="1"/>
  <c r="EP33" i="19"/>
  <c r="BU37" i="19"/>
  <c r="BU38" i="19" s="1"/>
  <c r="BU39" i="19" s="1"/>
  <c r="BU33" i="19"/>
  <c r="FU37" i="19"/>
  <c r="FU38" i="19" s="1"/>
  <c r="FU39" i="19" s="1"/>
  <c r="FU33" i="19"/>
  <c r="JF37" i="19"/>
  <c r="JF38" i="19" s="1"/>
  <c r="JF39" i="19" s="1"/>
  <c r="JF33" i="19"/>
  <c r="KG37" i="19"/>
  <c r="KG38" i="19" s="1"/>
  <c r="KG39" i="19" s="1"/>
  <c r="KG33" i="19"/>
  <c r="GJ37" i="19"/>
  <c r="GJ38" i="19" s="1"/>
  <c r="GJ39" i="19" s="1"/>
  <c r="GJ33" i="19"/>
  <c r="BD37" i="19"/>
  <c r="BD38" i="19" s="1"/>
  <c r="BD39" i="19" s="1"/>
  <c r="BD33" i="19"/>
  <c r="KN37" i="19"/>
  <c r="KN38" i="19" s="1"/>
  <c r="KN39" i="19" s="1"/>
  <c r="KN33" i="19"/>
  <c r="GD37" i="19"/>
  <c r="GD38" i="19" s="1"/>
  <c r="GD39" i="19" s="1"/>
  <c r="GD33" i="19"/>
  <c r="JP37" i="19"/>
  <c r="JP38" i="19" s="1"/>
  <c r="JP39" i="19" s="1"/>
  <c r="JP33" i="19"/>
  <c r="JQ37" i="19"/>
  <c r="JQ38" i="19" s="1"/>
  <c r="JQ39" i="19" s="1"/>
  <c r="JQ33" i="19"/>
  <c r="IY37" i="19"/>
  <c r="IY38" i="19" s="1"/>
  <c r="IY39" i="19" s="1"/>
  <c r="IY33" i="19"/>
  <c r="FF37" i="19"/>
  <c r="FF38" i="19" s="1"/>
  <c r="FF39" i="19" s="1"/>
  <c r="FF33" i="19"/>
  <c r="FK37" i="19"/>
  <c r="FK38" i="19" s="1"/>
  <c r="FK39" i="19" s="1"/>
  <c r="FK33" i="19"/>
  <c r="JK37" i="19"/>
  <c r="JK38" i="19" s="1"/>
  <c r="JK39" i="19" s="1"/>
  <c r="JK33" i="19"/>
  <c r="DT37" i="19"/>
  <c r="DT38" i="19" s="1"/>
  <c r="DT39" i="19" s="1"/>
  <c r="DT33" i="19"/>
  <c r="GO37" i="19"/>
  <c r="GO38" i="19" s="1"/>
  <c r="GO39" i="19" s="1"/>
  <c r="GO33" i="19"/>
  <c r="BF37" i="19"/>
  <c r="BF38" i="19" s="1"/>
  <c r="BF39" i="19" s="1"/>
  <c r="BF33" i="19"/>
  <c r="GK37" i="19"/>
  <c r="GK38" i="19" s="1"/>
  <c r="GK39" i="19" s="1"/>
  <c r="GK33" i="19"/>
  <c r="FP37" i="19"/>
  <c r="FP38" i="19" s="1"/>
  <c r="FP39" i="19" s="1"/>
  <c r="FP33" i="19"/>
  <c r="JN37" i="19"/>
  <c r="JN38" i="19" s="1"/>
  <c r="JN39" i="19" s="1"/>
  <c r="JN33" i="19"/>
  <c r="CZ37" i="19"/>
  <c r="CZ38" i="19" s="1"/>
  <c r="CZ39" i="19" s="1"/>
  <c r="CZ33" i="19"/>
  <c r="BM37" i="19"/>
  <c r="BM38" i="19" s="1"/>
  <c r="BM39" i="19" s="1"/>
  <c r="BM33" i="19"/>
  <c r="CT37" i="19"/>
  <c r="CT38" i="19" s="1"/>
  <c r="CT39" i="19" s="1"/>
  <c r="CT33" i="19"/>
  <c r="HT37" i="19"/>
  <c r="HT38" i="19" s="1"/>
  <c r="HT39" i="19" s="1"/>
  <c r="HT33" i="19"/>
  <c r="JR37" i="19"/>
  <c r="JR38" i="19" s="1"/>
  <c r="JR39" i="19" s="1"/>
  <c r="JR33" i="19"/>
  <c r="KK37" i="19"/>
  <c r="KK38" i="19" s="1"/>
  <c r="KK39" i="19" s="1"/>
  <c r="KK33" i="19"/>
  <c r="JM37" i="19"/>
  <c r="JM38" i="19" s="1"/>
  <c r="JM39" i="19" s="1"/>
  <c r="JM33" i="19"/>
  <c r="DO37" i="19"/>
  <c r="DO38" i="19" s="1"/>
  <c r="DO39" i="19" s="1"/>
  <c r="DO33" i="19"/>
  <c r="FI37" i="19"/>
  <c r="FI38" i="19" s="1"/>
  <c r="FI39" i="19" s="1"/>
  <c r="FI33" i="19"/>
  <c r="EE37" i="19"/>
  <c r="EE38" i="19" s="1"/>
  <c r="EE39" i="19" s="1"/>
  <c r="EE33" i="19"/>
  <c r="JV37" i="19"/>
  <c r="JV38" i="19" s="1"/>
  <c r="JV39" i="19" s="1"/>
  <c r="JV33" i="19"/>
  <c r="KO37" i="19"/>
  <c r="KO38" i="19" s="1"/>
  <c r="KO39" i="19" s="1"/>
  <c r="KO33" i="19"/>
  <c r="FQ37" i="19"/>
  <c r="FQ38" i="19" s="1"/>
  <c r="FQ39" i="19" s="1"/>
  <c r="FQ33" i="19"/>
  <c r="FM37" i="19"/>
  <c r="FM38" i="19" s="1"/>
  <c r="FM39" i="19" s="1"/>
  <c r="FM33" i="19"/>
  <c r="BL37" i="19"/>
  <c r="BL38" i="19" s="1"/>
  <c r="BL39" i="19" s="1"/>
  <c r="BL33" i="19"/>
  <c r="KH37" i="19"/>
  <c r="KH38" i="19" s="1"/>
  <c r="KH39" i="19" s="1"/>
  <c r="KH33" i="19"/>
  <c r="HP37" i="19"/>
  <c r="HP38" i="19" s="1"/>
  <c r="HP39" i="19" s="1"/>
  <c r="HP33" i="19"/>
  <c r="DZ37" i="19"/>
  <c r="DZ38" i="19" s="1"/>
  <c r="DZ39" i="19" s="1"/>
  <c r="DZ33" i="19"/>
  <c r="DA37" i="19"/>
  <c r="DA38" i="19" s="1"/>
  <c r="DA39" i="19" s="1"/>
  <c r="DA33" i="19"/>
  <c r="FO37" i="19"/>
  <c r="FO38" i="19" s="1"/>
  <c r="FO39" i="19" s="1"/>
  <c r="FO33" i="19"/>
  <c r="IF37" i="19"/>
  <c r="IF38" i="19" s="1"/>
  <c r="IF39" i="19" s="1"/>
  <c r="IF33" i="19"/>
  <c r="IC37" i="19"/>
  <c r="IC38" i="19" s="1"/>
  <c r="IC39" i="19" s="1"/>
  <c r="IC33" i="19"/>
  <c r="GL37" i="19"/>
  <c r="GL38" i="19" s="1"/>
  <c r="GL39" i="19" s="1"/>
  <c r="GL33" i="19"/>
  <c r="KD37" i="19"/>
  <c r="KD38" i="19" s="1"/>
  <c r="KD39" i="19" s="1"/>
  <c r="KD33" i="19"/>
  <c r="GX37" i="19"/>
  <c r="GX38" i="19" s="1"/>
  <c r="GX39" i="19" s="1"/>
  <c r="GX33" i="19"/>
  <c r="KA37" i="19"/>
  <c r="KA38" i="19" s="1"/>
  <c r="KA39" i="19" s="1"/>
  <c r="KA33" i="19"/>
  <c r="HN37" i="19"/>
  <c r="HN38" i="19" s="1"/>
  <c r="HN39" i="19" s="1"/>
  <c r="HN33" i="19"/>
  <c r="EW37" i="19"/>
  <c r="EW38" i="19" s="1"/>
  <c r="EW39" i="19" s="1"/>
  <c r="EW33" i="19"/>
  <c r="GB37" i="19"/>
  <c r="GB38" i="19" s="1"/>
  <c r="GB39" i="19" s="1"/>
  <c r="GB33" i="19"/>
  <c r="BJ37" i="19"/>
  <c r="BJ38" i="19" s="1"/>
  <c r="BJ39" i="19" s="1"/>
  <c r="BJ33" i="19"/>
  <c r="JA37" i="19"/>
  <c r="JA38" i="19" s="1"/>
  <c r="JA39" i="19" s="1"/>
  <c r="JA33" i="19"/>
  <c r="KM37" i="19"/>
  <c r="KM38" i="19" s="1"/>
  <c r="KM39" i="19" s="1"/>
  <c r="KM33" i="19"/>
  <c r="HC37" i="19"/>
  <c r="HC38" i="19" s="1"/>
  <c r="HC39" i="19" s="1"/>
  <c r="HC33" i="19"/>
  <c r="IN37" i="19"/>
  <c r="IN38" i="19" s="1"/>
  <c r="IN39" i="19" s="1"/>
  <c r="IN33" i="19"/>
  <c r="HZ37" i="19"/>
  <c r="HZ38" i="19" s="1"/>
  <c r="HZ39" i="19" s="1"/>
  <c r="HZ33" i="19"/>
  <c r="DS37" i="19"/>
  <c r="DS38" i="19" s="1"/>
  <c r="DS39" i="19" s="1"/>
  <c r="DS33" i="19"/>
  <c r="EO37" i="19"/>
  <c r="EO38" i="19" s="1"/>
  <c r="EO39" i="19" s="1"/>
  <c r="EO33" i="19"/>
  <c r="CV37" i="19"/>
  <c r="CV38" i="19" s="1"/>
  <c r="CV39" i="19" s="1"/>
  <c r="CV33" i="19"/>
  <c r="GV37" i="19"/>
  <c r="GV38" i="19" s="1"/>
  <c r="GV39" i="19" s="1"/>
  <c r="GV33" i="19"/>
  <c r="GM37" i="19"/>
  <c r="GM38" i="19" s="1"/>
  <c r="GM39" i="19" s="1"/>
  <c r="GM33" i="19"/>
  <c r="HS37" i="19"/>
  <c r="HS38" i="19" s="1"/>
  <c r="HS39" i="19" s="1"/>
  <c r="HS33" i="19"/>
  <c r="EX37" i="19"/>
  <c r="EX38" i="19" s="1"/>
  <c r="EX39" i="19" s="1"/>
  <c r="EX33" i="19"/>
  <c r="IK37" i="19"/>
  <c r="IK38" i="19" s="1"/>
  <c r="IK39" i="19" s="1"/>
  <c r="IK33" i="19"/>
  <c r="DF37" i="19"/>
  <c r="DF38" i="19" s="1"/>
  <c r="DF39" i="19" s="1"/>
  <c r="DF33" i="19"/>
  <c r="HG37" i="19"/>
  <c r="HG38" i="19" s="1"/>
  <c r="HG39" i="19" s="1"/>
  <c r="HG33" i="19"/>
  <c r="HI37" i="19"/>
  <c r="HI38" i="19" s="1"/>
  <c r="HI39" i="19" s="1"/>
  <c r="HI33" i="19"/>
  <c r="HW37" i="19"/>
  <c r="HW38" i="19" s="1"/>
  <c r="HW39" i="19" s="1"/>
  <c r="HW33" i="19"/>
  <c r="DN37" i="19"/>
  <c r="DN38" i="19" s="1"/>
  <c r="DN39" i="19" s="1"/>
  <c r="DN33" i="19"/>
  <c r="KB37" i="19"/>
  <c r="KB38" i="19" s="1"/>
  <c r="KB39" i="19" s="1"/>
  <c r="KB33" i="19"/>
  <c r="EV37" i="19"/>
  <c r="EV38" i="19" s="1"/>
  <c r="EV39" i="19" s="1"/>
  <c r="EV33" i="19"/>
  <c r="GW37" i="19"/>
  <c r="GW38" i="19" s="1"/>
  <c r="GW39" i="19" s="1"/>
  <c r="GW33" i="19"/>
  <c r="CQ37" i="19"/>
  <c r="CQ38" i="19" s="1"/>
  <c r="CQ39" i="19" s="1"/>
  <c r="CQ33" i="19"/>
  <c r="CY37" i="19"/>
  <c r="CY38" i="19" s="1"/>
  <c r="CY39" i="19" s="1"/>
  <c r="CY33" i="19"/>
  <c r="GA37" i="19"/>
  <c r="GA38" i="19" s="1"/>
  <c r="GA39" i="19" s="1"/>
  <c r="GA33" i="19"/>
  <c r="CE37" i="19"/>
  <c r="CE38" i="19" s="1"/>
  <c r="CE39" i="19" s="1"/>
  <c r="CE33" i="19"/>
  <c r="CN37" i="19"/>
  <c r="CN38" i="19" s="1"/>
  <c r="CN39" i="19" s="1"/>
  <c r="CN33" i="19"/>
  <c r="ES37" i="19"/>
  <c r="ES38" i="19" s="1"/>
  <c r="ES39" i="19" s="1"/>
  <c r="ES33" i="19"/>
  <c r="FX37" i="19"/>
  <c r="FX38" i="19" s="1"/>
  <c r="FX39" i="19" s="1"/>
  <c r="FX33" i="19"/>
  <c r="GS37" i="19"/>
  <c r="GS38" i="19" s="1"/>
  <c r="GS39" i="19" s="1"/>
  <c r="GS33" i="19"/>
  <c r="EI37" i="19"/>
  <c r="EI38" i="19" s="1"/>
  <c r="EI39" i="19" s="1"/>
  <c r="EI33" i="19"/>
  <c r="FW37" i="19"/>
  <c r="FW38" i="19" s="1"/>
  <c r="FW39" i="19" s="1"/>
  <c r="FW33" i="19"/>
  <c r="EB37" i="19"/>
  <c r="EB38" i="19" s="1"/>
  <c r="EB39" i="19" s="1"/>
  <c r="EB33" i="19"/>
  <c r="CH37" i="19"/>
  <c r="CH38" i="19" s="1"/>
  <c r="CH39" i="19" s="1"/>
  <c r="CH33" i="19"/>
  <c r="GQ37" i="19"/>
  <c r="GQ38" i="19" s="1"/>
  <c r="GQ39" i="19" s="1"/>
  <c r="GQ33" i="19"/>
  <c r="BP37" i="19"/>
  <c r="BP38" i="19" s="1"/>
  <c r="BP39" i="19" s="1"/>
  <c r="BP33" i="19"/>
  <c r="FJ37" i="19"/>
  <c r="FJ38" i="19" s="1"/>
  <c r="FJ39" i="19" s="1"/>
  <c r="FJ33" i="19"/>
  <c r="IR37" i="19"/>
  <c r="IR38" i="19" s="1"/>
  <c r="IR39" i="19" s="1"/>
  <c r="IR33" i="19"/>
  <c r="IL37" i="19"/>
  <c r="IL38" i="19" s="1"/>
  <c r="IL39" i="19" s="1"/>
  <c r="IL33" i="19"/>
  <c r="EF37" i="19"/>
  <c r="EF38" i="19" s="1"/>
  <c r="EF39" i="19" s="1"/>
  <c r="EF33" i="19"/>
  <c r="HX37" i="19"/>
  <c r="HX38" i="19" s="1"/>
  <c r="HX39" i="19" s="1"/>
  <c r="HX33" i="19"/>
  <c r="FD37" i="19"/>
  <c r="FD38" i="19" s="1"/>
  <c r="FD39" i="19" s="1"/>
  <c r="FD33" i="19"/>
  <c r="FY37" i="19"/>
  <c r="FY38" i="19" s="1"/>
  <c r="FY39" i="19" s="1"/>
  <c r="FY33" i="19"/>
  <c r="BO37" i="19"/>
  <c r="BO38" i="19" s="1"/>
  <c r="BO39" i="19" s="1"/>
  <c r="BO33" i="19"/>
  <c r="HL37" i="19"/>
  <c r="HL38" i="19" s="1"/>
  <c r="HL39" i="19" s="1"/>
  <c r="HL33" i="19"/>
  <c r="BY37" i="19"/>
  <c r="BY38" i="19" s="1"/>
  <c r="BY39" i="19" s="1"/>
  <c r="BY33" i="19"/>
  <c r="EG37" i="19"/>
  <c r="EG38" i="19" s="1"/>
  <c r="EG39" i="19" s="1"/>
  <c r="EG33" i="19"/>
  <c r="GH37" i="19"/>
  <c r="GH38" i="19" s="1"/>
  <c r="GH39" i="19" s="1"/>
  <c r="GH33" i="19"/>
  <c r="CX37" i="19"/>
  <c r="CX38" i="19" s="1"/>
  <c r="CX39" i="19" s="1"/>
  <c r="CX33" i="19"/>
  <c r="ED37" i="19"/>
  <c r="ED38" i="19" s="1"/>
  <c r="ED39" i="19" s="1"/>
  <c r="ED33" i="19"/>
  <c r="HO37" i="19"/>
  <c r="HO38" i="19" s="1"/>
  <c r="HO39" i="19" s="1"/>
  <c r="HO33" i="19"/>
  <c r="JH37" i="19"/>
  <c r="JH38" i="19" s="1"/>
  <c r="JH39" i="19" s="1"/>
  <c r="JH33" i="19"/>
  <c r="HH37" i="19"/>
  <c r="HH38" i="19" s="1"/>
  <c r="HH39" i="19" s="1"/>
  <c r="HH33" i="19"/>
  <c r="AX37" i="19"/>
  <c r="AX38" i="19" s="1"/>
  <c r="AX39" i="19" s="1"/>
  <c r="AX33" i="19"/>
  <c r="JI37" i="19"/>
  <c r="JI38" i="19" s="1"/>
  <c r="JI39" i="19" s="1"/>
  <c r="JI33" i="19"/>
  <c r="EL37" i="19"/>
  <c r="EL38" i="19" s="1"/>
  <c r="EL39" i="19" s="1"/>
  <c r="EL33" i="19"/>
  <c r="HY37" i="19"/>
  <c r="HY38" i="19" s="1"/>
  <c r="HY39" i="19" s="1"/>
  <c r="HY33" i="19"/>
  <c r="GC37" i="19"/>
  <c r="GC38" i="19" s="1"/>
  <c r="GC39" i="19" s="1"/>
  <c r="GC33" i="19"/>
  <c r="IB37" i="19"/>
  <c r="IB38" i="19" s="1"/>
  <c r="IB39" i="19" s="1"/>
  <c r="IB33" i="19"/>
  <c r="JU37" i="19"/>
  <c r="JU38" i="19" s="1"/>
  <c r="JU39" i="19" s="1"/>
  <c r="JU33" i="19"/>
  <c r="KI37" i="19"/>
  <c r="KI38" i="19" s="1"/>
  <c r="KI39" i="19" s="1"/>
  <c r="KI33" i="19"/>
  <c r="DM37" i="19"/>
  <c r="DM38" i="19" s="1"/>
  <c r="DM39" i="19" s="1"/>
  <c r="DM33" i="19"/>
  <c r="GP37" i="19"/>
  <c r="GP38" i="19" s="1"/>
  <c r="GP39" i="19" s="1"/>
  <c r="GP33" i="19"/>
  <c r="EA37" i="19"/>
  <c r="EA38" i="19" s="1"/>
  <c r="EA39" i="19" s="1"/>
  <c r="EA33" i="19"/>
  <c r="JC37" i="19"/>
  <c r="JC38" i="19" s="1"/>
  <c r="JC39" i="19" s="1"/>
  <c r="JC33" i="19"/>
  <c r="IG37" i="19"/>
  <c r="IG38" i="19" s="1"/>
  <c r="IG39" i="19" s="1"/>
  <c r="IG33" i="19"/>
  <c r="HK37" i="19"/>
  <c r="HK38" i="19" s="1"/>
  <c r="HK39" i="19" s="1"/>
  <c r="HK33" i="19"/>
  <c r="IJ37" i="19"/>
  <c r="IJ38" i="19" s="1"/>
  <c r="IJ39" i="19" s="1"/>
  <c r="IJ33" i="19"/>
  <c r="IM37" i="19"/>
  <c r="IM38" i="19" s="1"/>
  <c r="IM39" i="19" s="1"/>
  <c r="IM33" i="19"/>
  <c r="EU37" i="19"/>
  <c r="EU38" i="19" s="1"/>
  <c r="EU39" i="19" s="1"/>
  <c r="EU33" i="19"/>
  <c r="JE37" i="19"/>
  <c r="JE38" i="19" s="1"/>
  <c r="JE39" i="19" s="1"/>
  <c r="JE33" i="19"/>
  <c r="HF37" i="19"/>
  <c r="HF38" i="19" s="1"/>
  <c r="HF39" i="19" s="1"/>
  <c r="HF33" i="19"/>
  <c r="BR37" i="19"/>
  <c r="BR38" i="19" s="1"/>
  <c r="BR39" i="19" s="1"/>
  <c r="BR33" i="19"/>
  <c r="FZ37" i="19"/>
  <c r="FZ38" i="19" s="1"/>
  <c r="FZ39" i="19" s="1"/>
  <c r="FZ33" i="19"/>
  <c r="HV37" i="19"/>
  <c r="HV38" i="19" s="1"/>
  <c r="HV39" i="19" s="1"/>
  <c r="HV33" i="19"/>
  <c r="CG37" i="19"/>
  <c r="CG38" i="19" s="1"/>
  <c r="CG39" i="19" s="1"/>
  <c r="CG33" i="19"/>
  <c r="IO37" i="19"/>
  <c r="IO38" i="19" s="1"/>
  <c r="IO39" i="19" s="1"/>
  <c r="IO33" i="19"/>
  <c r="CP37" i="19"/>
  <c r="CP38" i="19" s="1"/>
  <c r="CP39" i="19" s="1"/>
  <c r="CP33" i="19"/>
  <c r="HD37" i="19"/>
  <c r="HD38" i="19" s="1"/>
  <c r="HD39" i="19" s="1"/>
  <c r="HD33" i="19"/>
  <c r="JY37" i="19"/>
  <c r="JY38" i="19" s="1"/>
  <c r="JY39" i="19" s="1"/>
  <c r="JY33" i="19"/>
  <c r="KJ37" i="19"/>
  <c r="KJ38" i="19" s="1"/>
  <c r="KJ39" i="19" s="1"/>
  <c r="KJ33" i="19"/>
  <c r="ER37" i="19"/>
  <c r="ER38" i="19" s="1"/>
  <c r="ER39" i="19" s="1"/>
  <c r="ER33" i="19"/>
  <c r="BX37" i="19"/>
  <c r="BX38" i="19" s="1"/>
  <c r="BX39" i="19" s="1"/>
  <c r="BX33" i="19"/>
  <c r="DV37" i="19"/>
  <c r="DV38" i="19" s="1"/>
  <c r="DV39" i="19" s="1"/>
  <c r="DV33" i="19"/>
  <c r="DQ37" i="19"/>
  <c r="DQ38" i="19" s="1"/>
  <c r="DQ39" i="19" s="1"/>
  <c r="DQ33" i="19"/>
  <c r="IS37" i="19"/>
  <c r="IS38" i="19" s="1"/>
  <c r="IS39" i="19" s="1"/>
  <c r="IS33" i="19"/>
  <c r="JG37" i="19"/>
  <c r="JG38" i="19" s="1"/>
  <c r="JG39" i="19" s="1"/>
  <c r="JG33" i="19"/>
  <c r="EY37" i="19"/>
  <c r="EY38" i="19" s="1"/>
  <c r="EY39" i="19" s="1"/>
  <c r="EY33" i="19"/>
  <c r="CM37" i="19"/>
  <c r="CM38" i="19" s="1"/>
  <c r="CM39" i="19" s="1"/>
  <c r="CM33" i="19"/>
  <c r="DU37" i="19"/>
  <c r="DU38" i="19" s="1"/>
  <c r="DU39" i="19" s="1"/>
  <c r="DU33" i="19"/>
  <c r="HQ37" i="19"/>
  <c r="HQ38" i="19" s="1"/>
  <c r="HQ39" i="19" s="1"/>
  <c r="HQ33" i="19"/>
  <c r="IX37" i="19"/>
  <c r="IX38" i="19" s="1"/>
  <c r="IX39" i="19" s="1"/>
  <c r="IX33" i="19"/>
  <c r="AZ37" i="19"/>
  <c r="AZ38" i="19" s="1"/>
  <c r="AZ39" i="19" s="1"/>
  <c r="AZ33" i="19"/>
  <c r="FB37" i="19"/>
  <c r="FB38" i="19" s="1"/>
  <c r="FB39" i="19" s="1"/>
  <c r="FB33" i="19"/>
  <c r="DL37" i="19"/>
  <c r="DL38" i="19" s="1"/>
  <c r="DL39" i="19" s="1"/>
  <c r="DL33" i="19"/>
  <c r="FL37" i="19"/>
  <c r="FL38" i="19" s="1"/>
  <c r="FL39" i="19" s="1"/>
  <c r="FL33" i="19"/>
  <c r="DH37" i="19"/>
  <c r="DH38" i="19" s="1"/>
  <c r="DH39" i="19" s="1"/>
  <c r="DH33" i="19"/>
  <c r="DB37" i="19"/>
  <c r="DB38" i="19" s="1"/>
  <c r="DB39" i="19" s="1"/>
  <c r="DB33" i="19"/>
  <c r="DK37" i="19"/>
  <c r="DK38" i="19" s="1"/>
  <c r="DK39" i="19" s="1"/>
  <c r="DK33" i="19"/>
  <c r="EK37" i="19"/>
  <c r="EK38" i="19" s="1"/>
  <c r="EK39" i="19" s="1"/>
  <c r="EK33" i="19"/>
  <c r="JD37" i="19"/>
  <c r="JD38" i="19" s="1"/>
  <c r="JD39" i="19" s="1"/>
  <c r="JD33" i="19"/>
  <c r="DI37" i="19"/>
  <c r="DI38" i="19" s="1"/>
  <c r="DI39" i="19" s="1"/>
  <c r="DI33" i="19"/>
  <c r="EC37" i="19"/>
  <c r="EC38" i="19" s="1"/>
  <c r="EC39" i="19" s="1"/>
  <c r="EC33" i="19"/>
  <c r="GE37" i="19"/>
  <c r="GE38" i="19" s="1"/>
  <c r="GE39" i="19" s="1"/>
  <c r="GE33" i="19"/>
  <c r="EZ37" i="19"/>
  <c r="EZ38" i="19" s="1"/>
  <c r="EZ39" i="19" s="1"/>
  <c r="EZ33" i="19"/>
  <c r="BG37" i="19"/>
  <c r="BG38" i="19" s="1"/>
  <c r="BG39" i="19" s="1"/>
  <c r="BG33" i="19"/>
  <c r="DW37" i="19"/>
  <c r="DW38" i="19" s="1"/>
  <c r="DW39" i="19" s="1"/>
  <c r="DW33" i="19"/>
  <c r="FG37" i="19"/>
  <c r="FG38" i="19" s="1"/>
  <c r="FG39" i="19" s="1"/>
  <c r="FG33" i="19"/>
  <c r="HB37" i="19"/>
  <c r="HB38" i="19" s="1"/>
  <c r="HB39" i="19" s="1"/>
  <c r="HB33" i="19"/>
  <c r="GI37" i="19"/>
  <c r="GI38" i="19" s="1"/>
  <c r="GI39" i="19" s="1"/>
  <c r="GI33" i="19"/>
  <c r="GR37" i="19"/>
  <c r="GR38" i="19" s="1"/>
  <c r="GR39" i="19" s="1"/>
  <c r="GR33" i="19"/>
  <c r="JZ37" i="19"/>
  <c r="JZ38" i="19" s="1"/>
  <c r="JZ39" i="19" s="1"/>
  <c r="JZ33" i="19"/>
  <c r="JO37" i="19"/>
  <c r="JO38" i="19" s="1"/>
  <c r="JO39" i="19" s="1"/>
  <c r="JO33" i="19"/>
  <c r="IW37" i="19"/>
  <c r="IW38" i="19" s="1"/>
  <c r="IW39" i="19" s="1"/>
  <c r="IW33" i="19"/>
  <c r="EJ37" i="19"/>
  <c r="EJ38" i="19" s="1"/>
  <c r="EJ39" i="19" s="1"/>
  <c r="EJ33" i="19"/>
  <c r="CA37" i="19"/>
  <c r="CA38" i="19" s="1"/>
  <c r="CA39" i="19" s="1"/>
  <c r="CA33" i="19"/>
  <c r="HE37" i="19"/>
  <c r="HE38" i="19" s="1"/>
  <c r="HE39" i="19" s="1"/>
  <c r="HE33" i="19"/>
  <c r="DY37" i="19"/>
  <c r="DY38" i="19" s="1"/>
  <c r="DY39" i="19" s="1"/>
  <c r="DY33" i="19"/>
  <c r="IE37" i="19"/>
  <c r="IE38" i="19" s="1"/>
  <c r="IE39" i="19" s="1"/>
  <c r="IE33" i="19"/>
  <c r="CK37" i="19"/>
  <c r="CK38" i="19" s="1"/>
  <c r="CK39" i="19" s="1"/>
  <c r="CK33" i="19"/>
  <c r="FN37" i="19"/>
  <c r="FN38" i="19" s="1"/>
  <c r="FN39" i="19" s="1"/>
  <c r="FN33" i="19"/>
  <c r="ET37" i="19"/>
  <c r="ET38" i="19" s="1"/>
  <c r="ET39" i="19" s="1"/>
  <c r="ET33" i="19"/>
  <c r="JB37" i="19"/>
  <c r="JB38" i="19" s="1"/>
  <c r="JB39" i="19" s="1"/>
  <c r="JB33" i="19"/>
  <c r="II37" i="19"/>
  <c r="II38" i="19" s="1"/>
  <c r="II39" i="19" s="1"/>
  <c r="II33" i="19"/>
  <c r="GF37" i="19"/>
  <c r="GF38" i="19" s="1"/>
  <c r="GF39" i="19" s="1"/>
  <c r="GF33" i="19"/>
  <c r="HA37" i="19"/>
  <c r="HA38" i="19" s="1"/>
  <c r="HA39" i="19" s="1"/>
  <c r="HA33" i="19"/>
  <c r="EM37" i="19"/>
  <c r="EM38" i="19" s="1"/>
  <c r="EM39" i="19" s="1"/>
  <c r="EM33" i="19"/>
  <c r="IV37" i="19"/>
  <c r="IV38" i="19" s="1"/>
  <c r="IV39" i="19" s="1"/>
  <c r="IV33" i="19"/>
  <c r="DJ37" i="19"/>
  <c r="DJ38" i="19" s="1"/>
  <c r="DJ39" i="19" s="1"/>
  <c r="DJ33" i="19"/>
  <c r="GZ37" i="19"/>
  <c r="GZ38" i="19" s="1"/>
  <c r="GZ39" i="19" s="1"/>
  <c r="GZ33" i="19"/>
  <c r="BV37" i="19"/>
  <c r="BV38" i="19" s="1"/>
  <c r="BV39" i="19" s="1"/>
  <c r="BV33" i="19"/>
  <c r="KE37" i="19"/>
  <c r="KE38" i="19" s="1"/>
  <c r="KE39" i="19" s="1"/>
  <c r="KE33" i="19"/>
  <c r="DE37" i="19"/>
  <c r="DE38" i="19" s="1"/>
  <c r="DE39" i="19" s="1"/>
  <c r="DE33" i="19"/>
  <c r="FE37" i="19"/>
  <c r="FE38" i="19" s="1"/>
  <c r="FE39" i="19" s="1"/>
  <c r="FE33" i="19"/>
  <c r="FA37" i="19"/>
  <c r="FA38" i="19" s="1"/>
  <c r="FA39" i="19" s="1"/>
  <c r="FA33" i="19"/>
  <c r="IT37" i="19"/>
  <c r="IT38" i="19" s="1"/>
  <c r="IT39" i="19" s="1"/>
  <c r="IT33" i="19"/>
  <c r="FT37" i="19"/>
  <c r="FT38" i="19" s="1"/>
  <c r="FT39" i="19" s="1"/>
  <c r="FT33" i="19"/>
  <c r="KL37" i="19"/>
  <c r="KL38" i="19" s="1"/>
  <c r="KL39" i="19" s="1"/>
  <c r="KL33" i="19"/>
  <c r="IP37" i="19"/>
  <c r="IP38" i="19" s="1"/>
  <c r="IP39" i="19" s="1"/>
  <c r="IP33" i="19"/>
  <c r="JW37" i="19"/>
  <c r="JW38" i="19" s="1"/>
  <c r="JW39" i="19" s="1"/>
  <c r="JW33" i="19"/>
  <c r="DD37" i="19"/>
  <c r="DD38" i="19" s="1"/>
  <c r="DD39" i="19" s="1"/>
  <c r="DD33" i="19"/>
  <c r="DH36" i="3"/>
  <c r="DH37" i="3" s="1"/>
  <c r="DM36" i="3"/>
  <c r="DM37" i="3" s="1"/>
  <c r="DL36" i="3"/>
  <c r="DL37" i="3" s="1"/>
  <c r="CZ36" i="3"/>
  <c r="CZ37" i="3" s="1"/>
  <c r="DE36" i="3"/>
  <c r="DE37" i="3" s="1"/>
  <c r="DG36" i="3"/>
  <c r="DG37" i="3" s="1"/>
  <c r="DN36" i="3"/>
  <c r="DN37" i="3" s="1"/>
  <c r="CX36" i="3"/>
  <c r="CX37" i="3" s="1"/>
  <c r="CS36" i="3"/>
  <c r="CS37" i="3" s="1"/>
  <c r="CG36" i="3"/>
  <c r="CG37" i="3" s="1"/>
  <c r="CV36" i="3"/>
  <c r="CV37" i="3" s="1"/>
  <c r="DF36" i="3"/>
  <c r="DF37" i="3" s="1"/>
  <c r="DJ36" i="3"/>
  <c r="DJ37" i="3" s="1"/>
  <c r="DI36" i="3"/>
  <c r="DI37" i="3" s="1"/>
  <c r="DD36" i="3"/>
  <c r="DD37" i="3" s="1"/>
  <c r="DB36" i="3"/>
  <c r="DB37" i="3" s="1"/>
  <c r="CY36" i="3"/>
  <c r="CY37" i="3" s="1"/>
  <c r="CP36" i="3"/>
  <c r="CP37" i="3" s="1"/>
  <c r="CH36" i="3"/>
  <c r="CH37" i="3" s="1"/>
  <c r="CL36" i="3"/>
  <c r="CL37" i="3" s="1"/>
  <c r="CM36" i="3"/>
  <c r="CM37" i="3" s="1"/>
  <c r="CJ36" i="3"/>
  <c r="CJ37" i="3" s="1"/>
  <c r="CK36" i="3"/>
  <c r="CK37" i="3" s="1"/>
  <c r="CB36" i="3"/>
  <c r="CB37" i="3" s="1"/>
  <c r="CD36" i="3"/>
  <c r="CD37" i="3" s="1"/>
  <c r="BB36" i="3"/>
  <c r="BB37" i="3" s="1"/>
  <c r="BV36" i="3"/>
  <c r="BV37" i="3" s="1"/>
  <c r="BP36" i="3"/>
  <c r="BP37" i="3" s="1"/>
  <c r="AX36" i="3"/>
  <c r="AX37" i="3" s="1"/>
  <c r="BI36" i="3"/>
  <c r="BI37" i="3" s="1"/>
  <c r="AZ36" i="3"/>
  <c r="AZ37" i="3" s="1"/>
  <c r="DA36" i="3"/>
  <c r="DA37" i="3" s="1"/>
  <c r="BJ36" i="3"/>
  <c r="BJ37" i="3" s="1"/>
  <c r="CA36" i="3"/>
  <c r="CA37" i="3" s="1"/>
  <c r="BA36" i="3"/>
  <c r="BA37" i="3" s="1"/>
  <c r="BH36" i="3"/>
  <c r="BH37" i="3" s="1"/>
  <c r="BQ36" i="3"/>
  <c r="BQ37" i="3" s="1"/>
  <c r="BD36" i="3"/>
  <c r="BD37" i="3" s="1"/>
  <c r="BX36" i="3"/>
  <c r="BX37" i="3" s="1"/>
  <c r="BR36" i="3"/>
  <c r="BR37" i="3" s="1"/>
  <c r="BZ36" i="3"/>
  <c r="BZ37" i="3" s="1"/>
  <c r="BF36" i="3"/>
  <c r="BF37" i="3" s="1"/>
  <c r="BO36" i="3"/>
  <c r="BO37" i="3" s="1"/>
  <c r="BY36" i="3"/>
  <c r="BY37" i="3" s="1"/>
  <c r="AB27" i="10"/>
  <c r="AB31" i="10" s="1"/>
  <c r="EM31" i="3"/>
  <c r="EM35" i="3"/>
  <c r="EY31" i="3"/>
  <c r="EY35" i="3"/>
  <c r="FW31" i="3"/>
  <c r="FW35" i="3"/>
  <c r="KM35" i="3"/>
  <c r="KM31" i="3"/>
  <c r="GI31" i="3"/>
  <c r="GI35" i="3"/>
  <c r="FK35" i="3"/>
  <c r="FK31" i="3"/>
  <c r="EA35" i="3"/>
  <c r="EA31" i="3"/>
  <c r="IE31" i="3"/>
  <c r="IE35" i="3"/>
  <c r="BS31" i="3"/>
  <c r="BS35" i="3"/>
  <c r="BS36" i="3" s="1"/>
  <c r="DC35" i="3"/>
  <c r="DC36" i="3" s="1"/>
  <c r="DC31" i="3"/>
  <c r="CQ31" i="3"/>
  <c r="CQ35" i="3"/>
  <c r="CQ36" i="3" s="1"/>
  <c r="JO35" i="3"/>
  <c r="JO31" i="3"/>
  <c r="GU36" i="3"/>
  <c r="GU37" i="3" s="1"/>
  <c r="KA31" i="3"/>
  <c r="KA35" i="3"/>
  <c r="HG31" i="3"/>
  <c r="HG35" i="3"/>
  <c r="JC35" i="3"/>
  <c r="JC31" i="3"/>
  <c r="CE31" i="3"/>
  <c r="CE35" i="3"/>
  <c r="CE36" i="3" s="1"/>
  <c r="BG31" i="3"/>
  <c r="BG35" i="3"/>
  <c r="BG36" i="3" s="1"/>
  <c r="HS31" i="3"/>
  <c r="HS35" i="3"/>
  <c r="IQ36" i="3"/>
  <c r="IQ37" i="3" s="1"/>
  <c r="M33" i="10" l="1"/>
  <c r="X33" i="10"/>
  <c r="Q33" i="10"/>
  <c r="AA33" i="10"/>
  <c r="P33" i="10"/>
  <c r="Y33" i="10"/>
  <c r="W33" i="10"/>
  <c r="N33" i="10"/>
  <c r="V33" i="10"/>
  <c r="AB33" i="10"/>
  <c r="S33" i="10"/>
  <c r="DO31" i="3"/>
  <c r="T33" i="10"/>
  <c r="AC33" i="10"/>
  <c r="O33" i="10"/>
  <c r="U33" i="10"/>
  <c r="U39" i="10"/>
  <c r="U40" i="10" s="1"/>
  <c r="Z33" i="10"/>
  <c r="R33" i="10"/>
  <c r="Y39" i="10"/>
  <c r="Y40" i="10" s="1"/>
  <c r="CQ37" i="3"/>
  <c r="BG37" i="3"/>
  <c r="S39" i="10"/>
  <c r="S40" i="10" s="1"/>
  <c r="FW36" i="3"/>
  <c r="FW37" i="3" s="1"/>
  <c r="CE37" i="3"/>
  <c r="EY36" i="3"/>
  <c r="EY37" i="3" s="1"/>
  <c r="Q39" i="10"/>
  <c r="Q40" i="10" s="1"/>
  <c r="JC36" i="3"/>
  <c r="JC37" i="3" s="1"/>
  <c r="Z39" i="10"/>
  <c r="Z40" i="10" s="1"/>
  <c r="X39" i="10"/>
  <c r="X40" i="10" s="1"/>
  <c r="IE36" i="3"/>
  <c r="IE37" i="3" s="1"/>
  <c r="AC39" i="10"/>
  <c r="AC40" i="10" s="1"/>
  <c r="KM36" i="3"/>
  <c r="KM37" i="3" s="1"/>
  <c r="BS37" i="3"/>
  <c r="DO37" i="3"/>
  <c r="N39" i="10"/>
  <c r="N40" i="10" s="1"/>
  <c r="V39" i="10"/>
  <c r="V40" i="10" s="1"/>
  <c r="HG36" i="3"/>
  <c r="HG37" i="3" s="1"/>
  <c r="EA36" i="3"/>
  <c r="EA37" i="3" s="1"/>
  <c r="O39" i="10"/>
  <c r="O40" i="10" s="1"/>
  <c r="P39" i="10"/>
  <c r="P40" i="10" s="1"/>
  <c r="EM36" i="3"/>
  <c r="EM37" i="3" s="1"/>
  <c r="W39" i="10"/>
  <c r="W40" i="10" s="1"/>
  <c r="HS36" i="3"/>
  <c r="HS37" i="3" s="1"/>
  <c r="M39" i="10"/>
  <c r="M40" i="10" s="1"/>
  <c r="DC37" i="3"/>
  <c r="AA39" i="10"/>
  <c r="AA40" i="10" s="1"/>
  <c r="JO36" i="3"/>
  <c r="JO37" i="3" s="1"/>
  <c r="R39" i="10"/>
  <c r="R40" i="10" s="1"/>
  <c r="FK36" i="3"/>
  <c r="FK37" i="3" s="1"/>
  <c r="AB39" i="10"/>
  <c r="AB40" i="10" s="1"/>
  <c r="KA36" i="3"/>
  <c r="KA37" i="3" s="1"/>
  <c r="GI36" i="3"/>
  <c r="GI37" i="3" s="1"/>
  <c r="T39" i="10"/>
  <c r="T40" i="10" s="1"/>
  <c r="G12" i="10" l="1"/>
  <c r="K3" i="22" l="1"/>
  <c r="K3" i="14" l="1"/>
  <c r="D7" i="6"/>
  <c r="F11" i="6"/>
  <c r="D24" i="10"/>
  <c r="C24" i="10" s="1"/>
  <c r="C22" i="3"/>
  <c r="C12" i="6" l="1"/>
  <c r="K7" i="22" s="1"/>
  <c r="D12" i="6"/>
  <c r="J7" i="22" s="1"/>
  <c r="F12" i="6" l="1"/>
  <c r="E12" i="6"/>
  <c r="D13" i="6" l="1"/>
  <c r="J8" i="22" s="1"/>
  <c r="C13" i="6"/>
  <c r="K8" i="22" s="1"/>
  <c r="E13" i="6" l="1"/>
  <c r="F13" i="6"/>
  <c r="C14" i="6" l="1"/>
  <c r="K9" i="22" s="1"/>
  <c r="D14" i="6"/>
  <c r="J9" i="22" s="1"/>
  <c r="F14" i="6" l="1"/>
  <c r="C15" i="6" s="1"/>
  <c r="E14" i="6"/>
  <c r="D15" i="6" l="1"/>
  <c r="J10" i="22" s="1"/>
  <c r="F15" i="6"/>
  <c r="C16" i="6" s="1"/>
  <c r="K11" i="22" s="1"/>
  <c r="K10" i="22"/>
  <c r="D16" i="6" l="1"/>
  <c r="J11" i="22" s="1"/>
  <c r="E15" i="6"/>
  <c r="E16" i="6"/>
  <c r="F16" i="6"/>
  <c r="D17" i="6" l="1"/>
  <c r="J12" i="22" s="1"/>
  <c r="C17" i="6"/>
  <c r="K12" i="22" s="1"/>
  <c r="E17" i="6" l="1"/>
  <c r="F17" i="6"/>
  <c r="D18" i="6" l="1"/>
  <c r="J13" i="22" s="1"/>
  <c r="C18" i="6"/>
  <c r="K13" i="22" s="1"/>
  <c r="E18" i="6" l="1"/>
  <c r="F18" i="6"/>
  <c r="C19" i="6" l="1"/>
  <c r="K14" i="22" s="1"/>
  <c r="D19" i="6"/>
  <c r="J14" i="22" s="1"/>
  <c r="J7" i="14" l="1"/>
  <c r="F19" i="6"/>
  <c r="C20" i="6" s="1"/>
  <c r="E19" i="6"/>
  <c r="D14" i="19" l="1" a="1"/>
  <c r="D14" i="19" s="1"/>
  <c r="D20" i="6"/>
  <c r="J15" i="22" s="1"/>
  <c r="K8" i="14"/>
  <c r="E27" i="19" s="1" a="1"/>
  <c r="E27" i="19" s="1"/>
  <c r="E31" i="19" s="1"/>
  <c r="K15" i="22"/>
  <c r="J8" i="14"/>
  <c r="F20" i="6"/>
  <c r="E20" i="6" l="1"/>
  <c r="E14" i="19" a="1"/>
  <c r="E14" i="19" s="1"/>
  <c r="E25" i="3" a="1"/>
  <c r="E25" i="3" s="1"/>
  <c r="E29" i="3" s="1"/>
  <c r="E14" i="3" a="1"/>
  <c r="E14" i="3" s="1"/>
  <c r="C21" i="6"/>
  <c r="K16" i="22" s="1"/>
  <c r="D21" i="6"/>
  <c r="J16" i="22" s="1"/>
  <c r="K9" i="14" l="1"/>
  <c r="F27" i="19" s="1" a="1"/>
  <c r="F27" i="19" s="1"/>
  <c r="J9" i="14"/>
  <c r="F21" i="6"/>
  <c r="E21" i="6"/>
  <c r="F14" i="19" l="1" a="1"/>
  <c r="F14" i="19" s="1"/>
  <c r="F14" i="3" a="1"/>
  <c r="F14" i="3" s="1"/>
  <c r="F25" i="3" a="1"/>
  <c r="F25" i="3" s="1"/>
  <c r="F29" i="3" s="1"/>
  <c r="F31" i="19"/>
  <c r="C22" i="6"/>
  <c r="D22" i="6"/>
  <c r="J17" i="22" s="1"/>
  <c r="F22" i="6" l="1"/>
  <c r="K17" i="22"/>
  <c r="J10" i="14"/>
  <c r="K10" i="14"/>
  <c r="G27" i="19" s="1" a="1"/>
  <c r="G27" i="19" s="1"/>
  <c r="D23" i="6"/>
  <c r="J18" i="22" s="1"/>
  <c r="C23" i="6"/>
  <c r="E22" i="6"/>
  <c r="G14" i="19" l="1" a="1"/>
  <c r="G14" i="19" s="1"/>
  <c r="K11" i="14"/>
  <c r="H27" i="19" s="1" a="1"/>
  <c r="H27" i="19" s="1"/>
  <c r="H31" i="19" s="1"/>
  <c r="K18" i="22"/>
  <c r="G25" i="3" a="1"/>
  <c r="G25" i="3" s="1"/>
  <c r="G29" i="3" s="1"/>
  <c r="G31" i="19"/>
  <c r="G14" i="3" a="1"/>
  <c r="G14" i="3" s="1"/>
  <c r="J11" i="14"/>
  <c r="H14" i="19" s="1" a="1"/>
  <c r="H14" i="19" s="1"/>
  <c r="E23" i="6"/>
  <c r="F23" i="6"/>
  <c r="H25" i="3" l="1" a="1"/>
  <c r="H25" i="3" s="1"/>
  <c r="H29" i="3" s="1"/>
  <c r="H14" i="3" a="1"/>
  <c r="H14" i="3" s="1"/>
  <c r="C24" i="6"/>
  <c r="D24" i="6"/>
  <c r="J19" i="22" s="1"/>
  <c r="K12" i="14" l="1"/>
  <c r="I27" i="19" s="1" a="1"/>
  <c r="I27" i="19" s="1"/>
  <c r="I31" i="19" s="1"/>
  <c r="K19" i="22"/>
  <c r="J12" i="14"/>
  <c r="I14" i="19" s="1" a="1"/>
  <c r="I14" i="19" s="1"/>
  <c r="F24" i="6"/>
  <c r="D25" i="6" s="1"/>
  <c r="J20" i="22" s="1"/>
  <c r="E24" i="6"/>
  <c r="I25" i="3" l="1" a="1"/>
  <c r="I25" i="3" s="1"/>
  <c r="I29" i="3" s="1"/>
  <c r="I14" i="3" a="1"/>
  <c r="I14" i="3" s="1"/>
  <c r="C25" i="6"/>
  <c r="J13" i="14"/>
  <c r="J14" i="19" s="1" a="1"/>
  <c r="J14" i="19" s="1"/>
  <c r="K13" i="14" l="1"/>
  <c r="J27" i="19" s="1" a="1"/>
  <c r="J27" i="19" s="1"/>
  <c r="J31" i="19" s="1"/>
  <c r="K20" i="22"/>
  <c r="J14" i="3" a="1"/>
  <c r="J14" i="3" s="1"/>
  <c r="F25" i="6"/>
  <c r="C26" i="6" s="1"/>
  <c r="E25" i="6"/>
  <c r="J14" i="14"/>
  <c r="K14" i="19" s="1" a="1"/>
  <c r="K14" i="19" s="1"/>
  <c r="J25" i="3" l="1" a="1"/>
  <c r="J25" i="3" s="1"/>
  <c r="J29" i="3" s="1"/>
  <c r="K14" i="14"/>
  <c r="K27" i="19" s="1" a="1"/>
  <c r="K27" i="19" s="1"/>
  <c r="K31" i="19" s="1"/>
  <c r="K21" i="22"/>
  <c r="K14" i="3" a="1"/>
  <c r="K14" i="3" s="1"/>
  <c r="F26" i="6"/>
  <c r="C27" i="6" s="1"/>
  <c r="D26" i="6"/>
  <c r="J15" i="14"/>
  <c r="L14" i="19" s="1" a="1"/>
  <c r="L14" i="19" s="1"/>
  <c r="D27" i="6" l="1"/>
  <c r="J22" i="22" s="1"/>
  <c r="K25" i="3" a="1"/>
  <c r="K25" i="3" s="1"/>
  <c r="K29" i="3" s="1"/>
  <c r="E26" i="6"/>
  <c r="J21" i="22"/>
  <c r="K15" i="14"/>
  <c r="L27" i="19" s="1" a="1"/>
  <c r="L27" i="19" s="1"/>
  <c r="L31" i="19" s="1"/>
  <c r="K22" i="22"/>
  <c r="L14" i="3" a="1"/>
  <c r="L14" i="3" s="1"/>
  <c r="F27" i="6"/>
  <c r="D28" i="6" s="1"/>
  <c r="J23" i="22" s="1"/>
  <c r="J16" i="14"/>
  <c r="M14" i="19" s="1" a="1"/>
  <c r="M14" i="19" s="1"/>
  <c r="E27" i="6" l="1"/>
  <c r="L25" i="3" a="1"/>
  <c r="L25" i="3" s="1"/>
  <c r="L29" i="3" s="1"/>
  <c r="M14" i="3" a="1"/>
  <c r="M14" i="3" s="1"/>
  <c r="C28" i="6"/>
  <c r="E28" i="6" s="1"/>
  <c r="K16" i="14" l="1"/>
  <c r="M27" i="19" s="1" a="1"/>
  <c r="M27" i="19" s="1"/>
  <c r="M31" i="19" s="1"/>
  <c r="K23" i="22"/>
  <c r="F28" i="6"/>
  <c r="J17" i="14"/>
  <c r="N14" i="19" s="1" a="1"/>
  <c r="N14" i="19" s="1"/>
  <c r="K17" i="14"/>
  <c r="N27" i="19" s="1" a="1"/>
  <c r="N27" i="19" s="1"/>
  <c r="M25" i="3" l="1" a="1"/>
  <c r="M25" i="3" s="1"/>
  <c r="M29" i="3" s="1"/>
  <c r="N25" i="3" a="1"/>
  <c r="N25" i="3" s="1"/>
  <c r="N29" i="3" s="1"/>
  <c r="N31" i="19"/>
  <c r="N14" i="3" a="1"/>
  <c r="N14" i="3" s="1"/>
  <c r="C29" i="6"/>
  <c r="K24" i="22" s="1"/>
  <c r="D29" i="6"/>
  <c r="J24" i="22" s="1"/>
  <c r="E29" i="6" l="1"/>
  <c r="F29" i="6"/>
  <c r="J19" i="14"/>
  <c r="P14" i="19" s="1" a="1"/>
  <c r="P14" i="19" s="1"/>
  <c r="J18" i="14"/>
  <c r="O14" i="19" s="1" a="1"/>
  <c r="O14" i="19" s="1"/>
  <c r="O14" i="3" l="1" a="1"/>
  <c r="O14" i="3" s="1"/>
  <c r="P14" i="3" a="1"/>
  <c r="P14" i="3" s="1"/>
  <c r="C30" i="6"/>
  <c r="D30" i="6"/>
  <c r="J25" i="22" s="1"/>
  <c r="J20" i="14"/>
  <c r="Q14" i="19" s="1" a="1"/>
  <c r="Q14" i="19" s="1"/>
  <c r="F30" i="6" l="1"/>
  <c r="D31" i="6" s="1"/>
  <c r="J26" i="22" s="1"/>
  <c r="K25" i="22"/>
  <c r="Q14" i="3" a="1"/>
  <c r="Q14" i="3" s="1"/>
  <c r="C31" i="6"/>
  <c r="K18" i="14"/>
  <c r="O27" i="19" s="1" a="1"/>
  <c r="O27" i="19" s="1"/>
  <c r="E30" i="6"/>
  <c r="J21" i="14"/>
  <c r="R14" i="19" s="1" a="1"/>
  <c r="R14" i="19" s="1"/>
  <c r="F31" i="6" l="1"/>
  <c r="K26" i="22"/>
  <c r="R14" i="3" a="1"/>
  <c r="R14" i="3" s="1"/>
  <c r="O25" i="3" a="1"/>
  <c r="O25" i="3" s="1"/>
  <c r="O29" i="3" s="1"/>
  <c r="O31" i="19"/>
  <c r="C32" i="6"/>
  <c r="D32" i="6"/>
  <c r="J27" i="22" s="1"/>
  <c r="K19" i="14"/>
  <c r="P27" i="19" s="1" a="1"/>
  <c r="P27" i="19" s="1"/>
  <c r="E31" i="6"/>
  <c r="F32" i="6" l="1"/>
  <c r="K27" i="22"/>
  <c r="P25" i="3" a="1"/>
  <c r="P25" i="3" s="1"/>
  <c r="P29" i="3" s="1"/>
  <c r="P31" i="19"/>
  <c r="K20" i="14"/>
  <c r="Q27" i="19" s="1" a="1"/>
  <c r="Q27" i="19" s="1"/>
  <c r="E32" i="6"/>
  <c r="J22" i="14"/>
  <c r="S14" i="19" s="1" a="1"/>
  <c r="S14" i="19" s="1"/>
  <c r="K22" i="14"/>
  <c r="S27" i="19" s="1" a="1"/>
  <c r="S27" i="19" s="1"/>
  <c r="C33" i="6" l="1"/>
  <c r="D33" i="6"/>
  <c r="J28" i="22" s="1"/>
  <c r="K28" i="22"/>
  <c r="S25" i="3" a="1"/>
  <c r="S25" i="3" s="1"/>
  <c r="S29" i="3" s="1"/>
  <c r="S31" i="19"/>
  <c r="S14" i="3" a="1"/>
  <c r="S14" i="3" s="1"/>
  <c r="Q25" i="3" a="1"/>
  <c r="Q25" i="3" s="1"/>
  <c r="Q29" i="3" s="1"/>
  <c r="Q31" i="19"/>
  <c r="K21" i="14"/>
  <c r="R27" i="19" s="1" a="1"/>
  <c r="R27" i="19" s="1"/>
  <c r="F33" i="6" l="1"/>
  <c r="E33" i="6"/>
  <c r="R25" i="3" a="1"/>
  <c r="R25" i="3" s="1"/>
  <c r="R29" i="3" s="1"/>
  <c r="R31" i="19"/>
  <c r="J23" i="14"/>
  <c r="T14" i="19" s="1" a="1"/>
  <c r="T14" i="19" s="1"/>
  <c r="D34" i="6" l="1"/>
  <c r="J29" i="22" s="1"/>
  <c r="C34" i="6"/>
  <c r="T14" i="3" a="1"/>
  <c r="T14" i="3" s="1"/>
  <c r="E34" i="6" l="1"/>
  <c r="F34" i="6"/>
  <c r="K29" i="22"/>
  <c r="K23" i="14"/>
  <c r="T27" i="19" s="1" a="1"/>
  <c r="T27" i="19" s="1"/>
  <c r="J24" i="14"/>
  <c r="U14" i="19" s="1" a="1"/>
  <c r="U14" i="19" s="1"/>
  <c r="C35" i="6" l="1"/>
  <c r="D35" i="6"/>
  <c r="J30" i="22" s="1"/>
  <c r="U14" i="3" a="1"/>
  <c r="U14" i="3" s="1"/>
  <c r="T25" i="3" a="1"/>
  <c r="T25" i="3" s="1"/>
  <c r="T29" i="3" s="1"/>
  <c r="T31" i="19"/>
  <c r="J25" i="14"/>
  <c r="V14" i="19" s="1" a="1"/>
  <c r="V14" i="19" s="1"/>
  <c r="K25" i="14"/>
  <c r="V27" i="19" s="1" a="1"/>
  <c r="V27" i="19" s="1"/>
  <c r="E35" i="6" l="1"/>
  <c r="F35" i="6"/>
  <c r="K30" i="22"/>
  <c r="V25" i="3" a="1"/>
  <c r="V25" i="3" s="1"/>
  <c r="V29" i="3" s="1"/>
  <c r="V31" i="19"/>
  <c r="V14" i="3" a="1"/>
  <c r="V14" i="3" s="1"/>
  <c r="K24" i="14"/>
  <c r="U27" i="19" s="1" a="1"/>
  <c r="U27" i="19" s="1"/>
  <c r="J26" i="14"/>
  <c r="W14" i="19" s="1" a="1"/>
  <c r="W14" i="19" s="1"/>
  <c r="D36" i="6" l="1"/>
  <c r="J31" i="22" s="1"/>
  <c r="C36" i="6"/>
  <c r="F36" i="6"/>
  <c r="W14" i="3" a="1"/>
  <c r="W14" i="3" s="1"/>
  <c r="U25" i="3" a="1"/>
  <c r="U25" i="3" s="1"/>
  <c r="U29" i="3" s="1"/>
  <c r="U31" i="19"/>
  <c r="C37" i="6"/>
  <c r="K32" i="22" s="1"/>
  <c r="D37" i="6"/>
  <c r="J32" i="22" s="1"/>
  <c r="E36" i="6" l="1"/>
  <c r="K31" i="22"/>
  <c r="F37" i="6"/>
  <c r="E37" i="6"/>
  <c r="J27" i="14"/>
  <c r="X14" i="19" s="1" a="1"/>
  <c r="X14" i="19" s="1"/>
  <c r="X14" i="3" l="1" a="1"/>
  <c r="X14" i="3" s="1"/>
  <c r="D38" i="6"/>
  <c r="C38" i="6"/>
  <c r="J33" i="22" l="1"/>
  <c r="F38" i="6"/>
  <c r="D39" i="6" s="1"/>
  <c r="K33" i="22"/>
  <c r="C39" i="6"/>
  <c r="K26" i="14"/>
  <c r="W27" i="19" s="1" a="1"/>
  <c r="W27" i="19" s="1"/>
  <c r="E38" i="6"/>
  <c r="J28" i="14"/>
  <c r="Y14" i="19" s="1" a="1"/>
  <c r="Y14" i="19" s="1"/>
  <c r="J34" i="22" l="1"/>
  <c r="F39" i="6"/>
  <c r="D40" i="6" s="1"/>
  <c r="K34" i="22"/>
  <c r="Y14" i="3" a="1"/>
  <c r="Y14" i="3" s="1"/>
  <c r="W25" i="3" a="1"/>
  <c r="W25" i="3" s="1"/>
  <c r="W29" i="3" s="1"/>
  <c r="W31" i="19"/>
  <c r="C40" i="6"/>
  <c r="K27" i="14"/>
  <c r="X27" i="19" s="1" a="1"/>
  <c r="X27" i="19" s="1"/>
  <c r="E39" i="6"/>
  <c r="J29" i="14"/>
  <c r="Z14" i="19" s="1" a="1"/>
  <c r="Z14" i="19" s="1"/>
  <c r="K29" i="14"/>
  <c r="Z27" i="19" s="1" a="1"/>
  <c r="Z27" i="19" s="1"/>
  <c r="K43" i="22" l="1"/>
  <c r="K43" i="14"/>
  <c r="J43" i="22"/>
  <c r="J43" i="14"/>
  <c r="J35" i="22"/>
  <c r="F40" i="6"/>
  <c r="K35" i="22"/>
  <c r="Z25" i="3" a="1"/>
  <c r="Z25" i="3" s="1"/>
  <c r="Z29" i="3" s="1"/>
  <c r="Z31" i="19"/>
  <c r="Z14" i="3" a="1"/>
  <c r="Z14" i="3" s="1"/>
  <c r="X25" i="3" a="1"/>
  <c r="X25" i="3" s="1"/>
  <c r="X29" i="3" s="1"/>
  <c r="X31" i="19"/>
  <c r="D41" i="6"/>
  <c r="C41" i="6"/>
  <c r="K28" i="14"/>
  <c r="Y27" i="19" s="1" a="1"/>
  <c r="Y27" i="19" s="1"/>
  <c r="E40" i="6"/>
  <c r="J30" i="14"/>
  <c r="AA14" i="19" s="1" a="1"/>
  <c r="AA14" i="19" s="1"/>
  <c r="K30" i="14"/>
  <c r="AA27" i="19" s="1" a="1"/>
  <c r="AA27" i="19" s="1"/>
  <c r="K44" i="22" l="1"/>
  <c r="K44" i="14"/>
  <c r="J44" i="22"/>
  <c r="J44" i="14"/>
  <c r="AN14" i="19" a="1"/>
  <c r="AN14" i="19" s="1"/>
  <c r="AN15" i="19" s="1"/>
  <c r="AN22" i="19" s="1"/>
  <c r="AN14" i="3" a="1"/>
  <c r="AN14" i="3" s="1"/>
  <c r="AN15" i="3" s="1"/>
  <c r="AN21" i="3" s="1"/>
  <c r="AN27" i="19" a="1"/>
  <c r="AN27" i="19" s="1"/>
  <c r="AN31" i="19" s="1"/>
  <c r="AN25" i="3" a="1"/>
  <c r="AN25" i="3" s="1"/>
  <c r="AN29" i="3" s="1"/>
  <c r="K36" i="22"/>
  <c r="J36" i="14"/>
  <c r="AG14" i="19" s="1" a="1"/>
  <c r="AG14" i="19" s="1"/>
  <c r="J36" i="22"/>
  <c r="AA25" i="3" a="1"/>
  <c r="AA25" i="3" s="1"/>
  <c r="AA29" i="3" s="1"/>
  <c r="AA31" i="19"/>
  <c r="AA14" i="3" a="1"/>
  <c r="AA14" i="3" s="1"/>
  <c r="Y25" i="3" a="1"/>
  <c r="Y25" i="3" s="1"/>
  <c r="Y29" i="3" s="1"/>
  <c r="Y31" i="19"/>
  <c r="E41" i="6"/>
  <c r="K36" i="14"/>
  <c r="AG27" i="19" s="1" a="1"/>
  <c r="AG27" i="19" s="1"/>
  <c r="F41" i="6"/>
  <c r="J31" i="14"/>
  <c r="AB14" i="19" s="1" a="1"/>
  <c r="AB14" i="19" s="1"/>
  <c r="AG14" i="3" l="1" a="1"/>
  <c r="AG14" i="3" s="1"/>
  <c r="AN31" i="3"/>
  <c r="AN35" i="3"/>
  <c r="AN36" i="3" s="1"/>
  <c r="AN37" i="3" s="1"/>
  <c r="AN37" i="19"/>
  <c r="AN38" i="19" s="1"/>
  <c r="AN39" i="19" s="1"/>
  <c r="AN33" i="19"/>
  <c r="AO14" i="19" a="1"/>
  <c r="AO14" i="19" s="1"/>
  <c r="AO15" i="19" s="1"/>
  <c r="AO22" i="19" s="1"/>
  <c r="AO14" i="3" a="1"/>
  <c r="AO14" i="3" s="1"/>
  <c r="AO15" i="3" s="1"/>
  <c r="AO21" i="3" s="1"/>
  <c r="AO25" i="3" a="1"/>
  <c r="AO25" i="3" s="1"/>
  <c r="AO29" i="3" s="1"/>
  <c r="AO27" i="19" a="1"/>
  <c r="AO27" i="19" s="1"/>
  <c r="AO31" i="19" s="1"/>
  <c r="AB14" i="3" a="1"/>
  <c r="AB14" i="3" s="1"/>
  <c r="AG25" i="3" a="1"/>
  <c r="AG25" i="3" s="1"/>
  <c r="AG29" i="3" s="1"/>
  <c r="AG31" i="19"/>
  <c r="D42" i="6"/>
  <c r="C42" i="6"/>
  <c r="J32" i="14"/>
  <c r="AC14" i="19" s="1" a="1"/>
  <c r="AC14" i="19" s="1"/>
  <c r="K45" i="22" l="1"/>
  <c r="K45" i="14"/>
  <c r="AO33" i="19"/>
  <c r="AO37" i="19"/>
  <c r="AO38" i="19" s="1"/>
  <c r="AO39" i="19" s="1"/>
  <c r="AO35" i="3"/>
  <c r="AO36" i="3" s="1"/>
  <c r="AO37" i="3" s="1"/>
  <c r="AO31" i="3"/>
  <c r="J45" i="22"/>
  <c r="J45" i="14"/>
  <c r="F42" i="6"/>
  <c r="C43" i="6" s="1"/>
  <c r="K37" i="22"/>
  <c r="J37" i="14"/>
  <c r="AH14" i="19" s="1" a="1"/>
  <c r="AH14" i="19" s="1"/>
  <c r="J37" i="22"/>
  <c r="AC14" i="3" a="1"/>
  <c r="AC14" i="3" s="1"/>
  <c r="K37" i="14"/>
  <c r="AH27" i="19" s="1" a="1"/>
  <c r="AH27" i="19" s="1"/>
  <c r="E42" i="6"/>
  <c r="K46" i="22" l="1"/>
  <c r="K46" i="14"/>
  <c r="AP14" i="19" a="1"/>
  <c r="AP14" i="19" s="1"/>
  <c r="AP14" i="3" a="1"/>
  <c r="AP14" i="3" s="1"/>
  <c r="AP15" i="3" s="1"/>
  <c r="AP21" i="3" s="1"/>
  <c r="D43" i="6"/>
  <c r="E43" i="6" s="1"/>
  <c r="AH14" i="3" a="1"/>
  <c r="AH14" i="3" s="1"/>
  <c r="AP25" i="3" a="1"/>
  <c r="AP25" i="3" s="1"/>
  <c r="AP29" i="3" s="1"/>
  <c r="AP27" i="19" a="1"/>
  <c r="AP27" i="19" s="1"/>
  <c r="AP31" i="19" s="1"/>
  <c r="F43" i="6"/>
  <c r="D44" i="6" s="1"/>
  <c r="K38" i="22"/>
  <c r="J38" i="14"/>
  <c r="AI14" i="19" s="1" a="1"/>
  <c r="AI14" i="19" s="1"/>
  <c r="J38" i="22"/>
  <c r="AH25" i="3" a="1"/>
  <c r="AH25" i="3" s="1"/>
  <c r="AH29" i="3" s="1"/>
  <c r="AH31" i="19"/>
  <c r="K31" i="14"/>
  <c r="AB27" i="19" s="1" a="1"/>
  <c r="AB27" i="19" s="1"/>
  <c r="K38" i="14"/>
  <c r="AI27" i="19" s="1" a="1"/>
  <c r="AI27" i="19" s="1"/>
  <c r="J33" i="14"/>
  <c r="AD14" i="19" s="1" a="1"/>
  <c r="AD14" i="19" s="1"/>
  <c r="C44" i="6" l="1"/>
  <c r="J47" i="22"/>
  <c r="J47" i="14"/>
  <c r="K47" i="22"/>
  <c r="K47" i="14"/>
  <c r="J46" i="22"/>
  <c r="J46" i="14"/>
  <c r="AP31" i="3"/>
  <c r="AP35" i="3"/>
  <c r="AP36" i="3" s="1"/>
  <c r="AP37" i="3" s="1"/>
  <c r="AQ27" i="19" a="1"/>
  <c r="AQ27" i="19" s="1"/>
  <c r="AQ31" i="19" s="1"/>
  <c r="AQ25" i="3" a="1"/>
  <c r="AQ25" i="3" s="1"/>
  <c r="AQ29" i="3" s="1"/>
  <c r="AI14" i="3" a="1"/>
  <c r="AI14" i="3" s="1"/>
  <c r="K39" i="22"/>
  <c r="J39" i="14"/>
  <c r="AJ14" i="19" s="1" a="1"/>
  <c r="AJ14" i="19" s="1"/>
  <c r="J39" i="22"/>
  <c r="AD14" i="3" a="1"/>
  <c r="AD14" i="3" s="1"/>
  <c r="AI25" i="3" a="1"/>
  <c r="AI25" i="3" s="1"/>
  <c r="AI29" i="3" s="1"/>
  <c r="AI31" i="19"/>
  <c r="AB25" i="3" a="1"/>
  <c r="AB25" i="3" s="1"/>
  <c r="AB29" i="3" s="1"/>
  <c r="AB31" i="19"/>
  <c r="K32" i="14"/>
  <c r="AC27" i="19" s="1" a="1"/>
  <c r="AC27" i="19" s="1"/>
  <c r="K39" i="14"/>
  <c r="AJ27" i="19" s="1" a="1"/>
  <c r="AJ27" i="19" s="1"/>
  <c r="F44" i="6"/>
  <c r="E44" i="6"/>
  <c r="AQ14" i="19" l="1" a="1"/>
  <c r="AQ14" i="19" s="1"/>
  <c r="AQ15" i="19" s="1"/>
  <c r="AQ22" i="19" s="1"/>
  <c r="AQ14" i="3" a="1"/>
  <c r="AQ14" i="3" s="1"/>
  <c r="AR25" i="3" a="1"/>
  <c r="AR25" i="3" s="1"/>
  <c r="AR29" i="3" s="1"/>
  <c r="AR27" i="19" a="1"/>
  <c r="AR27" i="19" s="1"/>
  <c r="AR31" i="19" s="1"/>
  <c r="AJ14" i="3" a="1"/>
  <c r="AJ14" i="3" s="1"/>
  <c r="AR14" i="3" a="1"/>
  <c r="AR14" i="3" s="1"/>
  <c r="AR15" i="3" s="1"/>
  <c r="AR21" i="3" s="1"/>
  <c r="AR14" i="19" a="1"/>
  <c r="AR14" i="19" s="1"/>
  <c r="AR15" i="19" s="1"/>
  <c r="AR22" i="19" s="1"/>
  <c r="AJ25" i="3" a="1"/>
  <c r="AJ25" i="3" s="1"/>
  <c r="AJ29" i="3" s="1"/>
  <c r="AJ31" i="19"/>
  <c r="AC25" i="3" a="1"/>
  <c r="AC25" i="3" s="1"/>
  <c r="AC29" i="3" s="1"/>
  <c r="AC31" i="19"/>
  <c r="D45" i="6"/>
  <c r="C45" i="6"/>
  <c r="J34" i="14"/>
  <c r="AE14" i="19" s="1" a="1"/>
  <c r="AE14" i="19" s="1"/>
  <c r="K48" i="22" l="1"/>
  <c r="K48" i="14"/>
  <c r="AR37" i="19"/>
  <c r="AR38" i="19" s="1"/>
  <c r="AR39" i="19" s="1"/>
  <c r="AR33" i="19"/>
  <c r="AR31" i="3"/>
  <c r="AR35" i="3"/>
  <c r="AR36" i="3" s="1"/>
  <c r="AR37" i="3" s="1"/>
  <c r="J48" i="14"/>
  <c r="J48" i="22"/>
  <c r="AQ37" i="19"/>
  <c r="AQ38" i="19" s="1"/>
  <c r="AQ39" i="19" s="1"/>
  <c r="AQ33" i="19"/>
  <c r="F45" i="6"/>
  <c r="D46" i="6" s="1"/>
  <c r="K40" i="22"/>
  <c r="J40" i="14"/>
  <c r="AK14" i="19" s="1" a="1"/>
  <c r="AK14" i="19" s="1"/>
  <c r="AK15" i="19" s="1"/>
  <c r="AK22" i="19" s="1"/>
  <c r="J40" i="22"/>
  <c r="AE14" i="3" a="1"/>
  <c r="AE14" i="3" s="1"/>
  <c r="K33" i="14"/>
  <c r="AD27" i="19" s="1" a="1"/>
  <c r="AD27" i="19" s="1"/>
  <c r="E45" i="6"/>
  <c r="K40" i="14"/>
  <c r="AK27" i="19" s="1" a="1"/>
  <c r="AK27" i="19" s="1"/>
  <c r="J35" i="14"/>
  <c r="AF14" i="19" s="1" a="1"/>
  <c r="AF14" i="19" s="1"/>
  <c r="E14" i="10"/>
  <c r="AK14" i="3" l="1" a="1"/>
  <c r="AK14" i="3" s="1"/>
  <c r="C46" i="6"/>
  <c r="J49" i="22"/>
  <c r="J49" i="14"/>
  <c r="AS14" i="19" a="1"/>
  <c r="AS14" i="19" s="1"/>
  <c r="AS14" i="3" a="1"/>
  <c r="AS14" i="3" s="1"/>
  <c r="AS15" i="3" s="1"/>
  <c r="AS21" i="3" s="1"/>
  <c r="K49" i="14"/>
  <c r="K49" i="22"/>
  <c r="AS27" i="19" a="1"/>
  <c r="AS27" i="19" s="1"/>
  <c r="AS31" i="19" s="1"/>
  <c r="AS25" i="3" a="1"/>
  <c r="AS25" i="3" s="1"/>
  <c r="AS29" i="3" s="1"/>
  <c r="K41" i="22"/>
  <c r="K51" i="22"/>
  <c r="K51" i="14"/>
  <c r="J51" i="22"/>
  <c r="J51" i="14"/>
  <c r="J41" i="14"/>
  <c r="AL14" i="19" s="1" a="1"/>
  <c r="AL14" i="19" s="1"/>
  <c r="AL15" i="19" s="1"/>
  <c r="AL22" i="19" s="1"/>
  <c r="J41" i="22"/>
  <c r="AF14" i="3" a="1"/>
  <c r="AF14" i="3" s="1"/>
  <c r="AK25" i="3" a="1"/>
  <c r="AK25" i="3" s="1"/>
  <c r="AK29" i="3" s="1"/>
  <c r="AK31" i="19"/>
  <c r="AK33" i="19" s="1"/>
  <c r="AD25" i="3" a="1"/>
  <c r="AD25" i="3" s="1"/>
  <c r="AD29" i="3" s="1"/>
  <c r="AD31" i="19"/>
  <c r="AK37" i="19"/>
  <c r="AK38" i="19" s="1"/>
  <c r="AK39" i="19" s="1"/>
  <c r="K34" i="14"/>
  <c r="AE27" i="19" s="1" a="1"/>
  <c r="AE27" i="19" s="1"/>
  <c r="K41" i="14"/>
  <c r="AL27" i="19" s="1" a="1"/>
  <c r="AL27" i="19" s="1"/>
  <c r="E27" i="10"/>
  <c r="E31" i="10" s="1"/>
  <c r="F46" i="6" l="1"/>
  <c r="E46" i="6"/>
  <c r="AL14" i="3" a="1"/>
  <c r="AL14" i="3" s="1"/>
  <c r="AL15" i="3" s="1"/>
  <c r="AL21" i="3" s="1"/>
  <c r="AL35" i="3" s="1"/>
  <c r="AL36" i="3" s="1"/>
  <c r="AL37" i="3" s="1"/>
  <c r="AT27" i="19" a="1"/>
  <c r="AT27" i="19" s="1"/>
  <c r="AT31" i="19" s="1"/>
  <c r="AT25" i="3" a="1"/>
  <c r="AT25" i="3" s="1"/>
  <c r="AT29" i="3" s="1"/>
  <c r="AS35" i="3"/>
  <c r="AS36" i="3" s="1"/>
  <c r="AS37" i="3" s="1"/>
  <c r="AS31" i="3"/>
  <c r="AT14" i="19" a="1"/>
  <c r="AT14" i="19" s="1"/>
  <c r="AT15" i="19" s="1"/>
  <c r="AT22" i="19" s="1"/>
  <c r="AT14" i="3" a="1"/>
  <c r="AT14" i="3" s="1"/>
  <c r="AT15" i="3" s="1"/>
  <c r="AT21" i="3" s="1"/>
  <c r="AV14" i="19" a="1"/>
  <c r="AV14" i="19" s="1"/>
  <c r="AV14" i="3" a="1"/>
  <c r="AV14" i="3" s="1"/>
  <c r="AV27" i="19" a="1"/>
  <c r="AV27" i="19" s="1"/>
  <c r="AV31" i="19" s="1"/>
  <c r="AV25" i="3" a="1"/>
  <c r="AV25" i="3" s="1"/>
  <c r="AL25" i="3" a="1"/>
  <c r="AL25" i="3" s="1"/>
  <c r="AL29" i="3" s="1"/>
  <c r="AL31" i="19"/>
  <c r="AL33" i="19" s="1"/>
  <c r="AE25" i="3" a="1"/>
  <c r="AE25" i="3" s="1"/>
  <c r="AE29" i="3" s="1"/>
  <c r="AE31" i="19"/>
  <c r="AL37" i="19"/>
  <c r="AL38" i="19" s="1"/>
  <c r="AL39" i="19" s="1"/>
  <c r="D47" i="6"/>
  <c r="C47" i="6"/>
  <c r="AL31" i="3" l="1"/>
  <c r="K50" i="14"/>
  <c r="K50" i="22"/>
  <c r="J50" i="14"/>
  <c r="J50" i="22"/>
  <c r="AT35" i="3"/>
  <c r="AT36" i="3" s="1"/>
  <c r="AT37" i="3" s="1"/>
  <c r="AT31" i="3"/>
  <c r="AT37" i="19"/>
  <c r="AT38" i="19" s="1"/>
  <c r="AT39" i="19" s="1"/>
  <c r="AT33" i="19"/>
  <c r="K42" i="22"/>
  <c r="K52" i="22"/>
  <c r="K52" i="14"/>
  <c r="J52" i="22"/>
  <c r="J52" i="14"/>
  <c r="J2" i="14" s="1"/>
  <c r="AV29" i="3"/>
  <c r="AV15" i="3"/>
  <c r="AV21" i="3" s="1"/>
  <c r="J42" i="14"/>
  <c r="AM14" i="19" s="1" a="1"/>
  <c r="AM14" i="19" s="1"/>
  <c r="J42" i="22"/>
  <c r="K35" i="14"/>
  <c r="AF27" i="19" s="1" a="1"/>
  <c r="AF27" i="19" s="1"/>
  <c r="E47" i="6"/>
  <c r="K42" i="14"/>
  <c r="AM27" i="19" s="1" a="1"/>
  <c r="AM27" i="19" s="1"/>
  <c r="F14" i="10"/>
  <c r="F47" i="6"/>
  <c r="J2" i="22" l="1"/>
  <c r="AU14" i="19" a="1"/>
  <c r="AU14" i="19" s="1"/>
  <c r="AU15" i="19" s="1"/>
  <c r="AU22" i="19" s="1"/>
  <c r="AU14" i="3" a="1"/>
  <c r="AU14" i="3" s="1"/>
  <c r="AU15" i="3" s="1"/>
  <c r="AU21" i="3" s="1"/>
  <c r="AM14" i="3" a="1"/>
  <c r="AM14" i="3" s="1"/>
  <c r="G14" i="10" s="1"/>
  <c r="AU25" i="3" a="1"/>
  <c r="AU25" i="3" s="1"/>
  <c r="AU29" i="3" s="1"/>
  <c r="AU27" i="19" a="1"/>
  <c r="AU27" i="19" s="1"/>
  <c r="AU31" i="19" s="1"/>
  <c r="AV31" i="3"/>
  <c r="AV35" i="3"/>
  <c r="AV36" i="3" s="1"/>
  <c r="AV37" i="3" s="1"/>
  <c r="AW14" i="19" a="1"/>
  <c r="AW14" i="19" s="1"/>
  <c r="AW14" i="3" a="1"/>
  <c r="AW14" i="3" s="1"/>
  <c r="AW27" i="19" a="1"/>
  <c r="AW27" i="19" s="1"/>
  <c r="AW31" i="19" s="1"/>
  <c r="AW25" i="3" a="1"/>
  <c r="AW25" i="3" s="1"/>
  <c r="K2" i="22"/>
  <c r="AM25" i="3" a="1"/>
  <c r="AM25" i="3" s="1"/>
  <c r="G27" i="10" s="1"/>
  <c r="G31" i="10" s="1"/>
  <c r="AM31" i="19"/>
  <c r="AF25" i="3" a="1"/>
  <c r="AF25" i="3" s="1"/>
  <c r="AF29" i="3" s="1"/>
  <c r="AF31" i="19"/>
  <c r="C48" i="6"/>
  <c r="D48" i="6"/>
  <c r="AM29" i="3" l="1"/>
  <c r="AU31" i="3"/>
  <c r="AU35" i="3"/>
  <c r="AU36" i="3" s="1"/>
  <c r="AU37" i="3" s="1"/>
  <c r="AU37" i="19"/>
  <c r="AU38" i="19" s="1"/>
  <c r="AU39" i="19" s="1"/>
  <c r="AU33" i="19"/>
  <c r="F27" i="10"/>
  <c r="F31" i="10" s="1"/>
  <c r="AW29" i="3"/>
  <c r="H27" i="10"/>
  <c r="H31" i="10" s="1"/>
  <c r="AW15" i="3"/>
  <c r="AW21" i="3" s="1"/>
  <c r="H14" i="10"/>
  <c r="AW15" i="19"/>
  <c r="AW22" i="19" s="1"/>
  <c r="C14" i="19"/>
  <c r="F48" i="6"/>
  <c r="E48" i="6"/>
  <c r="AW37" i="19" l="1"/>
  <c r="AW38" i="19" s="1"/>
  <c r="AW39" i="19" s="1"/>
  <c r="AW33" i="19"/>
  <c r="AW31" i="3"/>
  <c r="AW35" i="3"/>
  <c r="AW36" i="3" s="1"/>
  <c r="AW37" i="3" s="1"/>
  <c r="C49" i="6"/>
  <c r="F49" i="6" s="1"/>
  <c r="D49" i="6"/>
  <c r="C50" i="6" l="1"/>
  <c r="D50" i="6"/>
  <c r="F50" i="6"/>
  <c r="E49" i="6"/>
  <c r="E50" i="6" l="1"/>
  <c r="D51" i="6"/>
  <c r="C51" i="6"/>
  <c r="E51" i="6" s="1"/>
  <c r="F51" i="6" l="1"/>
  <c r="C52" i="6" l="1"/>
  <c r="F52" i="6" s="1"/>
  <c r="D52" i="6"/>
  <c r="D53" i="6"/>
  <c r="C53" i="6"/>
  <c r="E53" i="6" s="1"/>
  <c r="E52" i="6" l="1"/>
  <c r="F53" i="6"/>
  <c r="D54" i="6" s="1"/>
  <c r="C54" i="6" l="1"/>
  <c r="E54" i="6"/>
  <c r="F54" i="6" l="1"/>
  <c r="C55" i="6" l="1"/>
  <c r="D55" i="6"/>
  <c r="F55" i="6" l="1"/>
  <c r="E55" i="6"/>
  <c r="C56" i="6" l="1"/>
  <c r="E56" i="6" s="1"/>
  <c r="D56" i="6"/>
  <c r="F56" i="6" l="1"/>
  <c r="C57" i="6" l="1"/>
  <c r="D57" i="6"/>
  <c r="F57" i="6" l="1"/>
  <c r="E57" i="6"/>
  <c r="C58" i="6" l="1"/>
  <c r="E58" i="6" s="1"/>
  <c r="D58" i="6"/>
  <c r="F58" i="6" l="1"/>
  <c r="D59" i="6" l="1"/>
  <c r="C59" i="6"/>
  <c r="E59" i="6" s="1"/>
  <c r="F59" i="6" l="1"/>
  <c r="C60" i="6" l="1"/>
  <c r="D60" i="6"/>
  <c r="E60" i="6" l="1"/>
  <c r="F60" i="6"/>
  <c r="C61" i="6" l="1"/>
  <c r="E61" i="6" s="1"/>
  <c r="D61" i="6"/>
  <c r="F61" i="6" l="1"/>
  <c r="D62" i="6" l="1"/>
  <c r="C62" i="6"/>
  <c r="E62" i="6" s="1"/>
  <c r="F62" i="6"/>
  <c r="D63" i="6" l="1"/>
  <c r="C63" i="6"/>
  <c r="E63" i="6" s="1"/>
  <c r="F63" i="6" l="1"/>
  <c r="D64" i="6" l="1"/>
  <c r="C64" i="6"/>
  <c r="E64" i="6" s="1"/>
  <c r="F64" i="6" l="1"/>
  <c r="C65" i="6" l="1"/>
  <c r="D65" i="6"/>
  <c r="E65" i="6" l="1"/>
  <c r="F65" i="6"/>
  <c r="D66" i="6" l="1"/>
  <c r="C66" i="6"/>
  <c r="E66" i="6" l="1"/>
  <c r="F66" i="6"/>
  <c r="D67" i="6" l="1"/>
  <c r="C67" i="6"/>
  <c r="F67" i="6"/>
  <c r="F68" i="6" l="1"/>
  <c r="D68" i="6"/>
  <c r="C68" i="6"/>
  <c r="E67" i="6"/>
  <c r="C69" i="6" l="1"/>
  <c r="D69" i="6"/>
  <c r="E68" i="6"/>
  <c r="F69" i="6" l="1"/>
  <c r="E69" i="6"/>
  <c r="D70" i="6" l="1"/>
  <c r="C70" i="6"/>
  <c r="E70" i="6" s="1"/>
  <c r="F70" i="6"/>
  <c r="D71" i="6" l="1"/>
  <c r="C71" i="6"/>
  <c r="E71" i="6" s="1"/>
  <c r="F71" i="6" l="1"/>
  <c r="D72" i="6" l="1"/>
  <c r="C72" i="6"/>
  <c r="E72" i="6" s="1"/>
  <c r="F72" i="6" l="1"/>
  <c r="C73" i="6" l="1"/>
  <c r="D73" i="6"/>
  <c r="F73" i="6"/>
  <c r="C74" i="6" l="1"/>
  <c r="D74" i="6"/>
  <c r="E73" i="6"/>
  <c r="E74" i="6" l="1"/>
  <c r="F74" i="6"/>
  <c r="C75" i="6" l="1"/>
  <c r="D75" i="6"/>
  <c r="E75" i="6" l="1"/>
  <c r="F75" i="6"/>
  <c r="D76" i="6" l="1"/>
  <c r="C76" i="6"/>
  <c r="E76" i="6" s="1"/>
  <c r="F76" i="6" l="1"/>
  <c r="C77" i="6" l="1"/>
  <c r="D77" i="6"/>
  <c r="F77" i="6"/>
  <c r="F78" i="6" l="1"/>
  <c r="C78" i="6"/>
  <c r="D78" i="6"/>
  <c r="E77" i="6"/>
  <c r="D79" i="6" l="1"/>
  <c r="C79" i="6"/>
  <c r="E79" i="6" s="1"/>
  <c r="E78" i="6"/>
  <c r="F79" i="6" l="1"/>
  <c r="D80" i="6" l="1"/>
  <c r="C80" i="6"/>
  <c r="E80" i="6" s="1"/>
  <c r="F80" i="6"/>
  <c r="C81" i="6" l="1"/>
  <c r="D81" i="6"/>
  <c r="F81" i="6" l="1"/>
  <c r="E81" i="6"/>
  <c r="D82" i="6" l="1"/>
  <c r="C82" i="6"/>
  <c r="E82" i="6" s="1"/>
  <c r="F82" i="6"/>
  <c r="D83" i="6" l="1"/>
  <c r="C83" i="6"/>
  <c r="E83" i="6" s="1"/>
  <c r="F83" i="6" l="1"/>
  <c r="C84" i="6" l="1"/>
  <c r="D84" i="6"/>
  <c r="F84" i="6"/>
  <c r="D85" i="6" l="1"/>
  <c r="C85" i="6"/>
  <c r="E84" i="6"/>
  <c r="E85" i="6" l="1"/>
  <c r="F85" i="6"/>
  <c r="D86" i="6" l="1"/>
  <c r="C86" i="6"/>
  <c r="E86" i="6" s="1"/>
  <c r="F86" i="6" l="1"/>
  <c r="D87" i="6" l="1"/>
  <c r="C87" i="6"/>
  <c r="E87" i="6" s="1"/>
  <c r="F87" i="6" l="1"/>
  <c r="C88" i="6" l="1"/>
  <c r="F88" i="6" s="1"/>
  <c r="D88" i="6"/>
  <c r="E88" i="6" s="1"/>
  <c r="D89" i="6" l="1"/>
  <c r="C89" i="6"/>
  <c r="E89" i="6" l="1"/>
  <c r="F89" i="6"/>
  <c r="D90" i="6" l="1"/>
  <c r="C90" i="6"/>
  <c r="E90" i="6" l="1"/>
  <c r="F90" i="6"/>
  <c r="C91" i="6" l="1"/>
  <c r="D91" i="6"/>
  <c r="F91" i="6"/>
  <c r="D92" i="6" l="1"/>
  <c r="C92" i="6"/>
  <c r="E91" i="6"/>
  <c r="E92" i="6" l="1"/>
  <c r="F92" i="6"/>
  <c r="C93" i="6" l="1"/>
  <c r="D93" i="6"/>
  <c r="F93" i="6" l="1"/>
  <c r="E93" i="6"/>
  <c r="D94" i="6" l="1"/>
  <c r="C94" i="6"/>
  <c r="E94" i="6" s="1"/>
  <c r="F94" i="6"/>
  <c r="C95" i="6" l="1"/>
  <c r="E95" i="6" s="1"/>
  <c r="D95" i="6"/>
  <c r="F95" i="6" l="1"/>
  <c r="C96" i="6" l="1"/>
  <c r="D96" i="6"/>
  <c r="F96" i="6"/>
  <c r="D97" i="6" l="1"/>
  <c r="C97" i="6"/>
  <c r="E97" i="6" s="1"/>
  <c r="E96" i="6"/>
  <c r="F97" i="6" l="1"/>
  <c r="D98" i="6" l="1"/>
  <c r="C98" i="6"/>
  <c r="E98" i="6" s="1"/>
  <c r="F98" i="6" l="1"/>
  <c r="D99" i="6" l="1"/>
  <c r="C99" i="6"/>
  <c r="E99" i="6" s="1"/>
  <c r="F99" i="6"/>
  <c r="D100" i="6" l="1"/>
  <c r="C100" i="6"/>
  <c r="E100" i="6" s="1"/>
  <c r="F100" i="6" l="1"/>
  <c r="D101" i="6" l="1"/>
  <c r="C101" i="6"/>
  <c r="E101" i="6" l="1"/>
  <c r="F101" i="6"/>
  <c r="D102" i="6" l="1"/>
  <c r="C102" i="6"/>
  <c r="E102" i="6" s="1"/>
  <c r="F102" i="6" l="1"/>
  <c r="C103" i="6" l="1"/>
  <c r="D103" i="6"/>
  <c r="F103" i="6"/>
  <c r="C104" i="6" l="1"/>
  <c r="D104" i="6"/>
  <c r="E103" i="6"/>
  <c r="F104" i="6" l="1"/>
  <c r="E104" i="6"/>
  <c r="D105" i="6" l="1"/>
  <c r="C105" i="6"/>
  <c r="E105" i="6" s="1"/>
  <c r="F105" i="6"/>
  <c r="C106" i="6" l="1"/>
  <c r="D106" i="6"/>
  <c r="E106" i="6" l="1"/>
  <c r="F106" i="6"/>
  <c r="D107" i="6" l="1"/>
  <c r="C107" i="6"/>
  <c r="E107" i="6" l="1"/>
  <c r="F107" i="6"/>
  <c r="D108" i="6" l="1"/>
  <c r="C108" i="6"/>
  <c r="E108" i="6" l="1"/>
  <c r="F108" i="6"/>
  <c r="D109" i="6" l="1"/>
  <c r="C109" i="6"/>
  <c r="E109" i="6" s="1"/>
  <c r="F109" i="6" l="1"/>
  <c r="D110" i="6" l="1"/>
  <c r="C110" i="6"/>
  <c r="E110" i="6" l="1"/>
  <c r="F110" i="6"/>
  <c r="C111" i="6" l="1"/>
  <c r="E111" i="6" s="1"/>
  <c r="D111" i="6"/>
  <c r="F111" i="6" l="1"/>
  <c r="D112" i="6" l="1"/>
  <c r="C112" i="6"/>
  <c r="E112" i="6" s="1"/>
  <c r="F112" i="6"/>
  <c r="D113" i="6" l="1"/>
  <c r="C113" i="6"/>
  <c r="E113" i="6" l="1"/>
  <c r="F113" i="6"/>
  <c r="C114" i="6" l="1"/>
  <c r="D114" i="6"/>
  <c r="F114" i="6" l="1"/>
  <c r="E114" i="6"/>
  <c r="D115" i="6" l="1"/>
  <c r="C115" i="6"/>
  <c r="E115" i="6" l="1"/>
  <c r="F115" i="6"/>
  <c r="C116" i="6" l="1"/>
  <c r="D116" i="6"/>
  <c r="F116" i="6" l="1"/>
  <c r="E116" i="6"/>
  <c r="C117" i="6" l="1"/>
  <c r="D117" i="6"/>
  <c r="E117" i="6" l="1"/>
  <c r="F117" i="6"/>
  <c r="F118" i="6" l="1"/>
  <c r="D118" i="6"/>
  <c r="C118" i="6"/>
  <c r="C119" i="6" l="1"/>
  <c r="D119" i="6"/>
  <c r="E118" i="6"/>
  <c r="F119" i="6" l="1"/>
  <c r="E119" i="6"/>
  <c r="D120" i="6" l="1"/>
  <c r="C120" i="6"/>
  <c r="E120" i="6" l="1"/>
  <c r="F120" i="6"/>
  <c r="D121" i="6" l="1"/>
  <c r="C121" i="6"/>
  <c r="E121" i="6" l="1"/>
  <c r="F121" i="6"/>
  <c r="D122" i="6" l="1"/>
  <c r="C122" i="6"/>
  <c r="E122" i="6" s="1"/>
  <c r="F122" i="6" l="1"/>
  <c r="C123" i="6" l="1"/>
  <c r="E123" i="6" s="1"/>
  <c r="D123" i="6"/>
  <c r="F123" i="6"/>
  <c r="C124" i="6" l="1"/>
  <c r="D124" i="6"/>
  <c r="E124" i="6" l="1"/>
  <c r="F124" i="6"/>
  <c r="C125" i="6" l="1"/>
  <c r="F125" i="6"/>
  <c r="D125" i="6"/>
  <c r="F126" i="6" l="1"/>
  <c r="C126" i="6"/>
  <c r="D126" i="6"/>
  <c r="E125" i="6"/>
  <c r="F127" i="6" l="1"/>
  <c r="C127" i="6"/>
  <c r="D127" i="6"/>
  <c r="E126" i="6"/>
  <c r="D128" i="6" l="1"/>
  <c r="C128" i="6"/>
  <c r="E128" i="6" s="1"/>
  <c r="E127" i="6"/>
  <c r="F128" i="6" l="1"/>
  <c r="C129" i="6" l="1"/>
  <c r="D129" i="6"/>
  <c r="F129" i="6"/>
  <c r="C130" i="6" l="1"/>
  <c r="D130" i="6"/>
  <c r="E129" i="6"/>
  <c r="F130" i="6" l="1"/>
  <c r="E130" i="6"/>
  <c r="D131" i="6" l="1"/>
  <c r="C131" i="6"/>
  <c r="E131" i="6" s="1"/>
  <c r="F131" i="6"/>
  <c r="D132" i="6" l="1"/>
  <c r="C132" i="6"/>
  <c r="E132" i="6" l="1"/>
  <c r="F132" i="6"/>
  <c r="D133" i="6" l="1"/>
  <c r="C133" i="6"/>
  <c r="E133" i="6" l="1"/>
  <c r="F133" i="6"/>
  <c r="C134" i="6" l="1"/>
  <c r="D134" i="6"/>
  <c r="F134" i="6" l="1"/>
  <c r="E134" i="6"/>
  <c r="C135" i="6" l="1"/>
  <c r="D135" i="6"/>
  <c r="F135" i="6"/>
  <c r="D136" i="6" l="1"/>
  <c r="C136" i="6"/>
  <c r="E136" i="6" s="1"/>
  <c r="E135" i="6"/>
  <c r="F136" i="6" l="1"/>
  <c r="D137" i="6" l="1"/>
  <c r="C137" i="6"/>
  <c r="E137" i="6" s="1"/>
  <c r="F137" i="6"/>
  <c r="D138" i="6" l="1"/>
  <c r="C138" i="6"/>
  <c r="E138" i="6" s="1"/>
  <c r="F138" i="6" l="1"/>
  <c r="D139" i="6" l="1"/>
  <c r="C139" i="6"/>
  <c r="E139" i="6" s="1"/>
  <c r="F139" i="6" l="1"/>
  <c r="C140" i="6" l="1"/>
  <c r="F140" i="6"/>
  <c r="D140" i="6"/>
  <c r="C141" i="6" l="1"/>
  <c r="D141" i="6"/>
  <c r="E140" i="6"/>
  <c r="E141" i="6" l="1"/>
  <c r="F141" i="6"/>
  <c r="C142" i="6" l="1"/>
  <c r="E142" i="6" s="1"/>
  <c r="D142" i="6"/>
  <c r="F142" i="6" l="1"/>
  <c r="D143" i="6" l="1"/>
  <c r="C143" i="6"/>
  <c r="E143" i="6" s="1"/>
  <c r="F143" i="6"/>
  <c r="C144" i="6" l="1"/>
  <c r="D144" i="6"/>
  <c r="F144" i="6" l="1"/>
  <c r="E144" i="6"/>
  <c r="D145" i="6" l="1"/>
  <c r="C145" i="6"/>
  <c r="E145" i="6" l="1"/>
  <c r="F145" i="6"/>
  <c r="C146" i="6" l="1"/>
  <c r="E146" i="6" s="1"/>
  <c r="D146" i="6"/>
  <c r="F146" i="6" l="1"/>
  <c r="D147" i="6" l="1"/>
  <c r="C147" i="6"/>
  <c r="E147" i="6" s="1"/>
  <c r="F147" i="6"/>
  <c r="D148" i="6" l="1"/>
  <c r="C148" i="6"/>
  <c r="E148" i="6" s="1"/>
  <c r="F148" i="6" l="1"/>
  <c r="C149" i="6" l="1"/>
  <c r="D149" i="6"/>
  <c r="E149" i="6" l="1"/>
  <c r="F149" i="6"/>
  <c r="C150" i="6" l="1"/>
  <c r="E150" i="6" s="1"/>
  <c r="D150" i="6"/>
  <c r="F150" i="6" l="1"/>
  <c r="D151" i="6" l="1"/>
  <c r="C151" i="6"/>
  <c r="E151" i="6" l="1"/>
  <c r="F151" i="6"/>
  <c r="C152" i="6" l="1"/>
  <c r="E152" i="6" s="1"/>
  <c r="D152" i="6"/>
  <c r="F152" i="6" l="1"/>
  <c r="D153" i="6" l="1"/>
  <c r="F153" i="6"/>
  <c r="C153" i="6"/>
  <c r="C154" i="6" l="1"/>
  <c r="D154" i="6"/>
  <c r="E153" i="6"/>
  <c r="F154" i="6" l="1"/>
  <c r="E154" i="6"/>
  <c r="D155" i="6" l="1"/>
  <c r="F155" i="6"/>
  <c r="C155" i="6"/>
  <c r="F156" i="6" l="1"/>
  <c r="D156" i="6"/>
  <c r="C156" i="6"/>
  <c r="E155" i="6"/>
  <c r="F157" i="6" l="1"/>
  <c r="D157" i="6"/>
  <c r="C157" i="6"/>
  <c r="E156" i="6"/>
  <c r="C158" i="6" l="1"/>
  <c r="E158" i="6" s="1"/>
  <c r="D158" i="6"/>
  <c r="E157" i="6"/>
  <c r="F158" i="6" l="1"/>
  <c r="C159" i="6" l="1"/>
  <c r="D159" i="6"/>
  <c r="E159" i="6" l="1"/>
  <c r="F159" i="6"/>
  <c r="D160" i="6" l="1"/>
  <c r="C160" i="6"/>
  <c r="E160" i="6" s="1"/>
  <c r="F160" i="6" l="1"/>
  <c r="C161" i="6" l="1"/>
  <c r="D161" i="6"/>
  <c r="E161" i="6" l="1"/>
  <c r="F161" i="6"/>
  <c r="F162" i="6" l="1"/>
  <c r="C162" i="6"/>
  <c r="D162" i="6"/>
  <c r="C163" i="6" l="1"/>
  <c r="E163" i="6" s="1"/>
  <c r="D163" i="6"/>
  <c r="E162" i="6"/>
  <c r="F163" i="6" l="1"/>
  <c r="D164" i="6" l="1"/>
  <c r="C164" i="6"/>
  <c r="E164" i="6" s="1"/>
  <c r="F164" i="6"/>
  <c r="D165" i="6" l="1"/>
  <c r="C165" i="6"/>
  <c r="F165" i="6" l="1"/>
  <c r="E165" i="6"/>
  <c r="C166" i="6" l="1"/>
  <c r="D166" i="6"/>
  <c r="E166" i="6" l="1"/>
  <c r="F166" i="6"/>
  <c r="D167" i="6" l="1"/>
  <c r="C167" i="6"/>
  <c r="E167" i="6" l="1"/>
  <c r="F167" i="6"/>
  <c r="C168" i="6" l="1"/>
  <c r="E168" i="6" s="1"/>
  <c r="D168" i="6"/>
  <c r="F168" i="6" l="1"/>
  <c r="D169" i="6" l="1"/>
  <c r="C169" i="6"/>
  <c r="E169" i="6" s="1"/>
  <c r="F169" i="6" l="1"/>
  <c r="C170" i="6" l="1"/>
  <c r="D170" i="6"/>
  <c r="E170" i="6" l="1"/>
  <c r="F170" i="6"/>
  <c r="C171" i="6" l="1"/>
  <c r="D171" i="6"/>
  <c r="E171" i="6" l="1"/>
  <c r="F171" i="6"/>
  <c r="C172" i="6" l="1"/>
  <c r="D172" i="6"/>
  <c r="F172" i="6" l="1"/>
  <c r="E172" i="6"/>
  <c r="D173" i="6" l="1"/>
  <c r="C173" i="6"/>
  <c r="F173" i="6"/>
  <c r="C174" i="6" l="1"/>
  <c r="D174" i="6"/>
  <c r="E173" i="6"/>
  <c r="F174" i="6" l="1"/>
  <c r="E174" i="6"/>
  <c r="D175" i="6" l="1"/>
  <c r="C175" i="6"/>
  <c r="E175" i="6" s="1"/>
  <c r="F175" i="6"/>
  <c r="C176" i="6" l="1"/>
  <c r="D176" i="6"/>
  <c r="F176" i="6" l="1"/>
  <c r="E176" i="6"/>
  <c r="D177" i="6" l="1"/>
  <c r="C177" i="6"/>
  <c r="E177" i="6" s="1"/>
  <c r="F177" i="6" l="1"/>
  <c r="D178" i="6" l="1"/>
  <c r="C178" i="6"/>
  <c r="E178" i="6" s="1"/>
  <c r="F178" i="6"/>
  <c r="C179" i="6" l="1"/>
  <c r="D179" i="6"/>
  <c r="E179" i="6" l="1"/>
  <c r="F179" i="6"/>
  <c r="D180" i="6" l="1"/>
  <c r="C180" i="6"/>
  <c r="E180" i="6" l="1"/>
  <c r="F180" i="6"/>
  <c r="D181" i="6" l="1"/>
  <c r="C181" i="6"/>
  <c r="E181" i="6" l="1"/>
  <c r="F181" i="6"/>
  <c r="D182" i="6" l="1"/>
  <c r="C182" i="6"/>
  <c r="E182" i="6" l="1"/>
  <c r="F182" i="6"/>
  <c r="D183" i="6" l="1"/>
  <c r="C183" i="6"/>
  <c r="E183" i="6" s="1"/>
  <c r="F183" i="6" l="1"/>
  <c r="D184" i="6" l="1"/>
  <c r="C184" i="6"/>
  <c r="E184" i="6" s="1"/>
  <c r="F184" i="6" l="1"/>
  <c r="D185" i="6" l="1"/>
  <c r="C185" i="6"/>
  <c r="E185" i="6" l="1"/>
  <c r="F185" i="6"/>
  <c r="C186" i="6" l="1"/>
  <c r="E186" i="6" s="1"/>
  <c r="D186" i="6"/>
  <c r="F186" i="6" l="1"/>
  <c r="C187" i="6" l="1"/>
  <c r="F187" i="6"/>
  <c r="D187" i="6"/>
  <c r="C188" i="6" l="1"/>
  <c r="E188" i="6" s="1"/>
  <c r="D188" i="6"/>
  <c r="E187" i="6"/>
  <c r="F188" i="6" l="1"/>
  <c r="C189" i="6" l="1"/>
  <c r="D189" i="6"/>
  <c r="F189" i="6"/>
  <c r="C190" i="6" l="1"/>
  <c r="D190" i="6"/>
  <c r="E189" i="6"/>
  <c r="F190" i="6" l="1"/>
  <c r="E190" i="6"/>
  <c r="D191" i="6" l="1"/>
  <c r="C191" i="6"/>
  <c r="F191" i="6"/>
  <c r="C192" i="6" l="1"/>
  <c r="D192" i="6"/>
  <c r="E191" i="6"/>
  <c r="F192" i="6" l="1"/>
  <c r="E192" i="6"/>
  <c r="D193" i="6" l="1"/>
  <c r="C193" i="6"/>
  <c r="E193" i="6" s="1"/>
  <c r="F193" i="6" l="1"/>
  <c r="D194" i="6" l="1"/>
  <c r="C194" i="6"/>
  <c r="E194" i="6" s="1"/>
  <c r="F194" i="6"/>
  <c r="C195" i="6" l="1"/>
  <c r="D195" i="6"/>
  <c r="F195" i="6" l="1"/>
  <c r="E195" i="6"/>
  <c r="D196" i="6" l="1"/>
  <c r="C196" i="6"/>
  <c r="E196" i="6" s="1"/>
  <c r="F196" i="6"/>
  <c r="C197" i="6" l="1"/>
  <c r="D197" i="6"/>
  <c r="E197" i="6" l="1"/>
  <c r="F197" i="6"/>
  <c r="C198" i="6" l="1"/>
  <c r="D198" i="6"/>
  <c r="E198" i="6" l="1"/>
  <c r="F198" i="6"/>
  <c r="D199" i="6" l="1"/>
  <c r="C199" i="6"/>
  <c r="E199" i="6" l="1"/>
  <c r="F199" i="6"/>
  <c r="D200" i="6" l="1"/>
  <c r="C200" i="6"/>
  <c r="E200" i="6" s="1"/>
  <c r="F200" i="6" l="1"/>
  <c r="D201" i="6" l="1"/>
  <c r="C201" i="6"/>
  <c r="E201" i="6" s="1"/>
  <c r="F201" i="6" l="1"/>
  <c r="D202" i="6" l="1"/>
  <c r="C202" i="6"/>
  <c r="F202" i="6"/>
  <c r="C203" i="6" l="1"/>
  <c r="E203" i="6" s="1"/>
  <c r="D203" i="6"/>
  <c r="E202" i="6"/>
  <c r="F203" i="6" l="1"/>
  <c r="C204" i="6" l="1"/>
  <c r="D204" i="6"/>
  <c r="E204" i="6" l="1"/>
  <c r="F204" i="6"/>
  <c r="D205" i="6" l="1"/>
  <c r="C205" i="6"/>
  <c r="E205" i="6" l="1"/>
  <c r="F205" i="6"/>
  <c r="C206" i="6" l="1"/>
  <c r="D206" i="6"/>
  <c r="E206" i="6" l="1"/>
  <c r="F206" i="6"/>
  <c r="C207" i="6" l="1"/>
  <c r="E207" i="6" s="1"/>
  <c r="D207" i="6"/>
  <c r="B66" i="20"/>
  <c r="C67" i="20"/>
  <c r="F207" i="6" l="1"/>
  <c r="C66" i="20"/>
  <c r="D208" i="6" l="1"/>
  <c r="C208" i="6"/>
  <c r="E208" i="6" s="1"/>
  <c r="F208" i="6" l="1"/>
  <c r="C209" i="6" l="1"/>
  <c r="D209" i="6"/>
  <c r="F209" i="6"/>
  <c r="BN13" i="3" a="1"/>
  <c r="BN13" i="3" s="1"/>
  <c r="BN15" i="3" s="1"/>
  <c r="BN21" i="3" s="1"/>
  <c r="AA13" i="3" a="1"/>
  <c r="AA13" i="3" s="1"/>
  <c r="AQ13" i="3" a="1"/>
  <c r="AQ13" i="3" s="1"/>
  <c r="AQ15" i="3" s="1"/>
  <c r="AQ21" i="3" s="1"/>
  <c r="S13" i="3" a="1"/>
  <c r="S13" i="3" s="1"/>
  <c r="AE13" i="3" a="1"/>
  <c r="AE13" i="3" s="1"/>
  <c r="BC13" i="3" a="1"/>
  <c r="BC13" i="3" s="1"/>
  <c r="AK13" i="3" a="1"/>
  <c r="AK13" i="3" s="1"/>
  <c r="C210" i="6" l="1"/>
  <c r="F210" i="6"/>
  <c r="D210" i="6"/>
  <c r="E209" i="6"/>
  <c r="AM13" i="3" a="1"/>
  <c r="AM13" i="3" s="1"/>
  <c r="AM15" i="3" s="1"/>
  <c r="AM21" i="3" s="1"/>
  <c r="AM35" i="3" s="1"/>
  <c r="AM36" i="3" s="1"/>
  <c r="AM37" i="3" s="1"/>
  <c r="AY13" i="3" a="1"/>
  <c r="AY13" i="3" s="1"/>
  <c r="AY15" i="3" s="1"/>
  <c r="AY21" i="3" s="1"/>
  <c r="AY31" i="3" s="1"/>
  <c r="O13" i="3" a="1"/>
  <c r="O13" i="3" s="1"/>
  <c r="BK13" i="3" a="1"/>
  <c r="BK13" i="3" s="1"/>
  <c r="BW13" i="3" a="1"/>
  <c r="BW13" i="3" s="1"/>
  <c r="BW15" i="3" s="1"/>
  <c r="CI13" i="3" a="1"/>
  <c r="CI13" i="3" s="1"/>
  <c r="K13" i="10" s="1"/>
  <c r="K15" i="10" s="1"/>
  <c r="K22" i="10" s="1"/>
  <c r="K33" i="10" s="1"/>
  <c r="CU13" i="3" a="1"/>
  <c r="CU13" i="3" s="1"/>
  <c r="CU15" i="3" s="1"/>
  <c r="CU21" i="3" s="1"/>
  <c r="BN35" i="3"/>
  <c r="BN31" i="3"/>
  <c r="AQ35" i="3"/>
  <c r="AQ31" i="3"/>
  <c r="Y13" i="3" a="1"/>
  <c r="Y13" i="3" s="1"/>
  <c r="AK15" i="3"/>
  <c r="AK21" i="3" s="1"/>
  <c r="BC15" i="3"/>
  <c r="BC21" i="3" s="1"/>
  <c r="C211" i="6" l="1"/>
  <c r="D211" i="6"/>
  <c r="E210" i="6"/>
  <c r="BW21" i="3"/>
  <c r="AM31" i="3"/>
  <c r="AY35" i="3"/>
  <c r="AY36" i="3" s="1"/>
  <c r="AY37" i="3" s="1"/>
  <c r="CI15" i="3"/>
  <c r="CI21" i="3" s="1"/>
  <c r="L13" i="10"/>
  <c r="L15" i="10" s="1"/>
  <c r="L22" i="10" s="1"/>
  <c r="L33" i="10" s="1"/>
  <c r="G13" i="10"/>
  <c r="J13" i="10"/>
  <c r="J15" i="10" s="1"/>
  <c r="J22" i="10" s="1"/>
  <c r="J33" i="10" s="1"/>
  <c r="H13" i="10"/>
  <c r="H15" i="10" s="1"/>
  <c r="H22" i="10" s="1"/>
  <c r="H33" i="10" s="1"/>
  <c r="BK15" i="3"/>
  <c r="BK21" i="3" s="1"/>
  <c r="I13" i="10"/>
  <c r="I15" i="10" s="1"/>
  <c r="I22" i="10" s="1"/>
  <c r="I33" i="10" s="1"/>
  <c r="CU35" i="3"/>
  <c r="CU31" i="3"/>
  <c r="BN36" i="3"/>
  <c r="BN37" i="3" s="1"/>
  <c r="AQ36" i="3"/>
  <c r="AQ37" i="3" s="1"/>
  <c r="BC31" i="3"/>
  <c r="BC35" i="3"/>
  <c r="BC36" i="3" s="1"/>
  <c r="AK31" i="3"/>
  <c r="AK35" i="3"/>
  <c r="F211" i="6" l="1"/>
  <c r="E211" i="6"/>
  <c r="BW35" i="3"/>
  <c r="BW31" i="3"/>
  <c r="CI31" i="3"/>
  <c r="CI35" i="3"/>
  <c r="BK35" i="3"/>
  <c r="BK31" i="3"/>
  <c r="CU36" i="3"/>
  <c r="CU37" i="3" s="1"/>
  <c r="L39" i="10"/>
  <c r="L40" i="10" s="1"/>
  <c r="AK36" i="3"/>
  <c r="AK37" i="3" s="1"/>
  <c r="BC37" i="3"/>
  <c r="H39" i="10"/>
  <c r="H40" i="10" s="1"/>
  <c r="D212" i="6" l="1"/>
  <c r="C212" i="6"/>
  <c r="E212" i="6" s="1"/>
  <c r="F212" i="6"/>
  <c r="CI36" i="3"/>
  <c r="CI37" i="3" s="1"/>
  <c r="K39" i="10"/>
  <c r="K40" i="10" s="1"/>
  <c r="BW36" i="3"/>
  <c r="BW37" i="3" s="1"/>
  <c r="J39" i="10"/>
  <c r="J40" i="10" s="1"/>
  <c r="BK36" i="3"/>
  <c r="BK37" i="3" s="1"/>
  <c r="I39" i="10"/>
  <c r="I40" i="10" s="1"/>
  <c r="D213" i="6" l="1"/>
  <c r="C213" i="6"/>
  <c r="E213" i="6" s="1"/>
  <c r="F213" i="6" l="1"/>
  <c r="D214" i="6" l="1"/>
  <c r="C214" i="6"/>
  <c r="E214" i="6" s="1"/>
  <c r="F214" i="6" l="1"/>
  <c r="C215" i="6" l="1"/>
  <c r="E215" i="6" s="1"/>
  <c r="D215" i="6"/>
  <c r="F215" i="6" l="1"/>
  <c r="D216" i="6" l="1"/>
  <c r="C216" i="6"/>
  <c r="E216" i="6" s="1"/>
  <c r="F216" i="6"/>
  <c r="C217" i="6" l="1"/>
  <c r="D217" i="6"/>
  <c r="F217" i="6" l="1"/>
  <c r="E217" i="6"/>
  <c r="D218" i="6" l="1"/>
  <c r="C218" i="6"/>
  <c r="E218" i="6" s="1"/>
  <c r="F218" i="6" l="1"/>
  <c r="D219" i="6" l="1"/>
  <c r="C219" i="6"/>
  <c r="E219" i="6" s="1"/>
  <c r="F219" i="6"/>
  <c r="F220" i="6" l="1"/>
  <c r="C220" i="6"/>
  <c r="D220" i="6"/>
  <c r="C221" i="6" l="1"/>
  <c r="D221" i="6"/>
  <c r="E220" i="6"/>
  <c r="E221" i="6" l="1"/>
  <c r="F221" i="6"/>
  <c r="C222" i="6" l="1"/>
  <c r="E222" i="6" s="1"/>
  <c r="D222" i="6"/>
  <c r="F222" i="6" l="1"/>
  <c r="C223" i="6" l="1"/>
  <c r="D223" i="6"/>
  <c r="F223" i="6"/>
  <c r="C224" i="6" l="1"/>
  <c r="D224" i="6"/>
  <c r="E223" i="6"/>
  <c r="F224" i="6" l="1"/>
  <c r="E224" i="6"/>
  <c r="D225" i="6" l="1"/>
  <c r="C225" i="6"/>
  <c r="E225" i="6" s="1"/>
  <c r="F225" i="6"/>
  <c r="C226" i="6" l="1"/>
  <c r="D226" i="6"/>
  <c r="F226" i="6" l="1"/>
  <c r="E226" i="6"/>
  <c r="D227" i="6" l="1"/>
  <c r="C227" i="6"/>
  <c r="F227" i="6"/>
  <c r="C228" i="6" l="1"/>
  <c r="D228" i="6"/>
  <c r="E227" i="6"/>
  <c r="F228" i="6" l="1"/>
  <c r="E228" i="6"/>
  <c r="D229" i="6" l="1"/>
  <c r="C229" i="6"/>
  <c r="E229" i="6" s="1"/>
  <c r="F229" i="6" l="1"/>
  <c r="C230" i="6" l="1"/>
  <c r="D230" i="6"/>
  <c r="E230" i="6" l="1"/>
  <c r="F230" i="6"/>
  <c r="C231" i="6" l="1"/>
  <c r="E231" i="6" s="1"/>
  <c r="D231" i="6"/>
  <c r="F231" i="6" l="1"/>
  <c r="D232" i="6" l="1"/>
  <c r="C232" i="6"/>
  <c r="E232" i="6" s="1"/>
  <c r="F232" i="6"/>
  <c r="C233" i="6" l="1"/>
  <c r="D233" i="6"/>
  <c r="F233" i="6" l="1"/>
  <c r="E233" i="6"/>
  <c r="D234" i="6" l="1"/>
  <c r="C234" i="6"/>
  <c r="E234" i="6" s="1"/>
  <c r="F234" i="6"/>
  <c r="D235" i="6" l="1"/>
  <c r="C235" i="6"/>
  <c r="E235" i="6" s="1"/>
  <c r="F235" i="6" l="1"/>
  <c r="C236" i="6" l="1"/>
  <c r="F236" i="6"/>
  <c r="D236" i="6"/>
  <c r="C237" i="6" l="1"/>
  <c r="D237" i="6"/>
  <c r="E236" i="6"/>
  <c r="F237" i="6" l="1"/>
  <c r="E237" i="6"/>
  <c r="D238" i="6" l="1"/>
  <c r="C238" i="6"/>
  <c r="E238" i="6" s="1"/>
  <c r="F238" i="6"/>
  <c r="C239" i="6" l="1"/>
  <c r="D239" i="6"/>
  <c r="F239" i="6" l="1"/>
  <c r="E239" i="6"/>
  <c r="C240" i="6" l="1"/>
  <c r="D240" i="6"/>
  <c r="F240" i="6"/>
  <c r="C241" i="6" l="1"/>
  <c r="D241" i="6"/>
  <c r="E240" i="6"/>
  <c r="F241" i="6" l="1"/>
  <c r="E241" i="6"/>
  <c r="D242" i="6" l="1"/>
  <c r="C242" i="6"/>
  <c r="E242" i="6" l="1"/>
  <c r="F242" i="6"/>
  <c r="C243" i="6" l="1"/>
  <c r="E243" i="6" s="1"/>
  <c r="D243" i="6"/>
  <c r="F243" i="6" l="1"/>
  <c r="D244" i="6" l="1"/>
  <c r="C244" i="6"/>
  <c r="E244" i="6" s="1"/>
  <c r="F244" i="6"/>
  <c r="D245" i="6" l="1"/>
  <c r="C245" i="6"/>
  <c r="E245" i="6" s="1"/>
  <c r="F245" i="6" l="1"/>
  <c r="D246" i="6" l="1"/>
  <c r="C246" i="6"/>
  <c r="F246" i="6"/>
  <c r="D247" i="6" l="1"/>
  <c r="C247" i="6"/>
  <c r="E246" i="6"/>
  <c r="E247" i="6" l="1"/>
  <c r="F247" i="6"/>
  <c r="D248" i="6" l="1"/>
  <c r="C248" i="6"/>
  <c r="E248" i="6" s="1"/>
  <c r="F248" i="6" l="1"/>
  <c r="D249" i="6" l="1"/>
  <c r="C249" i="6"/>
  <c r="F249" i="6"/>
  <c r="C250" i="6" l="1"/>
  <c r="D250" i="6"/>
  <c r="E249" i="6"/>
  <c r="E250" i="6" l="1"/>
  <c r="F250" i="6"/>
  <c r="D251" i="6" l="1"/>
  <c r="D8" i="6" s="1"/>
  <c r="C251" i="6"/>
  <c r="E251" i="6" s="1"/>
  <c r="D9" i="6" s="1"/>
  <c r="B67" i="1" l="1"/>
  <c r="B67" i="28"/>
  <c r="F251" i="6"/>
  <c r="C67" i="1" l="1"/>
  <c r="B66" i="1"/>
  <c r="C67" i="28"/>
  <c r="B66" i="28"/>
  <c r="D252" i="6"/>
  <c r="C252" i="6"/>
  <c r="E252" i="6" s="1"/>
  <c r="F252" i="6"/>
  <c r="D10" i="18" l="1"/>
  <c r="E10" i="18" s="1"/>
  <c r="B40" i="26"/>
  <c r="B39" i="26" s="1"/>
  <c r="J3" i="14"/>
  <c r="C10" i="29"/>
  <c r="C66" i="1"/>
  <c r="B39" i="28"/>
  <c r="C40" i="26"/>
  <c r="D10" i="29"/>
  <c r="C66" i="28"/>
  <c r="F253" i="6"/>
  <c r="C253" i="6"/>
  <c r="D253" i="6"/>
  <c r="C39" i="28" l="1"/>
  <c r="B72" i="28"/>
  <c r="D40" i="26"/>
  <c r="C39" i="26"/>
  <c r="E10" i="29"/>
  <c r="D254" i="6"/>
  <c r="C254" i="6"/>
  <c r="F254" i="6" s="1"/>
  <c r="E253" i="6"/>
  <c r="B74" i="28" l="1"/>
  <c r="C72" i="28"/>
  <c r="B73" i="28"/>
  <c r="C43" i="26"/>
  <c r="C44" i="26" s="1"/>
  <c r="C45" i="26" s="1"/>
  <c r="C46" i="26" s="1"/>
  <c r="D39" i="26"/>
  <c r="C27" i="26"/>
  <c r="C255" i="6"/>
  <c r="D255" i="6"/>
  <c r="E254" i="6"/>
  <c r="C4" i="27" l="1"/>
  <c r="B75" i="28"/>
  <c r="D11" i="29"/>
  <c r="D12" i="29" s="1"/>
  <c r="D13" i="29" s="1"/>
  <c r="C73" i="28"/>
  <c r="C74" i="28" s="1"/>
  <c r="C75" i="28" s="1"/>
  <c r="E255" i="6"/>
  <c r="F255" i="6"/>
  <c r="C256" i="6" l="1"/>
  <c r="D256" i="6"/>
  <c r="F256" i="6" l="1"/>
  <c r="E256" i="6"/>
  <c r="D257" i="6" l="1"/>
  <c r="C257" i="6"/>
  <c r="E257" i="6" s="1"/>
  <c r="F257" i="6" l="1"/>
  <c r="C258" i="6" l="1"/>
  <c r="D258" i="6"/>
  <c r="F258" i="6"/>
  <c r="C259" i="6" l="1"/>
  <c r="E259" i="6" s="1"/>
  <c r="D259" i="6"/>
  <c r="E258" i="6"/>
  <c r="F259" i="6" l="1"/>
  <c r="D260" i="6" l="1"/>
  <c r="C260" i="6"/>
  <c r="E260" i="6" s="1"/>
  <c r="F260" i="6" l="1"/>
  <c r="C261" i="6" l="1"/>
  <c r="E261" i="6" s="1"/>
  <c r="D261" i="6"/>
  <c r="F261" i="6"/>
  <c r="D262" i="6" l="1"/>
  <c r="F262" i="6"/>
  <c r="C262" i="6"/>
  <c r="E262" i="6" s="1"/>
  <c r="C263" i="6" l="1"/>
  <c r="D263" i="6"/>
  <c r="F263" i="6" l="1"/>
  <c r="E263" i="6"/>
  <c r="C264" i="6" l="1"/>
  <c r="D264" i="6"/>
  <c r="E264" i="6" l="1"/>
  <c r="F264" i="6"/>
  <c r="C265" i="6" l="1"/>
  <c r="D265" i="6"/>
  <c r="E265" i="6" l="1"/>
  <c r="F265" i="6"/>
  <c r="C266" i="6" l="1"/>
  <c r="D266" i="6"/>
  <c r="F266" i="6" l="1"/>
  <c r="E266" i="6"/>
  <c r="D267" i="6" l="1"/>
  <c r="C267" i="6"/>
  <c r="E267" i="6" s="1"/>
  <c r="F267" i="6" l="1"/>
  <c r="C268" i="6" l="1"/>
  <c r="D268" i="6"/>
  <c r="E268" i="6" l="1"/>
  <c r="F268" i="6"/>
  <c r="C269" i="6" l="1"/>
  <c r="E269" i="6" s="1"/>
  <c r="D269" i="6"/>
  <c r="F269" i="6" l="1"/>
  <c r="D270" i="6" l="1"/>
  <c r="C270" i="6"/>
  <c r="F270" i="6"/>
  <c r="D271" i="6" l="1"/>
  <c r="C271" i="6"/>
  <c r="E270" i="6"/>
  <c r="E271" i="6" l="1"/>
  <c r="F271" i="6"/>
  <c r="C272" i="6" l="1"/>
  <c r="D272" i="6"/>
  <c r="F272" i="6" l="1"/>
  <c r="E272" i="6"/>
  <c r="D273" i="6" l="1"/>
  <c r="C273" i="6"/>
  <c r="F273" i="6"/>
  <c r="F274" i="6" l="1"/>
  <c r="D274" i="6"/>
  <c r="C274" i="6"/>
  <c r="E274" i="6" s="1"/>
  <c r="E273" i="6"/>
  <c r="C275" i="6" l="1"/>
  <c r="D275" i="6"/>
  <c r="F275" i="6" l="1"/>
  <c r="E275" i="6"/>
  <c r="C276" i="6" l="1"/>
  <c r="D276" i="6"/>
  <c r="E276" i="6" l="1"/>
  <c r="F276" i="6"/>
  <c r="D277" i="6" l="1"/>
  <c r="C277" i="6"/>
  <c r="E277" i="6" s="1"/>
  <c r="F277" i="6" l="1"/>
  <c r="C278" i="6" l="1"/>
  <c r="F278" i="6"/>
  <c r="D278" i="6"/>
  <c r="C279" i="6" l="1"/>
  <c r="D279" i="6"/>
  <c r="F279" i="6"/>
  <c r="E278" i="6"/>
  <c r="C280" i="6" l="1"/>
  <c r="D280" i="6"/>
  <c r="E279" i="6"/>
  <c r="F280" i="6" l="1"/>
  <c r="E280" i="6"/>
  <c r="D281" i="6" l="1"/>
  <c r="C281" i="6"/>
  <c r="E281" i="6" s="1"/>
  <c r="F281" i="6"/>
  <c r="F282" i="6" l="1"/>
  <c r="C282" i="6"/>
  <c r="D282" i="6"/>
  <c r="F283" i="6" l="1"/>
  <c r="D283" i="6"/>
  <c r="C283" i="6"/>
  <c r="E283" i="6" s="1"/>
  <c r="E282" i="6"/>
  <c r="F284" i="6" l="1"/>
  <c r="D284" i="6"/>
  <c r="C284" i="6"/>
  <c r="E284" i="6" s="1"/>
  <c r="D285" i="6" l="1"/>
  <c r="C285" i="6"/>
  <c r="E285" i="6" s="1"/>
  <c r="F285" i="6" l="1"/>
  <c r="D286" i="6" l="1"/>
  <c r="C286" i="6"/>
  <c r="E286" i="6" s="1"/>
  <c r="F286" i="6" l="1"/>
  <c r="D287" i="6" l="1"/>
  <c r="C287" i="6"/>
  <c r="E287" i="6" l="1"/>
  <c r="F287" i="6"/>
  <c r="C288" i="6" l="1"/>
  <c r="D288" i="6"/>
  <c r="E288" i="6" l="1"/>
  <c r="F288" i="6"/>
  <c r="C289" i="6" l="1"/>
  <c r="E289" i="6" s="1"/>
  <c r="D289" i="6"/>
  <c r="F289" i="6" l="1"/>
  <c r="D290" i="6" l="1"/>
  <c r="C290" i="6"/>
  <c r="E290" i="6" s="1"/>
  <c r="F290" i="6"/>
  <c r="D291" i="6" l="1"/>
  <c r="C291" i="6"/>
  <c r="E291" i="6" s="1"/>
  <c r="F291" i="6" l="1"/>
  <c r="D292" i="6" l="1"/>
  <c r="C292" i="6"/>
  <c r="E292" i="6" s="1"/>
  <c r="F292" i="6"/>
  <c r="D293" i="6" l="1"/>
  <c r="C293" i="6"/>
  <c r="E293" i="6" l="1"/>
  <c r="F293" i="6"/>
  <c r="D294" i="6" l="1"/>
  <c r="C294" i="6"/>
  <c r="E294" i="6" l="1"/>
  <c r="F294" i="6"/>
  <c r="F295" i="6" l="1"/>
  <c r="C295" i="6"/>
  <c r="D295" i="6"/>
  <c r="C296" i="6" l="1"/>
  <c r="D296" i="6"/>
  <c r="E295" i="6"/>
  <c r="F296" i="6" l="1"/>
  <c r="E296" i="6"/>
  <c r="D297" i="6" l="1"/>
  <c r="C297" i="6"/>
  <c r="E297" i="6" s="1"/>
  <c r="F297" i="6" l="1"/>
  <c r="D298" i="6" l="1"/>
  <c r="C298" i="6"/>
  <c r="E298" i="6" s="1"/>
  <c r="F298" i="6"/>
  <c r="C299" i="6" l="1"/>
  <c r="E299" i="6" s="1"/>
  <c r="D299" i="6"/>
  <c r="F299" i="6" l="1"/>
  <c r="C300" i="6" l="1"/>
  <c r="D300" i="6"/>
  <c r="E300" i="6" l="1"/>
  <c r="F300" i="6"/>
  <c r="C301" i="6" l="1"/>
  <c r="D301" i="6"/>
  <c r="E301" i="6" l="1"/>
  <c r="F301" i="6"/>
  <c r="C302" i="6" l="1"/>
  <c r="E302" i="6" s="1"/>
  <c r="D302" i="6"/>
  <c r="F302" i="6" l="1"/>
  <c r="D303" i="6" l="1"/>
  <c r="C303" i="6"/>
  <c r="E303" i="6" s="1"/>
  <c r="F303" i="6"/>
  <c r="C304" i="6" l="1"/>
  <c r="D304" i="6"/>
  <c r="F304" i="6" l="1"/>
  <c r="E304" i="6"/>
  <c r="D305" i="6" l="1"/>
  <c r="C305" i="6"/>
  <c r="E305" i="6" s="1"/>
  <c r="F305" i="6"/>
  <c r="C306" i="6" l="1"/>
  <c r="D306" i="6"/>
  <c r="D14" i="3" a="1"/>
  <c r="D14" i="3" s="1"/>
  <c r="K7" i="14"/>
  <c r="D27" i="19" s="1" a="1"/>
  <c r="D27" i="19" s="1"/>
  <c r="F306" i="6" l="1"/>
  <c r="E306" i="6"/>
  <c r="D25" i="3" a="1"/>
  <c r="D25" i="3" s="1"/>
  <c r="K2" i="14"/>
  <c r="C14" i="3"/>
  <c r="D14" i="10"/>
  <c r="C307" i="6" l="1"/>
  <c r="D307" i="6"/>
  <c r="C27" i="19"/>
  <c r="D31" i="19"/>
  <c r="C14" i="10"/>
  <c r="D29" i="3"/>
  <c r="D27" i="10"/>
  <c r="C25" i="3"/>
  <c r="E307" i="6" l="1"/>
  <c r="F307" i="6"/>
  <c r="C29" i="3"/>
  <c r="C31" i="19"/>
  <c r="C27" i="10"/>
  <c r="D31" i="10"/>
  <c r="C31" i="10" s="1"/>
  <c r="D308" i="6" l="1"/>
  <c r="C308" i="6"/>
  <c r="E308" i="6" s="1"/>
  <c r="AP19" i="17"/>
  <c r="AV20" i="17"/>
  <c r="BB21" i="17"/>
  <c r="BB37" i="17" s="1"/>
  <c r="AJ18" i="17"/>
  <c r="AD17" i="17"/>
  <c r="AT21" i="17"/>
  <c r="AH19" i="17"/>
  <c r="AN20" i="17"/>
  <c r="AB18" i="17"/>
  <c r="V17" i="17"/>
  <c r="AU21" i="17"/>
  <c r="AI19" i="17"/>
  <c r="AO20" i="17"/>
  <c r="AC18" i="17"/>
  <c r="W17" i="17"/>
  <c r="AU20" i="17"/>
  <c r="BA21" i="17"/>
  <c r="BA37" i="17" s="1"/>
  <c r="AO19" i="17"/>
  <c r="AI18" i="17"/>
  <c r="AC17" i="17"/>
  <c r="AJ19" i="17"/>
  <c r="AP20" i="17"/>
  <c r="AV21" i="17"/>
  <c r="AD18" i="17"/>
  <c r="X17" i="17"/>
  <c r="AR21" i="17"/>
  <c r="AF19" i="17"/>
  <c r="AL20" i="17"/>
  <c r="Z18" i="17"/>
  <c r="T17" i="17"/>
  <c r="AK19" i="17"/>
  <c r="AQ20" i="17"/>
  <c r="AW21" i="17"/>
  <c r="AE18" i="17"/>
  <c r="Y17" i="17"/>
  <c r="AY21" i="17"/>
  <c r="AM19" i="17"/>
  <c r="AS20" i="17"/>
  <c r="AG18" i="17"/>
  <c r="AA17" i="17"/>
  <c r="Y10" i="3"/>
  <c r="AX20" i="17"/>
  <c r="BD21" i="17"/>
  <c r="BD37" i="17" s="1"/>
  <c r="AR19" i="17"/>
  <c r="AF17" i="17"/>
  <c r="AL18" i="17"/>
  <c r="AM20" i="17"/>
  <c r="AS21" i="17"/>
  <c r="AG19" i="17"/>
  <c r="AA18" i="17"/>
  <c r="U17" i="17"/>
  <c r="AP21" i="17"/>
  <c r="AJ20" i="17"/>
  <c r="AD19" i="17"/>
  <c r="R17" i="17"/>
  <c r="X18" i="17"/>
  <c r="AQ21" i="17"/>
  <c r="AK20" i="17"/>
  <c r="AE19" i="17"/>
  <c r="S17" i="17"/>
  <c r="Y18" i="17"/>
  <c r="V9" i="19"/>
  <c r="N9" i="19"/>
  <c r="O9" i="19"/>
  <c r="U9" i="19"/>
  <c r="P9" i="19"/>
  <c r="L9" i="19"/>
  <c r="Q9" i="19"/>
  <c r="S9" i="19"/>
  <c r="X9" i="19"/>
  <c r="M9" i="19"/>
  <c r="J9" i="19"/>
  <c r="K9" i="19"/>
  <c r="F308" i="6" l="1"/>
  <c r="AU37" i="17"/>
  <c r="AZ21" i="17"/>
  <c r="AZ37" i="17" s="1"/>
  <c r="AN19" i="17"/>
  <c r="AN37" i="17" s="1"/>
  <c r="AT20" i="17"/>
  <c r="AT37" i="17" s="1"/>
  <c r="AH18" i="17"/>
  <c r="AH37" i="17" s="1"/>
  <c r="AB17" i="17"/>
  <c r="AB37" i="17" s="1"/>
  <c r="BC21" i="17"/>
  <c r="BC37" i="17" s="1"/>
  <c r="AQ19" i="17"/>
  <c r="AQ37" i="17" s="1"/>
  <c r="AW20" i="17"/>
  <c r="AW37" i="17" s="1"/>
  <c r="AE17" i="17"/>
  <c r="AE37" i="17" s="1"/>
  <c r="AK18" i="17"/>
  <c r="AK37" i="17" s="1"/>
  <c r="AI20" i="17"/>
  <c r="AI37" i="17" s="1"/>
  <c r="AO21" i="17"/>
  <c r="AO37" i="17" s="1"/>
  <c r="AC19" i="17"/>
  <c r="AC37" i="17" s="1"/>
  <c r="W18" i="17"/>
  <c r="Q17" i="17"/>
  <c r="AX21" i="17"/>
  <c r="AX37" i="17" s="1"/>
  <c r="AR20" i="17"/>
  <c r="AR37" i="17" s="1"/>
  <c r="AL19" i="17"/>
  <c r="AL37" i="17" s="1"/>
  <c r="AF18" i="17"/>
  <c r="AF37" i="17" s="1"/>
  <c r="Z17" i="17"/>
  <c r="Z37" i="17" s="1"/>
  <c r="AA37" i="17"/>
  <c r="Z10" i="3"/>
  <c r="Z9" i="3" s="1"/>
  <c r="AS19" i="17"/>
  <c r="AS37" i="17" s="1"/>
  <c r="AY20" i="17"/>
  <c r="AY37" i="17" s="1"/>
  <c r="BE21" i="17"/>
  <c r="BE37" i="17" s="1"/>
  <c r="AM18" i="17"/>
  <c r="AM37" i="17" s="1"/>
  <c r="AG17" i="17"/>
  <c r="AG37" i="17" s="1"/>
  <c r="AD37" i="17"/>
  <c r="AJ37" i="17"/>
  <c r="AV37" i="17"/>
  <c r="AP37" i="17"/>
  <c r="T9" i="19"/>
  <c r="W9" i="19"/>
  <c r="R9" i="19"/>
  <c r="Y9" i="19"/>
  <c r="Y9" i="3"/>
  <c r="D309" i="6" l="1"/>
  <c r="C309" i="6"/>
  <c r="B17" i="17"/>
  <c r="B18" i="17"/>
  <c r="B19" i="17"/>
  <c r="B21" i="17"/>
  <c r="B20" i="17"/>
  <c r="E309" i="6" l="1"/>
  <c r="F309" i="6"/>
  <c r="I9" i="19"/>
  <c r="C10" i="19"/>
  <c r="D310" i="6" l="1"/>
  <c r="C310" i="6"/>
  <c r="E310" i="6" s="1"/>
  <c r="C9" i="19"/>
  <c r="F310" i="6" l="1"/>
  <c r="D4" i="30"/>
  <c r="D311" i="6" l="1"/>
  <c r="C311" i="6"/>
  <c r="D5" i="30"/>
  <c r="E311" i="6" l="1"/>
  <c r="F311" i="6"/>
  <c r="D6" i="30"/>
  <c r="C312" i="6" l="1"/>
  <c r="E312" i="6" s="1"/>
  <c r="D312" i="6"/>
  <c r="D7" i="30"/>
  <c r="F312" i="6" l="1"/>
  <c r="B19" i="1"/>
  <c r="B36" i="1" s="1"/>
  <c r="B14" i="26"/>
  <c r="D313" i="6" l="1"/>
  <c r="C313" i="6"/>
  <c r="E313" i="6" s="1"/>
  <c r="F313" i="6"/>
  <c r="B24" i="26"/>
  <c r="D14" i="26"/>
  <c r="C19" i="1"/>
  <c r="D314" i="6" l="1"/>
  <c r="C314" i="6"/>
  <c r="E314" i="6" s="1"/>
  <c r="B34" i="1"/>
  <c r="B3" i="36" s="1"/>
  <c r="D3" i="36" s="1"/>
  <c r="C36" i="1"/>
  <c r="D24" i="26"/>
  <c r="B22" i="26"/>
  <c r="F314" i="6" l="1"/>
  <c r="D22" i="26"/>
  <c r="B12" i="26"/>
  <c r="D12" i="26" s="1"/>
  <c r="C5" i="5"/>
  <c r="D5" i="8"/>
  <c r="D6" i="8" s="1"/>
  <c r="D5" i="25"/>
  <c r="D6" i="25" s="1"/>
  <c r="C3" i="29"/>
  <c r="E3" i="29" s="1"/>
  <c r="F5" i="4"/>
  <c r="F2" i="4" s="1"/>
  <c r="C15" i="4" s="1"/>
  <c r="B61" i="1"/>
  <c r="B17" i="1"/>
  <c r="C6" i="5"/>
  <c r="B58" i="1"/>
  <c r="C34" i="1"/>
  <c r="C17" i="1" s="1"/>
  <c r="D315" i="6" l="1"/>
  <c r="C315" i="6"/>
  <c r="X15" i="8"/>
  <c r="Z15" i="8"/>
  <c r="AB15" i="8"/>
  <c r="Y15" i="8"/>
  <c r="AA15" i="8"/>
  <c r="C7" i="5"/>
  <c r="S15" i="8"/>
  <c r="P15" i="8"/>
  <c r="T15" i="8"/>
  <c r="J15" i="8"/>
  <c r="U15" i="8"/>
  <c r="K15" i="8"/>
  <c r="V15" i="8"/>
  <c r="F15" i="8"/>
  <c r="E15" i="8"/>
  <c r="H15" i="8"/>
  <c r="N15" i="8"/>
  <c r="W15" i="8"/>
  <c r="O15" i="8"/>
  <c r="L15" i="8"/>
  <c r="R15" i="8"/>
  <c r="Q15" i="8"/>
  <c r="G15" i="8"/>
  <c r="M15" i="8"/>
  <c r="I15" i="8"/>
  <c r="C58" i="1"/>
  <c r="B52" i="1"/>
  <c r="D8" i="18"/>
  <c r="E8" i="18" s="1"/>
  <c r="B37" i="26"/>
  <c r="C8" i="29"/>
  <c r="E8" i="29" s="1"/>
  <c r="C7" i="29"/>
  <c r="E7" i="29" s="1"/>
  <c r="D7" i="18"/>
  <c r="E7" i="18" s="1"/>
  <c r="C61" i="1"/>
  <c r="C3" i="5"/>
  <c r="C2" i="5" s="1"/>
  <c r="C4" i="5" s="1"/>
  <c r="B38" i="26"/>
  <c r="D38" i="26" s="1"/>
  <c r="C24" i="4"/>
  <c r="C14" i="4"/>
  <c r="C23" i="4" s="1"/>
  <c r="D23" i="4" s="1"/>
  <c r="C17" i="4"/>
  <c r="C26" i="4" s="1"/>
  <c r="C16" i="4"/>
  <c r="C25" i="4" s="1"/>
  <c r="C13" i="4"/>
  <c r="C22" i="4" s="1"/>
  <c r="T23" i="25"/>
  <c r="AU23" i="25"/>
  <c r="J23" i="25"/>
  <c r="AP23" i="25"/>
  <c r="BI23" i="25"/>
  <c r="BU23" i="25"/>
  <c r="BQ23" i="25"/>
  <c r="BN23" i="25"/>
  <c r="S23" i="25"/>
  <c r="CD23" i="25"/>
  <c r="AK23" i="25"/>
  <c r="BO23" i="25"/>
  <c r="AF23" i="25"/>
  <c r="BZ23" i="25"/>
  <c r="BJ23" i="25"/>
  <c r="BF23" i="25"/>
  <c r="CF23" i="25"/>
  <c r="H23" i="25"/>
  <c r="BY23" i="25"/>
  <c r="AX23" i="25"/>
  <c r="AV23" i="25"/>
  <c r="AT23" i="25"/>
  <c r="BW23" i="25"/>
  <c r="BG23" i="25"/>
  <c r="Q23" i="25"/>
  <c r="W23" i="25"/>
  <c r="CB23" i="25"/>
  <c r="BB23" i="25"/>
  <c r="CH23" i="25"/>
  <c r="AZ23" i="25"/>
  <c r="AQ23" i="25"/>
  <c r="CC23" i="25"/>
  <c r="BX23" i="25"/>
  <c r="AD23" i="25"/>
  <c r="CG23" i="25"/>
  <c r="CE23" i="25"/>
  <c r="BV23" i="25"/>
  <c r="BS23" i="25"/>
  <c r="G23" i="25"/>
  <c r="BT23" i="25"/>
  <c r="BC23" i="25"/>
  <c r="U23" i="25"/>
  <c r="BL23" i="25"/>
  <c r="I23" i="25"/>
  <c r="L23" i="25"/>
  <c r="CJ23" i="25"/>
  <c r="AA23" i="25"/>
  <c r="K23" i="25"/>
  <c r="AN23" i="25"/>
  <c r="BK23" i="25"/>
  <c r="Y23" i="25"/>
  <c r="BM23" i="25"/>
  <c r="F23" i="25"/>
  <c r="AB23" i="25"/>
  <c r="X23" i="25"/>
  <c r="AW23" i="25"/>
  <c r="AG23" i="25"/>
  <c r="BE23" i="25"/>
  <c r="V23" i="25"/>
  <c r="BH23" i="25"/>
  <c r="CI23" i="25"/>
  <c r="AM23" i="25"/>
  <c r="AR23" i="25"/>
  <c r="AS23" i="25"/>
  <c r="BP23" i="25"/>
  <c r="BA23" i="25"/>
  <c r="M23" i="25"/>
  <c r="AI23" i="25"/>
  <c r="O23" i="25"/>
  <c r="AO23" i="25"/>
  <c r="AY23" i="25"/>
  <c r="Z23" i="25"/>
  <c r="BR23" i="25"/>
  <c r="AL23" i="25"/>
  <c r="R23" i="25"/>
  <c r="N23" i="25"/>
  <c r="E23" i="25"/>
  <c r="AC23" i="25"/>
  <c r="AJ23" i="25"/>
  <c r="CA23" i="25"/>
  <c r="AE23" i="25"/>
  <c r="BD23" i="25"/>
  <c r="P23" i="25"/>
  <c r="AH23" i="25"/>
  <c r="E315" i="6" l="1"/>
  <c r="F315" i="6"/>
  <c r="C8" i="5"/>
  <c r="B71" i="1" s="1"/>
  <c r="C71" i="1" s="1"/>
  <c r="Y8" i="3"/>
  <c r="Y7" i="3" s="1"/>
  <c r="Y11" i="3" s="1"/>
  <c r="Y15" i="3" s="1"/>
  <c r="Y21" i="3" s="1"/>
  <c r="Y8" i="19"/>
  <c r="Y7" i="19" s="1"/>
  <c r="Y11" i="19" s="1"/>
  <c r="Y15" i="19" s="1"/>
  <c r="Y22" i="19" s="1"/>
  <c r="Z36" i="8"/>
  <c r="AD8" i="3"/>
  <c r="AD7" i="3" s="1"/>
  <c r="AD11" i="3" s="1"/>
  <c r="AD15" i="3" s="1"/>
  <c r="AD21" i="3" s="1"/>
  <c r="AD8" i="19"/>
  <c r="AD7" i="19" s="1"/>
  <c r="AD11" i="19" s="1"/>
  <c r="AE36" i="8"/>
  <c r="AC8" i="3"/>
  <c r="AC7" i="3" s="1"/>
  <c r="AC11" i="3" s="1"/>
  <c r="AC15" i="3" s="1"/>
  <c r="AC21" i="3" s="1"/>
  <c r="AC8" i="19"/>
  <c r="AC7" i="19" s="1"/>
  <c r="AC11" i="19" s="1"/>
  <c r="AC15" i="19" s="1"/>
  <c r="AC22" i="19" s="1"/>
  <c r="AD36" i="8"/>
  <c r="AF8" i="19"/>
  <c r="AF7" i="19" s="1"/>
  <c r="AF11" i="19" s="1"/>
  <c r="AF15" i="19" s="1"/>
  <c r="AF22" i="19" s="1"/>
  <c r="AF8" i="3"/>
  <c r="AF7" i="3" s="1"/>
  <c r="AF11" i="3" s="1"/>
  <c r="AF15" i="3" s="1"/>
  <c r="AF21" i="3" s="1"/>
  <c r="AG36" i="8"/>
  <c r="AB8" i="19"/>
  <c r="AB7" i="19" s="1"/>
  <c r="AB11" i="19" s="1"/>
  <c r="AB15" i="19" s="1"/>
  <c r="AB22" i="19" s="1"/>
  <c r="AB8" i="3"/>
  <c r="AB7" i="3" s="1"/>
  <c r="AB11" i="3" s="1"/>
  <c r="AB15" i="3" s="1"/>
  <c r="AB21" i="3" s="1"/>
  <c r="AC36" i="8"/>
  <c r="AA8" i="3"/>
  <c r="AA7" i="3" s="1"/>
  <c r="AA11" i="3" s="1"/>
  <c r="AA15" i="3" s="1"/>
  <c r="AA21" i="3" s="1"/>
  <c r="AA8" i="19"/>
  <c r="AA7" i="19" s="1"/>
  <c r="AA11" i="19" s="1"/>
  <c r="AB36" i="8"/>
  <c r="AE8" i="3"/>
  <c r="AE7" i="3" s="1"/>
  <c r="AE11" i="3" s="1"/>
  <c r="AE15" i="3" s="1"/>
  <c r="AE21" i="3" s="1"/>
  <c r="AE8" i="19"/>
  <c r="AE7" i="19" s="1"/>
  <c r="AE11" i="19" s="1"/>
  <c r="AE15" i="19" s="1"/>
  <c r="AE22" i="19" s="1"/>
  <c r="AF36" i="8"/>
  <c r="Z8" i="19"/>
  <c r="Z7" i="19" s="1"/>
  <c r="Z11" i="19" s="1"/>
  <c r="Z15" i="19" s="1"/>
  <c r="Z22" i="19" s="1"/>
  <c r="Z8" i="3"/>
  <c r="Z7" i="3" s="1"/>
  <c r="Z11" i="3" s="1"/>
  <c r="AA36" i="8"/>
  <c r="X8" i="3"/>
  <c r="X7" i="3" s="1"/>
  <c r="X8" i="19"/>
  <c r="X7" i="19" s="1"/>
  <c r="X11" i="19" s="1"/>
  <c r="Y36" i="8"/>
  <c r="D26" i="4"/>
  <c r="D25" i="4"/>
  <c r="D22" i="4"/>
  <c r="D24" i="4"/>
  <c r="AP24" i="25"/>
  <c r="AV25" i="25"/>
  <c r="BT29" i="25"/>
  <c r="BN28" i="25"/>
  <c r="BB26" i="25"/>
  <c r="BH27" i="25"/>
  <c r="U25" i="25"/>
  <c r="I44" i="25"/>
  <c r="AM28" i="25"/>
  <c r="AS29" i="25"/>
  <c r="O24" i="25"/>
  <c r="O44" i="25" s="1"/>
  <c r="AG27" i="25"/>
  <c r="AA26" i="25"/>
  <c r="X24" i="25"/>
  <c r="AJ26" i="25"/>
  <c r="AV28" i="25"/>
  <c r="BB29" i="25"/>
  <c r="AD25" i="25"/>
  <c r="AP27" i="25"/>
  <c r="AH25" i="25"/>
  <c r="AZ28" i="25"/>
  <c r="AN26" i="25"/>
  <c r="AB24" i="25"/>
  <c r="BF29" i="25"/>
  <c r="AT27" i="25"/>
  <c r="BR24" i="25"/>
  <c r="CD26" i="25"/>
  <c r="CV29" i="25"/>
  <c r="CJ27" i="25"/>
  <c r="CP28" i="25"/>
  <c r="BX25" i="25"/>
  <c r="CT26" i="25"/>
  <c r="DF28" i="25"/>
  <c r="CN25" i="25"/>
  <c r="CH24" i="25"/>
  <c r="DL29" i="25"/>
  <c r="CZ27" i="25"/>
  <c r="BU29" i="25"/>
  <c r="AW25" i="25"/>
  <c r="BI27" i="25"/>
  <c r="AQ24" i="25"/>
  <c r="BC26" i="25"/>
  <c r="BO28" i="25"/>
  <c r="CB29" i="25"/>
  <c r="BP27" i="25"/>
  <c r="BD25" i="25"/>
  <c r="BJ26" i="25"/>
  <c r="BV28" i="25"/>
  <c r="AX24" i="25"/>
  <c r="CR26" i="25"/>
  <c r="CF24" i="25"/>
  <c r="CL25" i="25"/>
  <c r="CX27" i="25"/>
  <c r="DD28" i="25"/>
  <c r="DJ29" i="25"/>
  <c r="T36" i="8"/>
  <c r="S8" i="19"/>
  <c r="S7" i="19" s="1"/>
  <c r="S11" i="19" s="1"/>
  <c r="S15" i="19" s="1"/>
  <c r="S22" i="19" s="1"/>
  <c r="S8" i="3"/>
  <c r="S7" i="3" s="1"/>
  <c r="BU24" i="25"/>
  <c r="CA25" i="25"/>
  <c r="CM27" i="25"/>
  <c r="CG26" i="25"/>
  <c r="CY29" i="25"/>
  <c r="CS28" i="25"/>
  <c r="AY26" i="25"/>
  <c r="AS25" i="25"/>
  <c r="BQ29" i="25"/>
  <c r="AM24" i="25"/>
  <c r="BE27" i="25"/>
  <c r="BK28" i="25"/>
  <c r="K8" i="3"/>
  <c r="K8" i="19"/>
  <c r="K7" i="19" s="1"/>
  <c r="K11" i="19" s="1"/>
  <c r="K15" i="19" s="1"/>
  <c r="K22" i="19" s="1"/>
  <c r="L36" i="8"/>
  <c r="Q8" i="3"/>
  <c r="Q7" i="3" s="1"/>
  <c r="R36" i="8"/>
  <c r="Q8" i="19"/>
  <c r="Q7" i="19" s="1"/>
  <c r="Q11" i="19" s="1"/>
  <c r="Q15" i="19" s="1"/>
  <c r="Q22" i="19" s="1"/>
  <c r="BJ29" i="25"/>
  <c r="AX27" i="25"/>
  <c r="AF24" i="25"/>
  <c r="BD28" i="25"/>
  <c r="AR26" i="25"/>
  <c r="AL25" i="25"/>
  <c r="BU27" i="25"/>
  <c r="CA28" i="25"/>
  <c r="CG29" i="25"/>
  <c r="BI25" i="25"/>
  <c r="BC24" i="25"/>
  <c r="BO26" i="25"/>
  <c r="BZ24" i="25"/>
  <c r="CR27" i="25"/>
  <c r="CX28" i="25"/>
  <c r="DD29" i="25"/>
  <c r="CL26" i="25"/>
  <c r="CF25" i="25"/>
  <c r="BM24" i="25"/>
  <c r="CE27" i="25"/>
  <c r="CK28" i="25"/>
  <c r="BY26" i="25"/>
  <c r="BS25" i="25"/>
  <c r="CQ29" i="25"/>
  <c r="BT24" i="25"/>
  <c r="CF26" i="25"/>
  <c r="BZ25" i="25"/>
  <c r="CX29" i="25"/>
  <c r="CL27" i="25"/>
  <c r="CR28" i="25"/>
  <c r="R8" i="19"/>
  <c r="R7" i="19" s="1"/>
  <c r="R11" i="19" s="1"/>
  <c r="R8" i="3"/>
  <c r="R7" i="3" s="1"/>
  <c r="S36" i="8"/>
  <c r="BR25" i="25"/>
  <c r="BX26" i="25"/>
  <c r="BL24" i="25"/>
  <c r="CD27" i="25"/>
  <c r="CJ28" i="25"/>
  <c r="CP29" i="25"/>
  <c r="CF28" i="25"/>
  <c r="BN25" i="25"/>
  <c r="BH24" i="25"/>
  <c r="CL29" i="25"/>
  <c r="BZ27" i="25"/>
  <c r="BT26" i="25"/>
  <c r="O8" i="19"/>
  <c r="O7" i="19" s="1"/>
  <c r="O11" i="19" s="1"/>
  <c r="P36" i="8"/>
  <c r="O8" i="3"/>
  <c r="O7" i="3" s="1"/>
  <c r="CV26" i="25"/>
  <c r="DB27" i="25"/>
  <c r="CJ24" i="25"/>
  <c r="CP25" i="25"/>
  <c r="DH28" i="25"/>
  <c r="DN29" i="25"/>
  <c r="J8" i="19"/>
  <c r="J7" i="19" s="1"/>
  <c r="J11" i="19" s="1"/>
  <c r="J15" i="19" s="1"/>
  <c r="J22" i="19" s="1"/>
  <c r="K36" i="8"/>
  <c r="J8" i="3"/>
  <c r="J7" i="3" s="1"/>
  <c r="G8" i="19"/>
  <c r="G7" i="19" s="1"/>
  <c r="G11" i="19" s="1"/>
  <c r="G15" i="19" s="1"/>
  <c r="G22" i="19" s="1"/>
  <c r="G8" i="3"/>
  <c r="G7" i="3" s="1"/>
  <c r="H36" i="8"/>
  <c r="BW27" i="25"/>
  <c r="CC28" i="25"/>
  <c r="BK25" i="25"/>
  <c r="BQ26" i="25"/>
  <c r="CI29" i="25"/>
  <c r="BE24" i="25"/>
  <c r="BH29" i="25"/>
  <c r="AP26" i="25"/>
  <c r="AJ25" i="25"/>
  <c r="BB28" i="25"/>
  <c r="AD24" i="25"/>
  <c r="AV27" i="25"/>
  <c r="M24" i="25"/>
  <c r="M44" i="25" s="1"/>
  <c r="S25" i="25"/>
  <c r="AE27" i="25"/>
  <c r="G44" i="25"/>
  <c r="AK28" i="25"/>
  <c r="AQ29" i="25"/>
  <c r="Y26" i="25"/>
  <c r="CO26" i="25"/>
  <c r="DG29" i="25"/>
  <c r="CC24" i="25"/>
  <c r="CU27" i="25"/>
  <c r="DA28" i="25"/>
  <c r="CI25" i="25"/>
  <c r="CU28" i="25"/>
  <c r="CO27" i="25"/>
  <c r="CI26" i="25"/>
  <c r="CC25" i="25"/>
  <c r="DA29" i="25"/>
  <c r="BW24" i="25"/>
  <c r="AY28" i="25"/>
  <c r="BE29" i="25"/>
  <c r="AA24" i="25"/>
  <c r="AM26" i="25"/>
  <c r="AG25" i="25"/>
  <c r="AS27" i="25"/>
  <c r="D8" i="3"/>
  <c r="E36" i="8"/>
  <c r="D8" i="19"/>
  <c r="BG26" i="25"/>
  <c r="BA25" i="25"/>
  <c r="BM27" i="25"/>
  <c r="BY29" i="25"/>
  <c r="AU24" i="25"/>
  <c r="BS28" i="25"/>
  <c r="AN25" i="25"/>
  <c r="BL29" i="25"/>
  <c r="BF28" i="25"/>
  <c r="AT26" i="25"/>
  <c r="AH24" i="25"/>
  <c r="AZ27" i="25"/>
  <c r="CE25" i="25"/>
  <c r="CW28" i="25"/>
  <c r="DC29" i="25"/>
  <c r="BY24" i="25"/>
  <c r="CQ27" i="25"/>
  <c r="CK26" i="25"/>
  <c r="BR27" i="25"/>
  <c r="AZ24" i="25"/>
  <c r="CD29" i="25"/>
  <c r="BF25" i="25"/>
  <c r="BL26" i="25"/>
  <c r="BX28" i="25"/>
  <c r="CG25" i="25"/>
  <c r="CA24" i="25"/>
  <c r="CS27" i="25"/>
  <c r="CY28" i="25"/>
  <c r="DE29" i="25"/>
  <c r="CM26" i="25"/>
  <c r="CV27" i="25"/>
  <c r="CJ25" i="25"/>
  <c r="CD24" i="25"/>
  <c r="DH29" i="25"/>
  <c r="CP26" i="25"/>
  <c r="DB28" i="25"/>
  <c r="AG24" i="25"/>
  <c r="BK29" i="25"/>
  <c r="AS26" i="25"/>
  <c r="AM25" i="25"/>
  <c r="AY27" i="25"/>
  <c r="BE28" i="25"/>
  <c r="R24" i="25"/>
  <c r="AP28" i="25"/>
  <c r="AJ27" i="25"/>
  <c r="AD26" i="25"/>
  <c r="X25" i="25"/>
  <c r="AV29" i="25"/>
  <c r="BN24" i="25"/>
  <c r="CF27" i="25"/>
  <c r="CL28" i="25"/>
  <c r="BZ26" i="25"/>
  <c r="BT25" i="25"/>
  <c r="CR29" i="25"/>
  <c r="V36" i="8"/>
  <c r="U8" i="3"/>
  <c r="U7" i="3" s="1"/>
  <c r="U8" i="19"/>
  <c r="U7" i="19" s="1"/>
  <c r="U11" i="19" s="1"/>
  <c r="DB29" i="25"/>
  <c r="CJ26" i="25"/>
  <c r="CD25" i="25"/>
  <c r="CV28" i="25"/>
  <c r="BX24" i="25"/>
  <c r="CP27" i="25"/>
  <c r="CG28" i="25"/>
  <c r="BI24" i="25"/>
  <c r="CA27" i="25"/>
  <c r="CM29" i="25"/>
  <c r="BU26" i="25"/>
  <c r="BO25" i="25"/>
  <c r="AQ27" i="25"/>
  <c r="AW28" i="25"/>
  <c r="Y24" i="25"/>
  <c r="AK26" i="25"/>
  <c r="BC29" i="25"/>
  <c r="AE25" i="25"/>
  <c r="M8" i="3"/>
  <c r="M7" i="3" s="1"/>
  <c r="N36" i="8"/>
  <c r="M8" i="19"/>
  <c r="M7" i="19" s="1"/>
  <c r="M11" i="19" s="1"/>
  <c r="M15" i="19" s="1"/>
  <c r="M22" i="19" s="1"/>
  <c r="N8" i="3"/>
  <c r="N7" i="3" s="1"/>
  <c r="O36" i="8"/>
  <c r="N8" i="19"/>
  <c r="N7" i="19" s="1"/>
  <c r="N11" i="19" s="1"/>
  <c r="N15" i="19" s="1"/>
  <c r="N22" i="19" s="1"/>
  <c r="AM27" i="25"/>
  <c r="AG26" i="25"/>
  <c r="AA25" i="25"/>
  <c r="U24" i="25"/>
  <c r="AS28" i="25"/>
  <c r="AY29" i="25"/>
  <c r="AD27" i="25"/>
  <c r="R25" i="25"/>
  <c r="F44" i="25"/>
  <c r="X26" i="25"/>
  <c r="AJ28" i="25"/>
  <c r="AP29" i="25"/>
  <c r="L24" i="25"/>
  <c r="L44" i="25" s="1"/>
  <c r="CT27" i="25"/>
  <c r="CZ28" i="25"/>
  <c r="CN26" i="25"/>
  <c r="CB24" i="25"/>
  <c r="CH25" i="25"/>
  <c r="DF29" i="25"/>
  <c r="BB24" i="25"/>
  <c r="CF29" i="25"/>
  <c r="BZ28" i="25"/>
  <c r="BH25" i="25"/>
  <c r="BT27" i="25"/>
  <c r="BN26" i="25"/>
  <c r="BU25" i="25"/>
  <c r="BO24" i="25"/>
  <c r="CA26" i="25"/>
  <c r="CS29" i="25"/>
  <c r="CG27" i="25"/>
  <c r="CM28" i="25"/>
  <c r="B34" i="26"/>
  <c r="D34" i="26" s="1"/>
  <c r="D37" i="26"/>
  <c r="AW26" i="25"/>
  <c r="BO29" i="25"/>
  <c r="BC27" i="25"/>
  <c r="AQ25" i="25"/>
  <c r="AK24" i="25"/>
  <c r="BI28" i="25"/>
  <c r="AL26" i="25"/>
  <c r="AX28" i="25"/>
  <c r="Z24" i="25"/>
  <c r="AR27" i="25"/>
  <c r="BD29" i="25"/>
  <c r="AF25" i="25"/>
  <c r="BQ27" i="25"/>
  <c r="CC29" i="25"/>
  <c r="BE25" i="25"/>
  <c r="BW28" i="25"/>
  <c r="AY24" i="25"/>
  <c r="BK26" i="25"/>
  <c r="T8" i="19"/>
  <c r="T7" i="19" s="1"/>
  <c r="T11" i="19" s="1"/>
  <c r="T15" i="19" s="1"/>
  <c r="T22" i="19" s="1"/>
  <c r="T8" i="3"/>
  <c r="T7" i="3" s="1"/>
  <c r="U36" i="8"/>
  <c r="G36" i="8"/>
  <c r="F8" i="19"/>
  <c r="F7" i="19" s="1"/>
  <c r="F11" i="19" s="1"/>
  <c r="F8" i="3"/>
  <c r="F7" i="3" s="1"/>
  <c r="E44" i="25"/>
  <c r="B23" i="25"/>
  <c r="K24" i="25"/>
  <c r="W26" i="25"/>
  <c r="Q25" i="25"/>
  <c r="AC27" i="25"/>
  <c r="AI28" i="25"/>
  <c r="AO29" i="25"/>
  <c r="DG27" i="25"/>
  <c r="DM28" i="25"/>
  <c r="DA26" i="25"/>
  <c r="CU25" i="25"/>
  <c r="CO24" i="25"/>
  <c r="DS29" i="25"/>
  <c r="DS44" i="25" s="1"/>
  <c r="AX26" i="25"/>
  <c r="BJ28" i="25"/>
  <c r="AL24" i="25"/>
  <c r="AR25" i="25"/>
  <c r="BD27" i="25"/>
  <c r="BP29" i="25"/>
  <c r="AU28" i="25"/>
  <c r="AI26" i="25"/>
  <c r="AC25" i="25"/>
  <c r="AO27" i="25"/>
  <c r="BA29" i="25"/>
  <c r="W24" i="25"/>
  <c r="I8" i="19"/>
  <c r="I7" i="19" s="1"/>
  <c r="I11" i="19" s="1"/>
  <c r="I8" i="3"/>
  <c r="I7" i="3" s="1"/>
  <c r="J36" i="8"/>
  <c r="BR29" i="25"/>
  <c r="BL28" i="25"/>
  <c r="AZ26" i="25"/>
  <c r="AN24" i="25"/>
  <c r="BF27" i="25"/>
  <c r="AT25" i="25"/>
  <c r="AU25" i="25"/>
  <c r="BG27" i="25"/>
  <c r="BA26" i="25"/>
  <c r="BM28" i="25"/>
  <c r="BS29" i="25"/>
  <c r="AO24" i="25"/>
  <c r="CK27" i="25"/>
  <c r="BS24" i="25"/>
  <c r="BY25" i="25"/>
  <c r="CW29" i="25"/>
  <c r="CE26" i="25"/>
  <c r="CQ28" i="25"/>
  <c r="CK24" i="25"/>
  <c r="CW26" i="25"/>
  <c r="DC27" i="25"/>
  <c r="DI28" i="25"/>
  <c r="DO29" i="25"/>
  <c r="DO44" i="25" s="1"/>
  <c r="CQ25" i="25"/>
  <c r="BV27" i="25"/>
  <c r="BD24" i="25"/>
  <c r="BJ25" i="25"/>
  <c r="BP26" i="25"/>
  <c r="CB28" i="25"/>
  <c r="CH29" i="25"/>
  <c r="AV24" i="25"/>
  <c r="BB25" i="25"/>
  <c r="BN27" i="25"/>
  <c r="BH26" i="25"/>
  <c r="BT28" i="25"/>
  <c r="BZ29" i="25"/>
  <c r="BR28" i="25"/>
  <c r="AT24" i="25"/>
  <c r="BX29" i="25"/>
  <c r="AZ25" i="25"/>
  <c r="BF26" i="25"/>
  <c r="BL27" i="25"/>
  <c r="CM25" i="25"/>
  <c r="CG24" i="25"/>
  <c r="CY27" i="25"/>
  <c r="CS26" i="25"/>
  <c r="DK29" i="25"/>
  <c r="DE28" i="25"/>
  <c r="AU29" i="25"/>
  <c r="AI27" i="25"/>
  <c r="AC26" i="25"/>
  <c r="AO28" i="25"/>
  <c r="W25" i="25"/>
  <c r="Q24" i="25"/>
  <c r="CU26" i="25"/>
  <c r="CI24" i="25"/>
  <c r="CO25" i="25"/>
  <c r="DM29" i="25"/>
  <c r="DG28" i="25"/>
  <c r="DA27" i="25"/>
  <c r="CT29" i="25"/>
  <c r="BP24" i="25"/>
  <c r="BV25" i="25"/>
  <c r="CH27" i="25"/>
  <c r="CB26" i="25"/>
  <c r="CN28" i="25"/>
  <c r="M36" i="8"/>
  <c r="L8" i="3"/>
  <c r="L7" i="3" s="1"/>
  <c r="L8" i="19"/>
  <c r="L7" i="19" s="1"/>
  <c r="L11" i="19" s="1"/>
  <c r="BM29" i="25"/>
  <c r="BA27" i="25"/>
  <c r="AU26" i="25"/>
  <c r="BG28" i="25"/>
  <c r="AI24" i="25"/>
  <c r="AO25" i="25"/>
  <c r="BK27" i="25"/>
  <c r="BW29" i="25"/>
  <c r="AS24" i="25"/>
  <c r="AY25" i="25"/>
  <c r="BQ28" i="25"/>
  <c r="BE26" i="25"/>
  <c r="CD28" i="25"/>
  <c r="BR26" i="25"/>
  <c r="BF24" i="25"/>
  <c r="BL25" i="25"/>
  <c r="BX27" i="25"/>
  <c r="CJ29" i="25"/>
  <c r="CZ26" i="25"/>
  <c r="DF27" i="25"/>
  <c r="CT25" i="25"/>
  <c r="CN24" i="25"/>
  <c r="DL28" i="25"/>
  <c r="DR29" i="25"/>
  <c r="DR44" i="25" s="1"/>
  <c r="P8" i="19"/>
  <c r="P7" i="19" s="1"/>
  <c r="P11" i="19" s="1"/>
  <c r="P15" i="19" s="1"/>
  <c r="P22" i="19" s="1"/>
  <c r="Q36" i="8"/>
  <c r="P8" i="3"/>
  <c r="P7" i="3" s="1"/>
  <c r="AB25" i="25"/>
  <c r="AN27" i="25"/>
  <c r="V24" i="25"/>
  <c r="AT28" i="25"/>
  <c r="AZ29" i="25"/>
  <c r="AH26" i="25"/>
  <c r="AE26" i="25"/>
  <c r="Y25" i="25"/>
  <c r="S24" i="25"/>
  <c r="AK27" i="25"/>
  <c r="AQ28" i="25"/>
  <c r="AW29" i="25"/>
  <c r="BC28" i="25"/>
  <c r="BI29" i="25"/>
  <c r="AW27" i="25"/>
  <c r="AE24" i="25"/>
  <c r="AQ26" i="25"/>
  <c r="AK25" i="25"/>
  <c r="CY26" i="25"/>
  <c r="DE27" i="25"/>
  <c r="CS25" i="25"/>
  <c r="DQ29" i="25"/>
  <c r="DQ44" i="25" s="1"/>
  <c r="DK28" i="25"/>
  <c r="CM24" i="25"/>
  <c r="DI29" i="25"/>
  <c r="DC28" i="25"/>
  <c r="CQ26" i="25"/>
  <c r="CE24" i="25"/>
  <c r="CW27" i="25"/>
  <c r="CK25" i="25"/>
  <c r="AN28" i="25"/>
  <c r="AT29" i="25"/>
  <c r="P24" i="25"/>
  <c r="P44" i="25" s="1"/>
  <c r="AH27" i="25"/>
  <c r="J44" i="25"/>
  <c r="V25" i="25"/>
  <c r="AB26" i="25"/>
  <c r="B31" i="1"/>
  <c r="D5" i="17"/>
  <c r="D6" i="17" s="1"/>
  <c r="C52" i="1"/>
  <c r="E8" i="19"/>
  <c r="E7" i="19" s="1"/>
  <c r="E11" i="19" s="1"/>
  <c r="E15" i="19" s="1"/>
  <c r="E22" i="19" s="1"/>
  <c r="E8" i="3"/>
  <c r="E7" i="3" s="1"/>
  <c r="F36" i="8"/>
  <c r="CB25" i="25"/>
  <c r="CT28" i="25"/>
  <c r="CH26" i="25"/>
  <c r="BV24" i="25"/>
  <c r="CZ29" i="25"/>
  <c r="CN27" i="25"/>
  <c r="CX26" i="25"/>
  <c r="CL24" i="25"/>
  <c r="DD27" i="25"/>
  <c r="DP29" i="25"/>
  <c r="DP44" i="25" s="1"/>
  <c r="CR25" i="25"/>
  <c r="DJ28" i="25"/>
  <c r="BO27" i="25"/>
  <c r="CA29" i="25"/>
  <c r="AW24" i="25"/>
  <c r="BC25" i="25"/>
  <c r="BU28" i="25"/>
  <c r="BI26" i="25"/>
  <c r="CP24" i="25"/>
  <c r="DT29" i="25"/>
  <c r="DT44" i="25" s="1"/>
  <c r="DB26" i="25"/>
  <c r="CV25" i="25"/>
  <c r="DN28" i="25"/>
  <c r="DH27" i="25"/>
  <c r="AX29" i="25"/>
  <c r="AL27" i="25"/>
  <c r="AR28" i="25"/>
  <c r="T24" i="25"/>
  <c r="AF26" i="25"/>
  <c r="Z25" i="25"/>
  <c r="BP28" i="25"/>
  <c r="BV29" i="25"/>
  <c r="BJ27" i="25"/>
  <c r="AR24" i="25"/>
  <c r="BD26" i="25"/>
  <c r="AX25" i="25"/>
  <c r="CI28" i="25"/>
  <c r="BQ25" i="25"/>
  <c r="CO29" i="25"/>
  <c r="BK24" i="25"/>
  <c r="CC27" i="25"/>
  <c r="BW26" i="25"/>
  <c r="AU27" i="25"/>
  <c r="BG29" i="25"/>
  <c r="AI25" i="25"/>
  <c r="BA28" i="25"/>
  <c r="AO26" i="25"/>
  <c r="AC24" i="25"/>
  <c r="H8" i="3"/>
  <c r="H7" i="3" s="1"/>
  <c r="I36" i="8"/>
  <c r="H8" i="19"/>
  <c r="H7" i="19" s="1"/>
  <c r="H11" i="19" s="1"/>
  <c r="H15" i="19" s="1"/>
  <c r="H22" i="19" s="1"/>
  <c r="CH28" i="25"/>
  <c r="BJ24" i="25"/>
  <c r="CB27" i="25"/>
  <c r="BP25" i="25"/>
  <c r="CN29" i="25"/>
  <c r="BV26" i="25"/>
  <c r="CK29" i="25"/>
  <c r="BG24" i="25"/>
  <c r="CE28" i="25"/>
  <c r="BS26" i="25"/>
  <c r="BM25" i="25"/>
  <c r="BY27" i="25"/>
  <c r="CU29" i="25"/>
  <c r="BQ24" i="25"/>
  <c r="BW25" i="25"/>
  <c r="CI27" i="25"/>
  <c r="CO28" i="25"/>
  <c r="CC26" i="25"/>
  <c r="BB27" i="25"/>
  <c r="AJ24" i="25"/>
  <c r="AP25" i="25"/>
  <c r="BH28" i="25"/>
  <c r="BN29" i="25"/>
  <c r="AV26" i="25"/>
  <c r="T25" i="25"/>
  <c r="AL28" i="25"/>
  <c r="AR29" i="25"/>
  <c r="AF27" i="25"/>
  <c r="N24" i="25"/>
  <c r="N44" i="25" s="1"/>
  <c r="Z26" i="25"/>
  <c r="H44" i="25"/>
  <c r="BS27" i="25"/>
  <c r="BY28" i="25"/>
  <c r="BG25" i="25"/>
  <c r="BA24" i="25"/>
  <c r="BM26" i="25"/>
  <c r="CE29" i="25"/>
  <c r="B71" i="20" l="1"/>
  <c r="B70" i="20" s="1"/>
  <c r="C316" i="6"/>
  <c r="D316" i="6"/>
  <c r="B70" i="1"/>
  <c r="C71" i="20"/>
  <c r="AE37" i="19"/>
  <c r="AE38" i="19" s="1"/>
  <c r="AE39" i="19" s="1"/>
  <c r="AE33" i="19"/>
  <c r="AF37" i="19"/>
  <c r="AF38" i="19" s="1"/>
  <c r="AF39" i="19" s="1"/>
  <c r="AF33" i="19"/>
  <c r="Z37" i="19"/>
  <c r="Z38" i="19" s="1"/>
  <c r="Z39" i="19" s="1"/>
  <c r="Z33" i="19"/>
  <c r="AC37" i="19"/>
  <c r="AC38" i="19" s="1"/>
  <c r="AC39" i="19" s="1"/>
  <c r="AC33" i="19"/>
  <c r="AA35" i="3"/>
  <c r="AA36" i="3" s="1"/>
  <c r="AA37" i="3" s="1"/>
  <c r="AA31" i="3"/>
  <c r="AC35" i="3"/>
  <c r="AC36" i="3" s="1"/>
  <c r="AC37" i="3" s="1"/>
  <c r="AC31" i="3"/>
  <c r="AE31" i="3"/>
  <c r="AE35" i="3"/>
  <c r="AE36" i="3" s="1"/>
  <c r="AE37" i="3" s="1"/>
  <c r="AD35" i="3"/>
  <c r="AD36" i="3" s="1"/>
  <c r="AD37" i="3" s="1"/>
  <c r="AD31" i="3"/>
  <c r="AB35" i="3"/>
  <c r="AB36" i="3" s="1"/>
  <c r="AB37" i="3" s="1"/>
  <c r="AB31" i="3"/>
  <c r="AB37" i="19"/>
  <c r="AB38" i="19" s="1"/>
  <c r="AB39" i="19" s="1"/>
  <c r="AB33" i="19"/>
  <c r="Y33" i="19"/>
  <c r="Y37" i="19"/>
  <c r="Y38" i="19" s="1"/>
  <c r="Y39" i="19" s="1"/>
  <c r="AF35" i="3"/>
  <c r="AF36" i="3" s="1"/>
  <c r="AF37" i="3" s="1"/>
  <c r="AF31" i="3"/>
  <c r="Y31" i="3"/>
  <c r="Y35" i="3"/>
  <c r="Y36" i="3" s="1"/>
  <c r="Y37" i="3" s="1"/>
  <c r="L16" i="17"/>
  <c r="I16" i="17"/>
  <c r="T16" i="17"/>
  <c r="K16" i="17"/>
  <c r="U16" i="17"/>
  <c r="H16" i="17"/>
  <c r="V16" i="17"/>
  <c r="F16" i="17"/>
  <c r="W16" i="17"/>
  <c r="G16" i="17"/>
  <c r="J16" i="17"/>
  <c r="S16" i="17"/>
  <c r="M16" i="17"/>
  <c r="N16" i="17"/>
  <c r="O16" i="17"/>
  <c r="P16" i="17"/>
  <c r="Q16" i="17"/>
  <c r="R16" i="17"/>
  <c r="AC44" i="25"/>
  <c r="AA44" i="25"/>
  <c r="BP44" i="25"/>
  <c r="BH44" i="25"/>
  <c r="BN44" i="25"/>
  <c r="V44" i="25"/>
  <c r="CW44" i="25"/>
  <c r="CI44" i="25"/>
  <c r="CR44" i="25"/>
  <c r="BE44" i="25"/>
  <c r="CD44" i="25"/>
  <c r="T44" i="25"/>
  <c r="BW44" i="25"/>
  <c r="AM44" i="25"/>
  <c r="X44" i="25"/>
  <c r="CF44" i="25"/>
  <c r="CH44" i="25"/>
  <c r="BX44" i="25"/>
  <c r="BZ44" i="25"/>
  <c r="CJ44" i="25"/>
  <c r="CV44" i="25"/>
  <c r="AQ44" i="25"/>
  <c r="CB44" i="25"/>
  <c r="R44" i="25"/>
  <c r="CA44" i="25"/>
  <c r="CC44" i="25"/>
  <c r="BJ44" i="25"/>
  <c r="DB44" i="25"/>
  <c r="AE44" i="25"/>
  <c r="BB44" i="25"/>
  <c r="BG44" i="25"/>
  <c r="BO44" i="25"/>
  <c r="CK44" i="25"/>
  <c r="Y44" i="25"/>
  <c r="BY44" i="25"/>
  <c r="BF44" i="25"/>
  <c r="AL44" i="25"/>
  <c r="AJ44" i="25"/>
  <c r="DH44" i="25"/>
  <c r="AZ44" i="25"/>
  <c r="BV44" i="25"/>
  <c r="W44" i="25"/>
  <c r="DM44" i="25"/>
  <c r="U44" i="25"/>
  <c r="BC44" i="25"/>
  <c r="AN44" i="25"/>
  <c r="Z44" i="25"/>
  <c r="BQ44" i="25"/>
  <c r="AO44" i="25"/>
  <c r="AY44" i="25"/>
  <c r="AG44" i="25"/>
  <c r="CP44" i="25"/>
  <c r="AS44" i="25"/>
  <c r="BS44" i="25"/>
  <c r="CU44" i="25"/>
  <c r="AH44" i="25"/>
  <c r="AV44" i="25"/>
  <c r="AK44" i="25"/>
  <c r="T37" i="19"/>
  <c r="T38" i="19" s="1"/>
  <c r="T39" i="19" s="1"/>
  <c r="T33" i="19"/>
  <c r="CM44" i="25"/>
  <c r="CN44" i="25"/>
  <c r="DG44" i="25"/>
  <c r="D7" i="19"/>
  <c r="S44" i="25"/>
  <c r="BM44" i="25"/>
  <c r="AF44" i="25"/>
  <c r="DJ44" i="25"/>
  <c r="E16" i="17"/>
  <c r="C13" i="17"/>
  <c r="DK44" i="25"/>
  <c r="CT44" i="25"/>
  <c r="AI44" i="25"/>
  <c r="BD44" i="25"/>
  <c r="B29" i="25"/>
  <c r="AP44" i="25"/>
  <c r="AX44" i="25"/>
  <c r="B27" i="1"/>
  <c r="C27" i="1" s="1"/>
  <c r="C31" i="1"/>
  <c r="DF44" i="25"/>
  <c r="B28" i="25"/>
  <c r="Q37" i="19"/>
  <c r="Q38" i="19" s="1"/>
  <c r="Q39" i="19" s="1"/>
  <c r="Q33" i="19"/>
  <c r="G37" i="19"/>
  <c r="G38" i="19" s="1"/>
  <c r="G39" i="19" s="1"/>
  <c r="G33" i="19"/>
  <c r="BL44" i="25"/>
  <c r="DL44" i="25"/>
  <c r="AU44" i="25"/>
  <c r="M33" i="19"/>
  <c r="M37" i="19"/>
  <c r="M38" i="19" s="1"/>
  <c r="M39" i="19" s="1"/>
  <c r="AB44" i="25"/>
  <c r="BT44" i="25"/>
  <c r="AR44" i="25"/>
  <c r="AW44" i="25"/>
  <c r="DA44" i="25"/>
  <c r="CS44" i="25"/>
  <c r="CQ44" i="25"/>
  <c r="N37" i="19"/>
  <c r="N38" i="19" s="1"/>
  <c r="N39" i="19" s="1"/>
  <c r="N33" i="19"/>
  <c r="BU44" i="25"/>
  <c r="P33" i="19"/>
  <c r="P37" i="19"/>
  <c r="P38" i="19" s="1"/>
  <c r="P39" i="19" s="1"/>
  <c r="AD44" i="25"/>
  <c r="CE44" i="25"/>
  <c r="E37" i="19"/>
  <c r="E38" i="19" s="1"/>
  <c r="E39" i="19" s="1"/>
  <c r="E33" i="19"/>
  <c r="CZ44" i="25"/>
  <c r="B27" i="25"/>
  <c r="BA44" i="25"/>
  <c r="BK44" i="25"/>
  <c r="DD44" i="25"/>
  <c r="DE44" i="25"/>
  <c r="B25" i="25"/>
  <c r="CL44" i="25"/>
  <c r="CY44" i="25"/>
  <c r="Q44" i="25"/>
  <c r="AT44" i="25"/>
  <c r="DI44" i="25"/>
  <c r="B26" i="25"/>
  <c r="BR44" i="25"/>
  <c r="H33" i="19"/>
  <c r="H37" i="19"/>
  <c r="H38" i="19" s="1"/>
  <c r="H39" i="19" s="1"/>
  <c r="K7" i="3"/>
  <c r="J37" i="19"/>
  <c r="J38" i="19" s="1"/>
  <c r="J39" i="19" s="1"/>
  <c r="J33" i="19"/>
  <c r="CO44" i="25"/>
  <c r="D8" i="10"/>
  <c r="D7" i="3"/>
  <c r="CG44" i="25"/>
  <c r="DN44" i="25"/>
  <c r="CX44" i="25"/>
  <c r="DC44" i="25"/>
  <c r="K44" i="25"/>
  <c r="B24" i="25"/>
  <c r="BI44" i="25"/>
  <c r="K37" i="19"/>
  <c r="K38" i="19" s="1"/>
  <c r="K39" i="19" s="1"/>
  <c r="K33" i="19"/>
  <c r="S33" i="19"/>
  <c r="S37" i="19"/>
  <c r="S38" i="19" s="1"/>
  <c r="S39" i="19" s="1"/>
  <c r="B42" i="26" l="1"/>
  <c r="I23" i="2"/>
  <c r="I24" i="21"/>
  <c r="C70" i="1"/>
  <c r="I3" i="14"/>
  <c r="I23" i="27"/>
  <c r="B39" i="1"/>
  <c r="I3" i="22"/>
  <c r="B39" i="20"/>
  <c r="C70" i="20"/>
  <c r="F316" i="6"/>
  <c r="E316" i="6"/>
  <c r="Y37" i="17"/>
  <c r="X10" i="3"/>
  <c r="X9" i="3" s="1"/>
  <c r="X11" i="3" s="1"/>
  <c r="X15" i="3" s="1"/>
  <c r="X21" i="3" s="1"/>
  <c r="V10" i="3"/>
  <c r="V9" i="3" s="1"/>
  <c r="W37" i="17"/>
  <c r="V37" i="17"/>
  <c r="U10" i="3"/>
  <c r="U9" i="3" s="1"/>
  <c r="U11" i="3" s="1"/>
  <c r="U15" i="3" s="1"/>
  <c r="U21" i="3" s="1"/>
  <c r="W10" i="3"/>
  <c r="X37" i="17"/>
  <c r="B22" i="25"/>
  <c r="B20" i="25" s="1"/>
  <c r="E10" i="25" s="1"/>
  <c r="R37" i="17"/>
  <c r="Q10" i="3"/>
  <c r="Q9" i="3" s="1"/>
  <c r="Q11" i="3" s="1"/>
  <c r="D10" i="3"/>
  <c r="B16" i="17"/>
  <c r="B15" i="17" s="1"/>
  <c r="C11" i="17" s="1"/>
  <c r="G37" i="17"/>
  <c r="F10" i="3"/>
  <c r="F9" i="3" s="1"/>
  <c r="F11" i="3" s="1"/>
  <c r="F15" i="3" s="1"/>
  <c r="F21" i="3" s="1"/>
  <c r="O37" i="17"/>
  <c r="N10" i="3"/>
  <c r="N9" i="3" s="1"/>
  <c r="N11" i="3" s="1"/>
  <c r="D7" i="10"/>
  <c r="J37" i="17"/>
  <c r="I10" i="3"/>
  <c r="I9" i="3" s="1"/>
  <c r="I11" i="3" s="1"/>
  <c r="I15" i="3" s="1"/>
  <c r="I21" i="3" s="1"/>
  <c r="Q37" i="17"/>
  <c r="P10" i="3"/>
  <c r="P9" i="3" s="1"/>
  <c r="P11" i="3" s="1"/>
  <c r="P15" i="3" s="1"/>
  <c r="P21" i="3" s="1"/>
  <c r="M10" i="3"/>
  <c r="M9" i="3" s="1"/>
  <c r="M11" i="3" s="1"/>
  <c r="M15" i="3" s="1"/>
  <c r="M21" i="3" s="1"/>
  <c r="N37" i="17"/>
  <c r="F37" i="17"/>
  <c r="E10" i="3"/>
  <c r="E9" i="3" s="1"/>
  <c r="E11" i="3" s="1"/>
  <c r="E15" i="3" s="1"/>
  <c r="E21" i="3" s="1"/>
  <c r="O10" i="3"/>
  <c r="O9" i="3" s="1"/>
  <c r="O11" i="3" s="1"/>
  <c r="O15" i="3" s="1"/>
  <c r="O21" i="3" s="1"/>
  <c r="P37" i="17"/>
  <c r="K10" i="3"/>
  <c r="L37" i="17"/>
  <c r="T10" i="3"/>
  <c r="T9" i="3" s="1"/>
  <c r="T11" i="3" s="1"/>
  <c r="U37" i="17"/>
  <c r="H10" i="3"/>
  <c r="H9" i="3" s="1"/>
  <c r="H11" i="3" s="1"/>
  <c r="I37" i="17"/>
  <c r="K37" i="17"/>
  <c r="J10" i="3"/>
  <c r="J9" i="3" s="1"/>
  <c r="J11" i="3" s="1"/>
  <c r="J15" i="3" s="1"/>
  <c r="J21" i="3" s="1"/>
  <c r="T37" i="17"/>
  <c r="S10" i="3"/>
  <c r="S9" i="3" s="1"/>
  <c r="S11" i="3" s="1"/>
  <c r="S15" i="3" s="1"/>
  <c r="S21" i="3" s="1"/>
  <c r="D11" i="19"/>
  <c r="G10" i="3"/>
  <c r="G9" i="3" s="1"/>
  <c r="G11" i="3" s="1"/>
  <c r="G15" i="3" s="1"/>
  <c r="G21" i="3" s="1"/>
  <c r="H37" i="17"/>
  <c r="L10" i="3"/>
  <c r="L9" i="3" s="1"/>
  <c r="L11" i="3" s="1"/>
  <c r="L15" i="3" s="1"/>
  <c r="L21" i="3" s="1"/>
  <c r="M37" i="17"/>
  <c r="R10" i="3"/>
  <c r="R9" i="3" s="1"/>
  <c r="R11" i="3" s="1"/>
  <c r="R15" i="3" s="1"/>
  <c r="R21" i="3" s="1"/>
  <c r="S37" i="17"/>
  <c r="I33" i="22" l="1"/>
  <c r="AD12" i="19" s="1" a="1"/>
  <c r="AD12" i="19" s="1"/>
  <c r="AD15" i="19" s="1"/>
  <c r="AD22" i="19" s="1"/>
  <c r="I63" i="22"/>
  <c r="BH12" i="19" s="1" a="1"/>
  <c r="BH12" i="19" s="1"/>
  <c r="BH15" i="19" s="1"/>
  <c r="BH22" i="19" s="1"/>
  <c r="I54" i="22"/>
  <c r="AY12" i="19" s="1" a="1"/>
  <c r="AY12" i="19" s="1"/>
  <c r="I81" i="22"/>
  <c r="BZ12" i="19" s="1" a="1"/>
  <c r="BZ12" i="19" s="1"/>
  <c r="BZ15" i="19" s="1"/>
  <c r="BZ22" i="19" s="1"/>
  <c r="I21" i="22"/>
  <c r="R12" i="19" s="1" a="1"/>
  <c r="R12" i="19" s="1"/>
  <c r="R15" i="19" s="1"/>
  <c r="R22" i="19" s="1"/>
  <c r="I57" i="22"/>
  <c r="BB12" i="19" s="1" a="1"/>
  <c r="BB12" i="19" s="1"/>
  <c r="BB15" i="19" s="1"/>
  <c r="BB22" i="19" s="1"/>
  <c r="I72" i="22"/>
  <c r="BQ12" i="19" s="1" a="1"/>
  <c r="BQ12" i="19" s="1"/>
  <c r="BQ15" i="19" s="1"/>
  <c r="BQ22" i="19" s="1"/>
  <c r="I87" i="22"/>
  <c r="CF12" i="19" s="1" a="1"/>
  <c r="CF12" i="19" s="1"/>
  <c r="CF15" i="19" s="1"/>
  <c r="CF22" i="19" s="1"/>
  <c r="I102" i="22"/>
  <c r="CU12" i="19" s="1" a="1"/>
  <c r="CU12" i="19" s="1"/>
  <c r="I12" i="22"/>
  <c r="I12" i="19" s="1" a="1"/>
  <c r="I12" i="19" s="1"/>
  <c r="I15" i="19" s="1"/>
  <c r="I22" i="19" s="1"/>
  <c r="I18" i="22"/>
  <c r="O12" i="19" s="1" a="1"/>
  <c r="O12" i="19" s="1"/>
  <c r="I36" i="22"/>
  <c r="AG12" i="19" s="1" a="1"/>
  <c r="AG12" i="19" s="1"/>
  <c r="I48" i="22"/>
  <c r="I60" i="22"/>
  <c r="BE12" i="19" s="1" a="1"/>
  <c r="BE12" i="19" s="1"/>
  <c r="BE15" i="19" s="1"/>
  <c r="BE22" i="19" s="1"/>
  <c r="I66" i="22"/>
  <c r="BK12" i="19" s="1" a="1"/>
  <c r="BK12" i="19" s="1"/>
  <c r="I15" i="22"/>
  <c r="L12" i="19" s="1" a="1"/>
  <c r="L12" i="19" s="1"/>
  <c r="L15" i="19" s="1"/>
  <c r="L22" i="19" s="1"/>
  <c r="I78" i="22"/>
  <c r="BW12" i="19" s="1" a="1"/>
  <c r="BW12" i="19" s="1"/>
  <c r="I9" i="22"/>
  <c r="I84" i="22"/>
  <c r="CC12" i="19" s="1" a="1"/>
  <c r="CC12" i="19" s="1"/>
  <c r="CC15" i="19" s="1"/>
  <c r="CC22" i="19" s="1"/>
  <c r="I90" i="22"/>
  <c r="CI12" i="19" s="1" a="1"/>
  <c r="CI12" i="19" s="1"/>
  <c r="I39" i="22"/>
  <c r="AJ12" i="19" s="1" a="1"/>
  <c r="AJ12" i="19" s="1"/>
  <c r="I51" i="22"/>
  <c r="AV12" i="19" s="1" a="1"/>
  <c r="AV12" i="19" s="1"/>
  <c r="AV15" i="19" s="1"/>
  <c r="AV22" i="19" s="1"/>
  <c r="I96" i="22"/>
  <c r="CO12" i="19" s="1" a="1"/>
  <c r="CO12" i="19" s="1"/>
  <c r="CO15" i="19" s="1"/>
  <c r="CO22" i="19" s="1"/>
  <c r="I27" i="22"/>
  <c r="X12" i="19" s="1" a="1"/>
  <c r="X12" i="19" s="1"/>
  <c r="X15" i="19" s="1"/>
  <c r="X22" i="19" s="1"/>
  <c r="I24" i="22"/>
  <c r="U12" i="19" s="1" a="1"/>
  <c r="U12" i="19" s="1"/>
  <c r="U15" i="19" s="1"/>
  <c r="U22" i="19" s="1"/>
  <c r="I30" i="22"/>
  <c r="AA12" i="19" s="1" a="1"/>
  <c r="AA12" i="19" s="1"/>
  <c r="I93" i="22"/>
  <c r="CL12" i="19" s="1" a="1"/>
  <c r="CL12" i="19" s="1"/>
  <c r="CL15" i="19" s="1"/>
  <c r="CL22" i="19" s="1"/>
  <c r="I69" i="22"/>
  <c r="BN12" i="19" s="1" a="1"/>
  <c r="BN12" i="19" s="1"/>
  <c r="BN15" i="19" s="1"/>
  <c r="BN22" i="19" s="1"/>
  <c r="B41" i="26"/>
  <c r="D42" i="26"/>
  <c r="I42" i="22"/>
  <c r="AM12" i="19" s="1" a="1"/>
  <c r="AM12" i="19" s="1"/>
  <c r="I45" i="22"/>
  <c r="AP12" i="19" s="1" a="1"/>
  <c r="AP12" i="19" s="1"/>
  <c r="AP15" i="19" s="1"/>
  <c r="AP22" i="19" s="1"/>
  <c r="I99" i="22"/>
  <c r="CR12" i="19" s="1" a="1"/>
  <c r="CR12" i="19" s="1"/>
  <c r="CR15" i="19" s="1"/>
  <c r="CR22" i="19" s="1"/>
  <c r="I75" i="22"/>
  <c r="BT12" i="19" s="1" a="1"/>
  <c r="BT12" i="19" s="1"/>
  <c r="BT15" i="19" s="1"/>
  <c r="BT22" i="19" s="1"/>
  <c r="B72" i="20"/>
  <c r="C39" i="20"/>
  <c r="I17" i="14"/>
  <c r="N12" i="3" s="1" a="1"/>
  <c r="N12" i="3" s="1"/>
  <c r="I20" i="14"/>
  <c r="Q12" i="3" s="1" a="1"/>
  <c r="Q12" i="3" s="1"/>
  <c r="I23" i="14"/>
  <c r="T12" i="3" s="1" a="1"/>
  <c r="T12" i="3" s="1"/>
  <c r="I26" i="14"/>
  <c r="W12" i="3" s="1" a="1"/>
  <c r="W12" i="3" s="1"/>
  <c r="I14" i="14"/>
  <c r="K12" i="3" s="1" a="1"/>
  <c r="K12" i="3" s="1"/>
  <c r="I11" i="14"/>
  <c r="C39" i="1"/>
  <c r="C72" i="1" s="1"/>
  <c r="B72" i="1"/>
  <c r="D317" i="6"/>
  <c r="C317" i="6"/>
  <c r="D19" i="25"/>
  <c r="W9" i="3"/>
  <c r="F10" i="10"/>
  <c r="F9" i="10" s="1"/>
  <c r="U35" i="3"/>
  <c r="U36" i="3" s="1"/>
  <c r="U37" i="3" s="1"/>
  <c r="U31" i="3"/>
  <c r="X35" i="3"/>
  <c r="X36" i="3" s="1"/>
  <c r="X37" i="3" s="1"/>
  <c r="X31" i="3"/>
  <c r="R31" i="3"/>
  <c r="R35" i="3"/>
  <c r="R36" i="3" s="1"/>
  <c r="R37" i="3" s="1"/>
  <c r="E10" i="10"/>
  <c r="E9" i="10" s="1"/>
  <c r="K9" i="3"/>
  <c r="K11" i="3" s="1"/>
  <c r="I35" i="3"/>
  <c r="I36" i="3" s="1"/>
  <c r="I37" i="3" s="1"/>
  <c r="I31" i="3"/>
  <c r="P35" i="3"/>
  <c r="P36" i="3" s="1"/>
  <c r="P37" i="3" s="1"/>
  <c r="P31" i="3"/>
  <c r="L31" i="3"/>
  <c r="L35" i="3"/>
  <c r="L36" i="3" s="1"/>
  <c r="L37" i="3" s="1"/>
  <c r="O31" i="3"/>
  <c r="O35" i="3"/>
  <c r="O36" i="3" s="1"/>
  <c r="O37" i="3" s="1"/>
  <c r="D9" i="3"/>
  <c r="C10" i="3"/>
  <c r="D10" i="10"/>
  <c r="J35" i="3"/>
  <c r="J36" i="3" s="1"/>
  <c r="J37" i="3" s="1"/>
  <c r="J31" i="3"/>
  <c r="E35" i="3"/>
  <c r="E36" i="3" s="1"/>
  <c r="E37" i="3" s="1"/>
  <c r="E31" i="3"/>
  <c r="G31" i="3"/>
  <c r="G35" i="3"/>
  <c r="G36" i="3" s="1"/>
  <c r="G37" i="3" s="1"/>
  <c r="S31" i="3"/>
  <c r="S35" i="3"/>
  <c r="S36" i="3" s="1"/>
  <c r="S37" i="3" s="1"/>
  <c r="F31" i="3"/>
  <c r="F35" i="3"/>
  <c r="F36" i="3" s="1"/>
  <c r="F37" i="3" s="1"/>
  <c r="D15" i="19"/>
  <c r="D22" i="19" s="1"/>
  <c r="D33" i="19" s="1"/>
  <c r="M35" i="3"/>
  <c r="M36" i="3" s="1"/>
  <c r="M37" i="3" s="1"/>
  <c r="M31" i="3"/>
  <c r="D41" i="26" l="1"/>
  <c r="B27" i="26"/>
  <c r="D27" i="26" s="1"/>
  <c r="BH33" i="19"/>
  <c r="BH37" i="19"/>
  <c r="BH38" i="19" s="1"/>
  <c r="BH39" i="19" s="1"/>
  <c r="AD33" i="19"/>
  <c r="L33" i="19"/>
  <c r="L37" i="19"/>
  <c r="L38" i="19" s="1"/>
  <c r="L39" i="19" s="1"/>
  <c r="BZ33" i="19"/>
  <c r="BZ37" i="19"/>
  <c r="BZ38" i="19" s="1"/>
  <c r="BZ39" i="19" s="1"/>
  <c r="AD37" i="19"/>
  <c r="AD38" i="19" s="1"/>
  <c r="AD39" i="19" s="1"/>
  <c r="B73" i="20"/>
  <c r="B74" i="20" s="1"/>
  <c r="C72" i="20"/>
  <c r="BE33" i="19"/>
  <c r="BE37" i="19"/>
  <c r="BE38" i="19" s="1"/>
  <c r="BE39" i="19" s="1"/>
  <c r="CR37" i="19"/>
  <c r="CR38" i="19" s="1"/>
  <c r="CR39" i="19" s="1"/>
  <c r="CR33" i="19"/>
  <c r="AP37" i="19"/>
  <c r="AP38" i="19" s="1"/>
  <c r="AP39" i="19" s="1"/>
  <c r="AP33" i="19"/>
  <c r="F12" i="19" a="1"/>
  <c r="F12" i="19" s="1"/>
  <c r="I2" i="22"/>
  <c r="I33" i="19"/>
  <c r="I37" i="19"/>
  <c r="I38" i="19" s="1"/>
  <c r="I39" i="19" s="1"/>
  <c r="CC33" i="19"/>
  <c r="CC37" i="19"/>
  <c r="CC38" i="19" s="1"/>
  <c r="CC39" i="19" s="1"/>
  <c r="BT37" i="19"/>
  <c r="BT38" i="19" s="1"/>
  <c r="BT39" i="19" s="1"/>
  <c r="BT33" i="19"/>
  <c r="CL33" i="19"/>
  <c r="CL37" i="19"/>
  <c r="CL38" i="19" s="1"/>
  <c r="CL39" i="19" s="1"/>
  <c r="X37" i="19"/>
  <c r="X38" i="19" s="1"/>
  <c r="X39" i="19" s="1"/>
  <c r="X33" i="19"/>
  <c r="CF33" i="19"/>
  <c r="CF37" i="19"/>
  <c r="CF38" i="19" s="1"/>
  <c r="CF39" i="19" s="1"/>
  <c r="CO33" i="19"/>
  <c r="CO37" i="19"/>
  <c r="CO38" i="19" s="1"/>
  <c r="CO39" i="19" s="1"/>
  <c r="BQ33" i="19"/>
  <c r="BQ37" i="19"/>
  <c r="BQ38" i="19" s="1"/>
  <c r="BQ39" i="19" s="1"/>
  <c r="BN37" i="19"/>
  <c r="BN38" i="19" s="1"/>
  <c r="BN39" i="19" s="1"/>
  <c r="BN33" i="19"/>
  <c r="AV33" i="19"/>
  <c r="AV37" i="19"/>
  <c r="AV38" i="19" s="1"/>
  <c r="AV39" i="19" s="1"/>
  <c r="BB33" i="19"/>
  <c r="BB37" i="19"/>
  <c r="BB38" i="19" s="1"/>
  <c r="BB39" i="19" s="1"/>
  <c r="U37" i="19"/>
  <c r="U38" i="19" s="1"/>
  <c r="U39" i="19" s="1"/>
  <c r="AS12" i="19" a="1"/>
  <c r="AS12" i="19" s="1"/>
  <c r="AS15" i="19" s="1"/>
  <c r="AS22" i="19" s="1"/>
  <c r="M48" i="22"/>
  <c r="R37" i="19"/>
  <c r="R38" i="19" s="1"/>
  <c r="R39" i="19" s="1"/>
  <c r="R33" i="19"/>
  <c r="U33" i="19"/>
  <c r="K15" i="3"/>
  <c r="K21" i="3" s="1"/>
  <c r="T15" i="3"/>
  <c r="T21" i="3" s="1"/>
  <c r="T35" i="3" s="1"/>
  <c r="T36" i="3" s="1"/>
  <c r="T37" i="3" s="1"/>
  <c r="C73" i="1"/>
  <c r="C74" i="1" s="1"/>
  <c r="C75" i="1" s="1"/>
  <c r="F12" i="10"/>
  <c r="Q15" i="3"/>
  <c r="Q21" i="3" s="1"/>
  <c r="E12" i="10"/>
  <c r="H12" i="3" a="1"/>
  <c r="H12" i="3" s="1"/>
  <c r="I2" i="14"/>
  <c r="B73" i="1"/>
  <c r="B74" i="1" s="1"/>
  <c r="B43" i="26"/>
  <c r="E317" i="6"/>
  <c r="F317" i="6"/>
  <c r="C9" i="3"/>
  <c r="D11" i="3"/>
  <c r="C10" i="10"/>
  <c r="D9" i="10"/>
  <c r="D37" i="19"/>
  <c r="D38" i="19" s="1"/>
  <c r="D39" i="19" s="1"/>
  <c r="D36" i="19"/>
  <c r="D74" i="20" l="1"/>
  <c r="Q31" i="3"/>
  <c r="Q35" i="3"/>
  <c r="Q36" i="3" s="1"/>
  <c r="Q37" i="3" s="1"/>
  <c r="B75" i="20"/>
  <c r="C5" i="21" s="1"/>
  <c r="C5" i="23" s="1"/>
  <c r="C4" i="21"/>
  <c r="C4" i="23" s="1"/>
  <c r="H3" i="22"/>
  <c r="C73" i="20"/>
  <c r="C74" i="20" s="1"/>
  <c r="C75" i="20" s="1"/>
  <c r="T31" i="3"/>
  <c r="D12" i="10"/>
  <c r="C12" i="10" s="1"/>
  <c r="C12" i="3"/>
  <c r="H15" i="3"/>
  <c r="H21" i="3" s="1"/>
  <c r="K31" i="3"/>
  <c r="K35" i="3"/>
  <c r="C12" i="19"/>
  <c r="F15" i="19"/>
  <c r="B75" i="1"/>
  <c r="F6" i="4"/>
  <c r="C4" i="2"/>
  <c r="F26" i="2"/>
  <c r="F26" i="21"/>
  <c r="F26" i="27"/>
  <c r="D43" i="26"/>
  <c r="B44" i="26"/>
  <c r="D44" i="26" s="1"/>
  <c r="AS33" i="19"/>
  <c r="AS37" i="19"/>
  <c r="AS38" i="19" s="1"/>
  <c r="AS39" i="19" s="1"/>
  <c r="H3" i="14"/>
  <c r="I25" i="21"/>
  <c r="I24" i="2"/>
  <c r="I24" i="27"/>
  <c r="D12" i="18"/>
  <c r="C11" i="29"/>
  <c r="F3" i="4"/>
  <c r="G11" i="4" s="1"/>
  <c r="C318" i="6"/>
  <c r="D318" i="6"/>
  <c r="D11" i="10"/>
  <c r="C9" i="10"/>
  <c r="D15" i="3"/>
  <c r="D21" i="3" s="1"/>
  <c r="E36" i="19"/>
  <c r="H42" i="22" l="1"/>
  <c r="AM13" i="19" s="1" a="1"/>
  <c r="AM13" i="19" s="1"/>
  <c r="AM15" i="19" s="1"/>
  <c r="AM22" i="19" s="1"/>
  <c r="H102" i="22"/>
  <c r="CU13" i="19" s="1" a="1"/>
  <c r="CU13" i="19" s="1"/>
  <c r="CU15" i="19" s="1"/>
  <c r="CU22" i="19" s="1"/>
  <c r="H54" i="22"/>
  <c r="AY13" i="19" s="1" a="1"/>
  <c r="AY13" i="19" s="1"/>
  <c r="AY15" i="19" s="1"/>
  <c r="AY22" i="19" s="1"/>
  <c r="H30" i="22"/>
  <c r="AA13" i="19" s="1" a="1"/>
  <c r="AA13" i="19" s="1"/>
  <c r="AA15" i="19" s="1"/>
  <c r="AA22" i="19" s="1"/>
  <c r="H66" i="22"/>
  <c r="BK13" i="19" s="1" a="1"/>
  <c r="BK13" i="19" s="1"/>
  <c r="BK15" i="19" s="1"/>
  <c r="BK22" i="19" s="1"/>
  <c r="H78" i="22"/>
  <c r="BW13" i="19" s="1" a="1"/>
  <c r="BW13" i="19" s="1"/>
  <c r="BW15" i="19" s="1"/>
  <c r="BW22" i="19" s="1"/>
  <c r="H18" i="22"/>
  <c r="H90" i="22"/>
  <c r="CI13" i="19" s="1" a="1"/>
  <c r="CI13" i="19" s="1"/>
  <c r="CI15" i="19" s="1"/>
  <c r="CI22" i="19" s="1"/>
  <c r="E11" i="29"/>
  <c r="H11" i="4"/>
  <c r="G14" i="4"/>
  <c r="G23" i="4" s="1"/>
  <c r="G16" i="4"/>
  <c r="G25" i="4" s="1"/>
  <c r="D13" i="18"/>
  <c r="E13" i="18" s="1"/>
  <c r="H29" i="14"/>
  <c r="Z13" i="3" s="1" a="1"/>
  <c r="Z13" i="3" s="1"/>
  <c r="G15" i="4"/>
  <c r="G24" i="4" s="1"/>
  <c r="F22" i="19"/>
  <c r="C5" i="27"/>
  <c r="C12" i="29"/>
  <c r="G13" i="4"/>
  <c r="G22" i="4" s="1"/>
  <c r="E12" i="18"/>
  <c r="H17" i="14"/>
  <c r="B4" i="23"/>
  <c r="B4" i="36"/>
  <c r="D15" i="10"/>
  <c r="D22" i="10" s="1"/>
  <c r="C5" i="2"/>
  <c r="K36" i="3"/>
  <c r="K37" i="3" s="1"/>
  <c r="B45" i="26"/>
  <c r="G20" i="4"/>
  <c r="I11" i="4"/>
  <c r="F11" i="4"/>
  <c r="H35" i="3"/>
  <c r="H36" i="3" s="1"/>
  <c r="H37" i="3" s="1"/>
  <c r="H31" i="3"/>
  <c r="G17" i="4"/>
  <c r="G26" i="4" s="1"/>
  <c r="F318" i="6"/>
  <c r="E318" i="6"/>
  <c r="D31" i="3"/>
  <c r="D34" i="3" s="1"/>
  <c r="D35" i="3"/>
  <c r="D36" i="3" s="1"/>
  <c r="D37" i="3" s="1"/>
  <c r="B5" i="23" l="1"/>
  <c r="B5" i="36"/>
  <c r="N13" i="3" a="1"/>
  <c r="N13" i="3" s="1"/>
  <c r="CU33" i="19"/>
  <c r="CU37" i="19"/>
  <c r="CU38" i="19" s="1"/>
  <c r="CU39" i="19" s="1"/>
  <c r="D61" i="19"/>
  <c r="AM33" i="19"/>
  <c r="AM37" i="19"/>
  <c r="AM38" i="19" s="1"/>
  <c r="AM39" i="19" s="1"/>
  <c r="Z15" i="3"/>
  <c r="Z21" i="3" s="1"/>
  <c r="H2" i="14"/>
  <c r="H1" i="14" s="1"/>
  <c r="H20" i="4"/>
  <c r="H15" i="4"/>
  <c r="H24" i="4" s="1"/>
  <c r="H13" i="4"/>
  <c r="H22" i="4" s="1"/>
  <c r="H17" i="4"/>
  <c r="H26" i="4" s="1"/>
  <c r="H16" i="4"/>
  <c r="H25" i="4" s="1"/>
  <c r="H14" i="4"/>
  <c r="H23" i="4" s="1"/>
  <c r="F37" i="19"/>
  <c r="F38" i="19" s="1"/>
  <c r="F39" i="19" s="1"/>
  <c r="F33" i="19"/>
  <c r="F36" i="19" s="1"/>
  <c r="D53" i="19"/>
  <c r="CI37" i="19"/>
  <c r="CI38" i="19" s="1"/>
  <c r="CI39" i="19" s="1"/>
  <c r="D60" i="19"/>
  <c r="H2" i="22"/>
  <c r="H1" i="22" s="1"/>
  <c r="BW33" i="19"/>
  <c r="BW37" i="19"/>
  <c r="BW38" i="19" s="1"/>
  <c r="BW39" i="19" s="1"/>
  <c r="D59" i="19"/>
  <c r="BK33" i="19"/>
  <c r="BK37" i="19"/>
  <c r="BK38" i="19" s="1"/>
  <c r="BK39" i="19" s="1"/>
  <c r="D58" i="19"/>
  <c r="AA33" i="19"/>
  <c r="AA37" i="19"/>
  <c r="AA38" i="19" s="1"/>
  <c r="AA39" i="19" s="1"/>
  <c r="E12" i="29"/>
  <c r="C13" i="29"/>
  <c r="E13" i="29" s="1"/>
  <c r="E11" i="4"/>
  <c r="F20" i="4"/>
  <c r="F14" i="4"/>
  <c r="F23" i="4" s="1"/>
  <c r="F17" i="4"/>
  <c r="F26" i="4" s="1"/>
  <c r="F16" i="4"/>
  <c r="F25" i="4" s="1"/>
  <c r="F13" i="4"/>
  <c r="F22" i="4" s="1"/>
  <c r="AY33" i="19"/>
  <c r="AY37" i="19"/>
  <c r="AY38" i="19" s="1"/>
  <c r="AY39" i="19" s="1"/>
  <c r="D57" i="19"/>
  <c r="B46" i="26"/>
  <c r="D46" i="26" s="1"/>
  <c r="D45" i="26"/>
  <c r="D33" i="10"/>
  <c r="I20" i="4"/>
  <c r="I15" i="4"/>
  <c r="I24" i="4" s="1"/>
  <c r="CI33" i="19"/>
  <c r="O13" i="19" a="1"/>
  <c r="O13" i="19" s="1"/>
  <c r="F13" i="10"/>
  <c r="F15" i="4"/>
  <c r="F24" i="4" s="1"/>
  <c r="I17" i="4"/>
  <c r="I26" i="4" s="1"/>
  <c r="I13" i="4"/>
  <c r="I22" i="4" s="1"/>
  <c r="I16" i="4"/>
  <c r="I25" i="4" s="1"/>
  <c r="I14" i="4"/>
  <c r="I23" i="4" s="1"/>
  <c r="D319" i="6"/>
  <c r="C319" i="6"/>
  <c r="E319" i="6" s="1"/>
  <c r="D39" i="10"/>
  <c r="D40" i="10" s="1"/>
  <c r="E15" i="4"/>
  <c r="E24" i="4" s="1"/>
  <c r="E34" i="3"/>
  <c r="F34" i="3" s="1"/>
  <c r="G34" i="3" s="1"/>
  <c r="H34" i="3" s="1"/>
  <c r="I34" i="3" s="1"/>
  <c r="J34" i="3" s="1"/>
  <c r="K34" i="3" s="1"/>
  <c r="L34" i="3" s="1"/>
  <c r="M34" i="3" s="1"/>
  <c r="E20" i="4" l="1"/>
  <c r="G36" i="19"/>
  <c r="H36" i="19" s="1"/>
  <c r="I36" i="19" s="1"/>
  <c r="J36" i="19" s="1"/>
  <c r="K36" i="19" s="1"/>
  <c r="L36" i="19" s="1"/>
  <c r="M36" i="19" s="1"/>
  <c r="N36" i="19" s="1"/>
  <c r="D36" i="10"/>
  <c r="E13" i="10"/>
  <c r="C13" i="3"/>
  <c r="N15" i="3"/>
  <c r="E17" i="4"/>
  <c r="E26" i="4" s="1"/>
  <c r="E13" i="4"/>
  <c r="E22" i="4" s="1"/>
  <c r="E16" i="4"/>
  <c r="E25" i="4" s="1"/>
  <c r="E14" i="4"/>
  <c r="E23" i="4" s="1"/>
  <c r="C13" i="19"/>
  <c r="O15" i="19"/>
  <c r="Z31" i="3"/>
  <c r="Z35" i="3"/>
  <c r="F319" i="6"/>
  <c r="O22" i="19" l="1"/>
  <c r="N21" i="3"/>
  <c r="D51" i="3" s="1"/>
  <c r="C13" i="10"/>
  <c r="D37" i="10"/>
  <c r="Z36" i="3"/>
  <c r="Z37" i="3" s="1"/>
  <c r="C320" i="6"/>
  <c r="D320" i="6"/>
  <c r="F320" i="6"/>
  <c r="N35" i="3" l="1"/>
  <c r="N31" i="3"/>
  <c r="O33" i="19"/>
  <c r="O37" i="19"/>
  <c r="O38" i="19" s="1"/>
  <c r="O39" i="19" s="1"/>
  <c r="C321" i="6"/>
  <c r="E321" i="6" s="1"/>
  <c r="D321" i="6"/>
  <c r="E320" i="6"/>
  <c r="N34" i="3" l="1"/>
  <c r="O36" i="19"/>
  <c r="N36" i="3"/>
  <c r="N37" i="3" s="1"/>
  <c r="F321" i="6"/>
  <c r="O34" i="3"/>
  <c r="P34" i="3" s="1"/>
  <c r="Q34" i="3" s="1"/>
  <c r="R34" i="3" s="1"/>
  <c r="S34" i="3" s="1"/>
  <c r="T34" i="3" s="1"/>
  <c r="U34" i="3" s="1"/>
  <c r="P36" i="19"/>
  <c r="Q36" i="19" s="1"/>
  <c r="R36" i="19" s="1"/>
  <c r="S36" i="19" s="1"/>
  <c r="T36" i="19" s="1"/>
  <c r="U36" i="19" s="1"/>
  <c r="D322" i="6" l="1"/>
  <c r="C322" i="6"/>
  <c r="E322" i="6" s="1"/>
  <c r="F322" i="6"/>
  <c r="W8" i="3"/>
  <c r="W7" i="3" s="1"/>
  <c r="W11" i="3" s="1"/>
  <c r="W15" i="3" s="1"/>
  <c r="W21" i="3" s="1"/>
  <c r="W8" i="19"/>
  <c r="W7" i="19" s="1"/>
  <c r="W11" i="19" s="1"/>
  <c r="W15" i="19" s="1"/>
  <c r="W22" i="19" s="1"/>
  <c r="W33" i="19" s="1"/>
  <c r="X36" i="8"/>
  <c r="C323" i="6" l="1"/>
  <c r="E323" i="6" s="1"/>
  <c r="D323" i="6"/>
  <c r="W37" i="19"/>
  <c r="W38" i="19" s="1"/>
  <c r="W39" i="19" s="1"/>
  <c r="V8" i="19"/>
  <c r="V8" i="3"/>
  <c r="W36" i="8"/>
  <c r="W31" i="3"/>
  <c r="W35" i="3"/>
  <c r="F323" i="6" l="1"/>
  <c r="V7" i="3"/>
  <c r="E8" i="10"/>
  <c r="V7" i="19"/>
  <c r="W36" i="3"/>
  <c r="W37" i="3" s="1"/>
  <c r="C324" i="6" l="1"/>
  <c r="D324" i="6"/>
  <c r="E7" i="10"/>
  <c r="V11" i="19"/>
  <c r="V11" i="3"/>
  <c r="E324" i="6" l="1"/>
  <c r="F324" i="6"/>
  <c r="V15" i="3"/>
  <c r="E11" i="10"/>
  <c r="V15" i="19"/>
  <c r="D325" i="6" l="1"/>
  <c r="C325" i="6"/>
  <c r="E15" i="10"/>
  <c r="V21" i="3"/>
  <c r="D52" i="3" s="1"/>
  <c r="C41" i="3" s="1"/>
  <c r="V22" i="19"/>
  <c r="E325" i="6" l="1"/>
  <c r="F325" i="6"/>
  <c r="V33" i="19"/>
  <c r="D54" i="19"/>
  <c r="V37" i="19"/>
  <c r="V38" i="19" s="1"/>
  <c r="V39" i="19" s="1"/>
  <c r="V31" i="3"/>
  <c r="V35" i="3"/>
  <c r="E22" i="10"/>
  <c r="D326" i="6" l="1"/>
  <c r="C326" i="6"/>
  <c r="E326" i="6" s="1"/>
  <c r="E33" i="10"/>
  <c r="V34" i="3"/>
  <c r="V36" i="19"/>
  <c r="W36" i="19" s="1"/>
  <c r="X36" i="19" s="1"/>
  <c r="Y36" i="19" s="1"/>
  <c r="Z36" i="19" s="1"/>
  <c r="AA36" i="19" s="1"/>
  <c r="AB36" i="19" s="1"/>
  <c r="AC36" i="19" s="1"/>
  <c r="AD36" i="19" s="1"/>
  <c r="AE36" i="19" s="1"/>
  <c r="AF36" i="19" s="1"/>
  <c r="V36" i="3"/>
  <c r="V37" i="3" s="1"/>
  <c r="E39" i="10"/>
  <c r="E40" i="10" s="1"/>
  <c r="F326" i="6" l="1"/>
  <c r="W34" i="3"/>
  <c r="X34" i="3" s="1"/>
  <c r="Y34" i="3" s="1"/>
  <c r="Z34" i="3" s="1"/>
  <c r="AA34" i="3" s="1"/>
  <c r="AB34" i="3" s="1"/>
  <c r="AC34" i="3" s="1"/>
  <c r="AD34" i="3" s="1"/>
  <c r="AE34" i="3" s="1"/>
  <c r="AF34" i="3" s="1"/>
  <c r="E36" i="10"/>
  <c r="C327" i="6" l="1"/>
  <c r="D327" i="6"/>
  <c r="F327" i="6"/>
  <c r="E37" i="10"/>
  <c r="C328" i="6" l="1"/>
  <c r="D328" i="6"/>
  <c r="E327" i="6"/>
  <c r="AI15" i="8"/>
  <c r="AH8" i="3" s="1"/>
  <c r="AH7" i="3" s="1"/>
  <c r="AH11" i="3" s="1"/>
  <c r="AH15" i="3" s="1"/>
  <c r="AH21" i="3" s="1"/>
  <c r="AK15" i="8"/>
  <c r="AK36" i="8" s="1"/>
  <c r="AH15" i="8"/>
  <c r="AJ15" i="8"/>
  <c r="AJ36" i="8" s="1"/>
  <c r="E328" i="6" l="1"/>
  <c r="F328" i="6"/>
  <c r="B15" i="8"/>
  <c r="B14" i="8" s="1"/>
  <c r="D9" i="8" s="1"/>
  <c r="AI8" i="19"/>
  <c r="AI7" i="19" s="1"/>
  <c r="AI11" i="19" s="1"/>
  <c r="AI15" i="19" s="1"/>
  <c r="AI22" i="19" s="1"/>
  <c r="AI33" i="19" s="1"/>
  <c r="AH31" i="3"/>
  <c r="AH35" i="3"/>
  <c r="AH36" i="3" s="1"/>
  <c r="AH37" i="3" s="1"/>
  <c r="AI36" i="8"/>
  <c r="AH36" i="8"/>
  <c r="AH8" i="19"/>
  <c r="AH7" i="19" s="1"/>
  <c r="AH11" i="19" s="1"/>
  <c r="AH15" i="19" s="1"/>
  <c r="AH22" i="19" s="1"/>
  <c r="AH37" i="19" s="1"/>
  <c r="AH38" i="19" s="1"/>
  <c r="AH39" i="19" s="1"/>
  <c r="AI8" i="3"/>
  <c r="AI7" i="3" s="1"/>
  <c r="AI11" i="3" s="1"/>
  <c r="AI15" i="3" s="1"/>
  <c r="AI21" i="3" s="1"/>
  <c r="AI35" i="3" s="1"/>
  <c r="AG8" i="19"/>
  <c r="AG8" i="3"/>
  <c r="AJ8" i="3"/>
  <c r="AJ8" i="19"/>
  <c r="AJ7" i="19" s="1"/>
  <c r="AJ11" i="19" s="1"/>
  <c r="AJ15" i="19" s="1"/>
  <c r="AJ22" i="19" s="1"/>
  <c r="D329" i="6" l="1"/>
  <c r="C329" i="6"/>
  <c r="E329" i="6" s="1"/>
  <c r="AI37" i="19"/>
  <c r="AI38" i="19" s="1"/>
  <c r="AI39" i="19" s="1"/>
  <c r="AH33" i="19"/>
  <c r="AI31" i="3"/>
  <c r="AJ7" i="3"/>
  <c r="AJ11" i="3" s="1"/>
  <c r="AJ15" i="3" s="1"/>
  <c r="AJ21" i="3" s="1"/>
  <c r="G8" i="10"/>
  <c r="G7" i="10" s="1"/>
  <c r="G11" i="10" s="1"/>
  <c r="G15" i="10" s="1"/>
  <c r="G22" i="10" s="1"/>
  <c r="G33" i="10" s="1"/>
  <c r="AI36" i="3"/>
  <c r="AI37" i="3" s="1"/>
  <c r="AJ33" i="19"/>
  <c r="AJ37" i="19"/>
  <c r="AJ38" i="19" s="1"/>
  <c r="AJ39" i="19" s="1"/>
  <c r="D56" i="19"/>
  <c r="AG7" i="3"/>
  <c r="F8" i="10"/>
  <c r="C8" i="3"/>
  <c r="AG7" i="19"/>
  <c r="C8" i="19"/>
  <c r="F329" i="6" l="1"/>
  <c r="F7" i="10"/>
  <c r="C8" i="10"/>
  <c r="AG11" i="19"/>
  <c r="C7" i="19"/>
  <c r="AG11" i="3"/>
  <c r="C7" i="3"/>
  <c r="AJ31" i="3"/>
  <c r="AJ35" i="3"/>
  <c r="D330" i="6" l="1"/>
  <c r="C330" i="6"/>
  <c r="AJ36" i="3"/>
  <c r="AJ37" i="3" s="1"/>
  <c r="G39" i="10"/>
  <c r="G40" i="10" s="1"/>
  <c r="AG15" i="3"/>
  <c r="C11" i="3"/>
  <c r="AG15" i="19"/>
  <c r="C11" i="19"/>
  <c r="F11" i="10"/>
  <c r="C7" i="10"/>
  <c r="F330" i="6" l="1"/>
  <c r="E330" i="6"/>
  <c r="F15" i="10"/>
  <c r="C11" i="10"/>
  <c r="C15" i="19"/>
  <c r="AG22" i="19"/>
  <c r="C15" i="3"/>
  <c r="AG21" i="3"/>
  <c r="D331" i="6" l="1"/>
  <c r="C331" i="6"/>
  <c r="C21" i="3"/>
  <c r="AG31" i="3"/>
  <c r="AG35" i="3"/>
  <c r="C42" i="3"/>
  <c r="D53" i="3"/>
  <c r="C8" i="2" s="1"/>
  <c r="C44" i="19"/>
  <c r="C9" i="21" s="1"/>
  <c r="C9" i="23" s="1"/>
  <c r="C22" i="19"/>
  <c r="AG37" i="19"/>
  <c r="AG38" i="19" s="1"/>
  <c r="AG39" i="19" s="1"/>
  <c r="AG33" i="19"/>
  <c r="D55" i="19"/>
  <c r="C43" i="19" s="1"/>
  <c r="C15" i="10"/>
  <c r="F22" i="10"/>
  <c r="E331" i="6" l="1"/>
  <c r="F331" i="6"/>
  <c r="F33" i="10"/>
  <c r="C22" i="10"/>
  <c r="C8" i="27"/>
  <c r="C44" i="10"/>
  <c r="B8" i="23"/>
  <c r="C46" i="19"/>
  <c r="C6" i="21" s="1"/>
  <c r="C6" i="23" s="1"/>
  <c r="C50" i="19"/>
  <c r="C47" i="19"/>
  <c r="AG34" i="3"/>
  <c r="C31" i="3"/>
  <c r="C8" i="21"/>
  <c r="C8" i="23" s="1"/>
  <c r="D43" i="19"/>
  <c r="C33" i="19"/>
  <c r="AG36" i="19"/>
  <c r="C9" i="2"/>
  <c r="C45" i="10"/>
  <c r="C9" i="27"/>
  <c r="F39" i="10"/>
  <c r="F40" i="10" s="1"/>
  <c r="AG36" i="3"/>
  <c r="AG37" i="3" s="1"/>
  <c r="C45" i="3"/>
  <c r="C48" i="10" s="1"/>
  <c r="C48" i="3"/>
  <c r="C51" i="10" s="1"/>
  <c r="C44" i="3"/>
  <c r="C332" i="6" l="1"/>
  <c r="D332" i="6"/>
  <c r="B9" i="23"/>
  <c r="B6" i="36"/>
  <c r="D6" i="36" s="1"/>
  <c r="AH34" i="3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CH34" i="3" s="1"/>
  <c r="CI34" i="3" s="1"/>
  <c r="CJ34" i="3" s="1"/>
  <c r="CK34" i="3" s="1"/>
  <c r="CL34" i="3" s="1"/>
  <c r="CM34" i="3" s="1"/>
  <c r="CN34" i="3" s="1"/>
  <c r="CO34" i="3" s="1"/>
  <c r="CP34" i="3" s="1"/>
  <c r="CQ34" i="3" s="1"/>
  <c r="CR34" i="3" s="1"/>
  <c r="CS34" i="3" s="1"/>
  <c r="CT34" i="3" s="1"/>
  <c r="CU34" i="3" s="1"/>
  <c r="CV34" i="3" s="1"/>
  <c r="CW34" i="3" s="1"/>
  <c r="CX34" i="3" s="1"/>
  <c r="CY34" i="3" s="1"/>
  <c r="CZ34" i="3" s="1"/>
  <c r="DA34" i="3" s="1"/>
  <c r="DB34" i="3" s="1"/>
  <c r="DC34" i="3" s="1"/>
  <c r="DD34" i="3" s="1"/>
  <c r="DE34" i="3" s="1"/>
  <c r="DF34" i="3" s="1"/>
  <c r="DG34" i="3" s="1"/>
  <c r="DH34" i="3" s="1"/>
  <c r="DI34" i="3" s="1"/>
  <c r="DJ34" i="3" s="1"/>
  <c r="DK34" i="3" s="1"/>
  <c r="DL34" i="3" s="1"/>
  <c r="DM34" i="3" s="1"/>
  <c r="DN34" i="3" s="1"/>
  <c r="DO34" i="3" s="1"/>
  <c r="DP34" i="3" s="1"/>
  <c r="DQ34" i="3" s="1"/>
  <c r="DR34" i="3" s="1"/>
  <c r="DS34" i="3" s="1"/>
  <c r="DT34" i="3" s="1"/>
  <c r="DU34" i="3" s="1"/>
  <c r="DV34" i="3" s="1"/>
  <c r="DW34" i="3" s="1"/>
  <c r="DX34" i="3" s="1"/>
  <c r="DY34" i="3" s="1"/>
  <c r="DZ34" i="3" s="1"/>
  <c r="EA34" i="3" s="1"/>
  <c r="EB34" i="3" s="1"/>
  <c r="EC34" i="3" s="1"/>
  <c r="ED34" i="3" s="1"/>
  <c r="EE34" i="3" s="1"/>
  <c r="EF34" i="3" s="1"/>
  <c r="EG34" i="3" s="1"/>
  <c r="EH34" i="3" s="1"/>
  <c r="EI34" i="3" s="1"/>
  <c r="EJ34" i="3" s="1"/>
  <c r="EK34" i="3" s="1"/>
  <c r="EL34" i="3" s="1"/>
  <c r="EM34" i="3" s="1"/>
  <c r="EN34" i="3" s="1"/>
  <c r="EO34" i="3" s="1"/>
  <c r="EP34" i="3" s="1"/>
  <c r="EQ34" i="3" s="1"/>
  <c r="ER34" i="3" s="1"/>
  <c r="ES34" i="3" s="1"/>
  <c r="ET34" i="3" s="1"/>
  <c r="EU34" i="3" s="1"/>
  <c r="EV34" i="3" s="1"/>
  <c r="EW34" i="3" s="1"/>
  <c r="EX34" i="3" s="1"/>
  <c r="EY34" i="3" s="1"/>
  <c r="EZ34" i="3" s="1"/>
  <c r="FA34" i="3" s="1"/>
  <c r="FB34" i="3" s="1"/>
  <c r="FC34" i="3" s="1"/>
  <c r="FD34" i="3" s="1"/>
  <c r="FE34" i="3" s="1"/>
  <c r="FF34" i="3" s="1"/>
  <c r="FG34" i="3" s="1"/>
  <c r="FH34" i="3" s="1"/>
  <c r="FI34" i="3" s="1"/>
  <c r="FJ34" i="3" s="1"/>
  <c r="FK34" i="3" s="1"/>
  <c r="FL34" i="3" s="1"/>
  <c r="FM34" i="3" s="1"/>
  <c r="FN34" i="3" s="1"/>
  <c r="FO34" i="3" s="1"/>
  <c r="FP34" i="3" s="1"/>
  <c r="FQ34" i="3" s="1"/>
  <c r="FR34" i="3" s="1"/>
  <c r="FS34" i="3" s="1"/>
  <c r="FT34" i="3" s="1"/>
  <c r="FU34" i="3" s="1"/>
  <c r="FV34" i="3" s="1"/>
  <c r="FW34" i="3" s="1"/>
  <c r="FX34" i="3" s="1"/>
  <c r="FY34" i="3" s="1"/>
  <c r="FZ34" i="3" s="1"/>
  <c r="GA34" i="3" s="1"/>
  <c r="GB34" i="3" s="1"/>
  <c r="GC34" i="3" s="1"/>
  <c r="GD34" i="3" s="1"/>
  <c r="GE34" i="3" s="1"/>
  <c r="GF34" i="3" s="1"/>
  <c r="GG34" i="3" s="1"/>
  <c r="GH34" i="3" s="1"/>
  <c r="GI34" i="3" s="1"/>
  <c r="GJ34" i="3" s="1"/>
  <c r="GK34" i="3" s="1"/>
  <c r="GL34" i="3" s="1"/>
  <c r="GM34" i="3" s="1"/>
  <c r="GN34" i="3" s="1"/>
  <c r="GO34" i="3" s="1"/>
  <c r="GP34" i="3" s="1"/>
  <c r="GQ34" i="3" s="1"/>
  <c r="GR34" i="3" s="1"/>
  <c r="GS34" i="3" s="1"/>
  <c r="GT34" i="3" s="1"/>
  <c r="GU34" i="3" s="1"/>
  <c r="GV34" i="3" s="1"/>
  <c r="GW34" i="3" s="1"/>
  <c r="GX34" i="3" s="1"/>
  <c r="GY34" i="3" s="1"/>
  <c r="GZ34" i="3" s="1"/>
  <c r="HA34" i="3" s="1"/>
  <c r="HB34" i="3" s="1"/>
  <c r="HC34" i="3" s="1"/>
  <c r="HD34" i="3" s="1"/>
  <c r="HE34" i="3" s="1"/>
  <c r="HF34" i="3" s="1"/>
  <c r="HG34" i="3" s="1"/>
  <c r="HH34" i="3" s="1"/>
  <c r="HI34" i="3" s="1"/>
  <c r="HJ34" i="3" s="1"/>
  <c r="HK34" i="3" s="1"/>
  <c r="HL34" i="3" s="1"/>
  <c r="HM34" i="3" s="1"/>
  <c r="HN34" i="3" s="1"/>
  <c r="HO34" i="3" s="1"/>
  <c r="HP34" i="3" s="1"/>
  <c r="HQ34" i="3" s="1"/>
  <c r="HR34" i="3" s="1"/>
  <c r="HS34" i="3" s="1"/>
  <c r="HT34" i="3" s="1"/>
  <c r="HU34" i="3" s="1"/>
  <c r="HV34" i="3" s="1"/>
  <c r="HW34" i="3" s="1"/>
  <c r="HX34" i="3" s="1"/>
  <c r="HY34" i="3" s="1"/>
  <c r="HZ34" i="3" s="1"/>
  <c r="IA34" i="3" s="1"/>
  <c r="IB34" i="3" s="1"/>
  <c r="IC34" i="3" s="1"/>
  <c r="ID34" i="3" s="1"/>
  <c r="IE34" i="3" s="1"/>
  <c r="IF34" i="3" s="1"/>
  <c r="IG34" i="3" s="1"/>
  <c r="IH34" i="3" s="1"/>
  <c r="II34" i="3" s="1"/>
  <c r="IJ34" i="3" s="1"/>
  <c r="IK34" i="3" s="1"/>
  <c r="IL34" i="3" s="1"/>
  <c r="IM34" i="3" s="1"/>
  <c r="IN34" i="3" s="1"/>
  <c r="IO34" i="3" s="1"/>
  <c r="IP34" i="3" s="1"/>
  <c r="IQ34" i="3" s="1"/>
  <c r="IR34" i="3" s="1"/>
  <c r="IS34" i="3" s="1"/>
  <c r="IT34" i="3" s="1"/>
  <c r="IU34" i="3" s="1"/>
  <c r="IV34" i="3" s="1"/>
  <c r="IW34" i="3" s="1"/>
  <c r="IX34" i="3" s="1"/>
  <c r="IY34" i="3" s="1"/>
  <c r="IZ34" i="3" s="1"/>
  <c r="JA34" i="3" s="1"/>
  <c r="JB34" i="3" s="1"/>
  <c r="JC34" i="3" s="1"/>
  <c r="JD34" i="3" s="1"/>
  <c r="JE34" i="3" s="1"/>
  <c r="JF34" i="3" s="1"/>
  <c r="JG34" i="3" s="1"/>
  <c r="JH34" i="3" s="1"/>
  <c r="JI34" i="3" s="1"/>
  <c r="JJ34" i="3" s="1"/>
  <c r="JK34" i="3" s="1"/>
  <c r="JL34" i="3" s="1"/>
  <c r="JM34" i="3" s="1"/>
  <c r="JN34" i="3" s="1"/>
  <c r="JO34" i="3" s="1"/>
  <c r="JP34" i="3" s="1"/>
  <c r="JQ34" i="3" s="1"/>
  <c r="JR34" i="3" s="1"/>
  <c r="JS34" i="3" s="1"/>
  <c r="JT34" i="3" s="1"/>
  <c r="JU34" i="3" s="1"/>
  <c r="JV34" i="3" s="1"/>
  <c r="JW34" i="3" s="1"/>
  <c r="JX34" i="3" s="1"/>
  <c r="JY34" i="3" s="1"/>
  <c r="JZ34" i="3" s="1"/>
  <c r="KA34" i="3" s="1"/>
  <c r="KB34" i="3" s="1"/>
  <c r="KC34" i="3" s="1"/>
  <c r="KD34" i="3" s="1"/>
  <c r="KE34" i="3" s="1"/>
  <c r="KF34" i="3" s="1"/>
  <c r="KG34" i="3" s="1"/>
  <c r="KH34" i="3" s="1"/>
  <c r="KI34" i="3" s="1"/>
  <c r="KJ34" i="3" s="1"/>
  <c r="KK34" i="3" s="1"/>
  <c r="KL34" i="3" s="1"/>
  <c r="KM34" i="3" s="1"/>
  <c r="KN34" i="3" s="1"/>
  <c r="KO34" i="3" s="1"/>
  <c r="KP34" i="3" s="1"/>
  <c r="KQ34" i="3" s="1"/>
  <c r="AH36" i="19"/>
  <c r="AI36" i="19" s="1"/>
  <c r="AJ36" i="19" s="1"/>
  <c r="AK36" i="19" s="1"/>
  <c r="AL36" i="19" s="1"/>
  <c r="AM36" i="19" s="1"/>
  <c r="AN36" i="19" s="1"/>
  <c r="AO36" i="19" s="1"/>
  <c r="AP36" i="19" s="1"/>
  <c r="AQ36" i="19" s="1"/>
  <c r="AR36" i="19" s="1"/>
  <c r="AS36" i="19" s="1"/>
  <c r="AT36" i="19" s="1"/>
  <c r="AU36" i="19" s="1"/>
  <c r="AV36" i="19" s="1"/>
  <c r="AW36" i="19" s="1"/>
  <c r="AX36" i="19" s="1"/>
  <c r="AY36" i="19" s="1"/>
  <c r="AZ36" i="19" s="1"/>
  <c r="BA36" i="19" s="1"/>
  <c r="BB36" i="19" s="1"/>
  <c r="BC36" i="19" s="1"/>
  <c r="BD36" i="19" s="1"/>
  <c r="BE36" i="19" s="1"/>
  <c r="BF36" i="19" s="1"/>
  <c r="BG36" i="19" s="1"/>
  <c r="BH36" i="19" s="1"/>
  <c r="BI36" i="19" s="1"/>
  <c r="BJ36" i="19" s="1"/>
  <c r="BK36" i="19" s="1"/>
  <c r="BL36" i="19" s="1"/>
  <c r="BM36" i="19" s="1"/>
  <c r="BN36" i="19" s="1"/>
  <c r="BO36" i="19" s="1"/>
  <c r="BP36" i="19" s="1"/>
  <c r="BQ36" i="19" s="1"/>
  <c r="BR36" i="19" s="1"/>
  <c r="BS36" i="19" s="1"/>
  <c r="BT36" i="19" s="1"/>
  <c r="BU36" i="19" s="1"/>
  <c r="BV36" i="19" s="1"/>
  <c r="BW36" i="19" s="1"/>
  <c r="BX36" i="19" s="1"/>
  <c r="BY36" i="19" s="1"/>
  <c r="BZ36" i="19" s="1"/>
  <c r="CA36" i="19" s="1"/>
  <c r="CB36" i="19" s="1"/>
  <c r="CC36" i="19" s="1"/>
  <c r="CD36" i="19" s="1"/>
  <c r="CE36" i="19" s="1"/>
  <c r="CF36" i="19" s="1"/>
  <c r="CG36" i="19" s="1"/>
  <c r="CH36" i="19" s="1"/>
  <c r="CI36" i="19" s="1"/>
  <c r="CJ36" i="19" s="1"/>
  <c r="CK36" i="19" s="1"/>
  <c r="CL36" i="19" s="1"/>
  <c r="CM36" i="19" s="1"/>
  <c r="CN36" i="19" s="1"/>
  <c r="CO36" i="19" s="1"/>
  <c r="CP36" i="19" s="1"/>
  <c r="CQ36" i="19" s="1"/>
  <c r="CR36" i="19" s="1"/>
  <c r="CS36" i="19" s="1"/>
  <c r="CT36" i="19" s="1"/>
  <c r="CU36" i="19" s="1"/>
  <c r="CV36" i="19" s="1"/>
  <c r="CW36" i="19" s="1"/>
  <c r="CX36" i="19" s="1"/>
  <c r="CY36" i="19" s="1"/>
  <c r="CZ36" i="19" s="1"/>
  <c r="DA36" i="19" s="1"/>
  <c r="DB36" i="19" s="1"/>
  <c r="DC36" i="19" s="1"/>
  <c r="DD36" i="19" s="1"/>
  <c r="DE36" i="19" s="1"/>
  <c r="DF36" i="19" s="1"/>
  <c r="DG36" i="19" s="1"/>
  <c r="DH36" i="19" s="1"/>
  <c r="DI36" i="19" s="1"/>
  <c r="DJ36" i="19" s="1"/>
  <c r="DK36" i="19" s="1"/>
  <c r="DL36" i="19" s="1"/>
  <c r="DM36" i="19" s="1"/>
  <c r="DN36" i="19" s="1"/>
  <c r="DO36" i="19" s="1"/>
  <c r="DP36" i="19" s="1"/>
  <c r="DQ36" i="19" s="1"/>
  <c r="DR36" i="19" s="1"/>
  <c r="DS36" i="19" s="1"/>
  <c r="DT36" i="19" s="1"/>
  <c r="DU36" i="19" s="1"/>
  <c r="DV36" i="19" s="1"/>
  <c r="DW36" i="19" s="1"/>
  <c r="DX36" i="19" s="1"/>
  <c r="DY36" i="19" s="1"/>
  <c r="DZ36" i="19" s="1"/>
  <c r="EA36" i="19" s="1"/>
  <c r="EB36" i="19" s="1"/>
  <c r="EC36" i="19" s="1"/>
  <c r="ED36" i="19" s="1"/>
  <c r="EE36" i="19" s="1"/>
  <c r="EF36" i="19" s="1"/>
  <c r="EG36" i="19" s="1"/>
  <c r="EH36" i="19" s="1"/>
  <c r="EI36" i="19" s="1"/>
  <c r="EJ36" i="19" s="1"/>
  <c r="EK36" i="19" s="1"/>
  <c r="EL36" i="19" s="1"/>
  <c r="EM36" i="19" s="1"/>
  <c r="EN36" i="19" s="1"/>
  <c r="EO36" i="19" s="1"/>
  <c r="EP36" i="19" s="1"/>
  <c r="EQ36" i="19" s="1"/>
  <c r="ER36" i="19" s="1"/>
  <c r="ES36" i="19" s="1"/>
  <c r="ET36" i="19" s="1"/>
  <c r="EU36" i="19" s="1"/>
  <c r="EV36" i="19" s="1"/>
  <c r="EW36" i="19" s="1"/>
  <c r="EX36" i="19" s="1"/>
  <c r="EY36" i="19" s="1"/>
  <c r="EZ36" i="19" s="1"/>
  <c r="FA36" i="19" s="1"/>
  <c r="FB36" i="19" s="1"/>
  <c r="FC36" i="19" s="1"/>
  <c r="FD36" i="19" s="1"/>
  <c r="FE36" i="19" s="1"/>
  <c r="FF36" i="19" s="1"/>
  <c r="FG36" i="19" s="1"/>
  <c r="FH36" i="19" s="1"/>
  <c r="FI36" i="19" s="1"/>
  <c r="FJ36" i="19" s="1"/>
  <c r="FK36" i="19" s="1"/>
  <c r="FL36" i="19" s="1"/>
  <c r="FM36" i="19" s="1"/>
  <c r="FN36" i="19" s="1"/>
  <c r="FO36" i="19" s="1"/>
  <c r="FP36" i="19" s="1"/>
  <c r="FQ36" i="19" s="1"/>
  <c r="FR36" i="19" s="1"/>
  <c r="FS36" i="19" s="1"/>
  <c r="FT36" i="19" s="1"/>
  <c r="FU36" i="19" s="1"/>
  <c r="FV36" i="19" s="1"/>
  <c r="FW36" i="19" s="1"/>
  <c r="FX36" i="19" s="1"/>
  <c r="FY36" i="19" s="1"/>
  <c r="FZ36" i="19" s="1"/>
  <c r="GA36" i="19" s="1"/>
  <c r="GB36" i="19" s="1"/>
  <c r="GC36" i="19" s="1"/>
  <c r="GD36" i="19" s="1"/>
  <c r="GE36" i="19" s="1"/>
  <c r="GF36" i="19" s="1"/>
  <c r="GG36" i="19" s="1"/>
  <c r="GH36" i="19" s="1"/>
  <c r="GI36" i="19" s="1"/>
  <c r="GJ36" i="19" s="1"/>
  <c r="GK36" i="19" s="1"/>
  <c r="GL36" i="19" s="1"/>
  <c r="GM36" i="19" s="1"/>
  <c r="GN36" i="19" s="1"/>
  <c r="GO36" i="19" s="1"/>
  <c r="GP36" i="19" s="1"/>
  <c r="GQ36" i="19" s="1"/>
  <c r="GR36" i="19" s="1"/>
  <c r="GS36" i="19" s="1"/>
  <c r="GT36" i="19" s="1"/>
  <c r="GU36" i="19" s="1"/>
  <c r="GV36" i="19" s="1"/>
  <c r="GW36" i="19" s="1"/>
  <c r="GX36" i="19" s="1"/>
  <c r="GY36" i="19" s="1"/>
  <c r="GZ36" i="19" s="1"/>
  <c r="HA36" i="19" s="1"/>
  <c r="HB36" i="19" s="1"/>
  <c r="HC36" i="19" s="1"/>
  <c r="HD36" i="19" s="1"/>
  <c r="HE36" i="19" s="1"/>
  <c r="HF36" i="19" s="1"/>
  <c r="HG36" i="19" s="1"/>
  <c r="HH36" i="19" s="1"/>
  <c r="HI36" i="19" s="1"/>
  <c r="HJ36" i="19" s="1"/>
  <c r="HK36" i="19" s="1"/>
  <c r="HL36" i="19" s="1"/>
  <c r="HM36" i="19" s="1"/>
  <c r="HN36" i="19" s="1"/>
  <c r="HO36" i="19" s="1"/>
  <c r="HP36" i="19" s="1"/>
  <c r="HQ36" i="19" s="1"/>
  <c r="HR36" i="19" s="1"/>
  <c r="HS36" i="19" s="1"/>
  <c r="HT36" i="19" s="1"/>
  <c r="HU36" i="19" s="1"/>
  <c r="HV36" i="19" s="1"/>
  <c r="HW36" i="19" s="1"/>
  <c r="HX36" i="19" s="1"/>
  <c r="HY36" i="19" s="1"/>
  <c r="HZ36" i="19" s="1"/>
  <c r="IA36" i="19" s="1"/>
  <c r="IB36" i="19" s="1"/>
  <c r="IC36" i="19" s="1"/>
  <c r="ID36" i="19" s="1"/>
  <c r="IE36" i="19" s="1"/>
  <c r="IF36" i="19" s="1"/>
  <c r="IG36" i="19" s="1"/>
  <c r="IH36" i="19" s="1"/>
  <c r="II36" i="19" s="1"/>
  <c r="IJ36" i="19" s="1"/>
  <c r="IK36" i="19" s="1"/>
  <c r="IL36" i="19" s="1"/>
  <c r="IM36" i="19" s="1"/>
  <c r="IN36" i="19" s="1"/>
  <c r="IO36" i="19" s="1"/>
  <c r="IP36" i="19" s="1"/>
  <c r="IQ36" i="19" s="1"/>
  <c r="IR36" i="19" s="1"/>
  <c r="IS36" i="19" s="1"/>
  <c r="IT36" i="19" s="1"/>
  <c r="IU36" i="19" s="1"/>
  <c r="IV36" i="19" s="1"/>
  <c r="IW36" i="19" s="1"/>
  <c r="IX36" i="19" s="1"/>
  <c r="IY36" i="19" s="1"/>
  <c r="IZ36" i="19" s="1"/>
  <c r="JA36" i="19" s="1"/>
  <c r="JB36" i="19" s="1"/>
  <c r="JC36" i="19" s="1"/>
  <c r="JD36" i="19" s="1"/>
  <c r="JE36" i="19" s="1"/>
  <c r="JF36" i="19" s="1"/>
  <c r="JG36" i="19" s="1"/>
  <c r="JH36" i="19" s="1"/>
  <c r="JI36" i="19" s="1"/>
  <c r="JJ36" i="19" s="1"/>
  <c r="JK36" i="19" s="1"/>
  <c r="JL36" i="19" s="1"/>
  <c r="JM36" i="19" s="1"/>
  <c r="JN36" i="19" s="1"/>
  <c r="JO36" i="19" s="1"/>
  <c r="JP36" i="19" s="1"/>
  <c r="JQ36" i="19" s="1"/>
  <c r="JR36" i="19" s="1"/>
  <c r="JS36" i="19" s="1"/>
  <c r="JT36" i="19" s="1"/>
  <c r="JU36" i="19" s="1"/>
  <c r="JV36" i="19" s="1"/>
  <c r="JW36" i="19" s="1"/>
  <c r="JX36" i="19" s="1"/>
  <c r="JY36" i="19" s="1"/>
  <c r="JZ36" i="19" s="1"/>
  <c r="KA36" i="19" s="1"/>
  <c r="KB36" i="19" s="1"/>
  <c r="KC36" i="19" s="1"/>
  <c r="KD36" i="19" s="1"/>
  <c r="KE36" i="19" s="1"/>
  <c r="KF36" i="19" s="1"/>
  <c r="KG36" i="19" s="1"/>
  <c r="KH36" i="19" s="1"/>
  <c r="KI36" i="19" s="1"/>
  <c r="KJ36" i="19" s="1"/>
  <c r="KK36" i="19" s="1"/>
  <c r="KL36" i="19" s="1"/>
  <c r="KM36" i="19" s="1"/>
  <c r="KN36" i="19" s="1"/>
  <c r="KO36" i="19" s="1"/>
  <c r="KP36" i="19" s="1"/>
  <c r="KQ36" i="19" s="1"/>
  <c r="C47" i="10"/>
  <c r="C6" i="27"/>
  <c r="C6" i="2"/>
  <c r="C33" i="10"/>
  <c r="F36" i="10"/>
  <c r="F332" i="6" l="1"/>
  <c r="E332" i="6"/>
  <c r="B6" i="23"/>
  <c r="C37" i="3" a="1"/>
  <c r="C37" i="3" s="1"/>
  <c r="G36" i="10"/>
  <c r="F37" i="10"/>
  <c r="C39" i="19" a="1"/>
  <c r="C39" i="19" s="1"/>
  <c r="C333" i="6" l="1"/>
  <c r="D333" i="6"/>
  <c r="C10" i="2"/>
  <c r="B10" i="23" s="1"/>
  <c r="C46" i="3"/>
  <c r="C41" i="10"/>
  <c r="C10" i="27"/>
  <c r="C48" i="19"/>
  <c r="C11" i="21" s="1"/>
  <c r="C11" i="23" s="1"/>
  <c r="C10" i="21"/>
  <c r="C10" i="23" s="1"/>
  <c r="H36" i="10"/>
  <c r="G37" i="10"/>
  <c r="E333" i="6" l="1"/>
  <c r="F333" i="6"/>
  <c r="C49" i="10"/>
  <c r="C11" i="2"/>
  <c r="B11" i="23" s="1"/>
  <c r="C11" i="27"/>
  <c r="H37" i="10"/>
  <c r="I36" i="10"/>
  <c r="C334" i="6" l="1"/>
  <c r="E334" i="6" s="1"/>
  <c r="D334" i="6"/>
  <c r="I37" i="10"/>
  <c r="J36" i="10"/>
  <c r="F334" i="6" l="1"/>
  <c r="K36" i="10"/>
  <c r="J37" i="10"/>
  <c r="C335" i="6" l="1"/>
  <c r="D335" i="6"/>
  <c r="L36" i="10"/>
  <c r="K37" i="10"/>
  <c r="E335" i="6" l="1"/>
  <c r="F335" i="6"/>
  <c r="M36" i="10"/>
  <c r="L37" i="10"/>
  <c r="C336" i="6" l="1"/>
  <c r="E336" i="6" s="1"/>
  <c r="D336" i="6"/>
  <c r="M37" i="10"/>
  <c r="N36" i="10"/>
  <c r="F336" i="6" l="1"/>
  <c r="O36" i="10"/>
  <c r="N37" i="10"/>
  <c r="D337" i="6" l="1"/>
  <c r="C337" i="6"/>
  <c r="E337" i="6" s="1"/>
  <c r="F337" i="6"/>
  <c r="P36" i="10"/>
  <c r="O37" i="10"/>
  <c r="C338" i="6" l="1"/>
  <c r="E338" i="6" s="1"/>
  <c r="D338" i="6"/>
  <c r="P37" i="10"/>
  <c r="Q36" i="10"/>
  <c r="F338" i="6" l="1"/>
  <c r="Q37" i="10"/>
  <c r="R36" i="10"/>
  <c r="C339" i="6" l="1"/>
  <c r="D339" i="6"/>
  <c r="S36" i="10"/>
  <c r="R37" i="10"/>
  <c r="E339" i="6" l="1"/>
  <c r="F339" i="6"/>
  <c r="T36" i="10"/>
  <c r="S37" i="10"/>
  <c r="D340" i="6" l="1"/>
  <c r="C340" i="6"/>
  <c r="E340" i="6" s="1"/>
  <c r="U36" i="10"/>
  <c r="T37" i="10"/>
  <c r="F340" i="6" l="1"/>
  <c r="U37" i="10"/>
  <c r="V36" i="10"/>
  <c r="C341" i="6" l="1"/>
  <c r="D341" i="6"/>
  <c r="W36" i="10"/>
  <c r="V37" i="10"/>
  <c r="E341" i="6" l="1"/>
  <c r="F341" i="6"/>
  <c r="X36" i="10"/>
  <c r="W37" i="10"/>
  <c r="C342" i="6" l="1"/>
  <c r="D342" i="6"/>
  <c r="X37" i="10"/>
  <c r="Y36" i="10"/>
  <c r="E342" i="6" l="1"/>
  <c r="F342" i="6"/>
  <c r="Y37" i="10"/>
  <c r="Z36" i="10"/>
  <c r="D343" i="6" l="1"/>
  <c r="C343" i="6"/>
  <c r="AA36" i="10"/>
  <c r="Z37" i="10"/>
  <c r="E343" i="6" l="1"/>
  <c r="F343" i="6"/>
  <c r="AB36" i="10"/>
  <c r="AA37" i="10"/>
  <c r="C344" i="6" l="1"/>
  <c r="D344" i="6"/>
  <c r="AB37" i="10"/>
  <c r="AC36" i="10"/>
  <c r="AC37" i="10" s="1"/>
  <c r="C37" i="10" l="1"/>
  <c r="E344" i="6"/>
  <c r="F344" i="6"/>
  <c r="B71" i="38"/>
  <c r="I23" i="37"/>
  <c r="F345" i="6" l="1"/>
  <c r="C345" i="6"/>
  <c r="D345" i="6"/>
  <c r="C71" i="38"/>
  <c r="B70" i="38"/>
  <c r="C346" i="6" l="1"/>
  <c r="E346" i="6" s="1"/>
  <c r="D346" i="6"/>
  <c r="E345" i="6"/>
  <c r="C70" i="38"/>
  <c r="B39" i="38"/>
  <c r="F346" i="6" l="1"/>
  <c r="I24" i="37"/>
  <c r="C39" i="38"/>
  <c r="C72" i="38" s="1"/>
  <c r="C73" i="38" s="1"/>
  <c r="C74" i="38" s="1"/>
  <c r="C75" i="38" s="1"/>
  <c r="B72" i="38"/>
  <c r="B73" i="38" s="1"/>
  <c r="B74" i="38" s="1"/>
  <c r="C5" i="37"/>
  <c r="C347" i="6" l="1"/>
  <c r="D347" i="6"/>
  <c r="F347" i="6"/>
  <c r="B75" i="38"/>
  <c r="C4" i="37"/>
  <c r="C4" i="36" s="1"/>
  <c r="F26" i="37"/>
  <c r="C348" i="6" l="1"/>
  <c r="E348" i="6" s="1"/>
  <c r="D348" i="6"/>
  <c r="E347" i="6"/>
  <c r="C5" i="36"/>
  <c r="D5" i="36" s="1"/>
  <c r="D4" i="36"/>
  <c r="C9" i="37"/>
  <c r="F348" i="6" l="1"/>
  <c r="C8" i="37"/>
  <c r="C6" i="37"/>
  <c r="D349" i="6" l="1"/>
  <c r="C349" i="6"/>
  <c r="E349" i="6" s="1"/>
  <c r="C10" i="37"/>
  <c r="F349" i="6" l="1"/>
  <c r="C11" i="37"/>
  <c r="D350" i="6" l="1"/>
  <c r="C350" i="6"/>
  <c r="E350" i="6" s="1"/>
  <c r="F350" i="6" l="1"/>
  <c r="C351" i="6" l="1"/>
  <c r="D351" i="6"/>
  <c r="F351" i="6"/>
  <c r="C352" i="6" l="1"/>
  <c r="E352" i="6" s="1"/>
  <c r="D352" i="6"/>
  <c r="E351" i="6"/>
  <c r="F352" i="6" l="1"/>
  <c r="D353" i="6" l="1"/>
  <c r="C353" i="6"/>
  <c r="F353" i="6"/>
  <c r="D354" i="6" l="1"/>
  <c r="C354" i="6"/>
  <c r="E353" i="6"/>
  <c r="E354" i="6" l="1"/>
  <c r="F354" i="6"/>
  <c r="F355" i="6" l="1"/>
  <c r="D355" i="6"/>
  <c r="C355" i="6"/>
  <c r="D356" i="6" l="1"/>
  <c r="C356" i="6"/>
  <c r="E356" i="6" s="1"/>
  <c r="E355" i="6"/>
  <c r="F356" i="6" l="1"/>
  <c r="C357" i="6" l="1"/>
  <c r="D357" i="6"/>
  <c r="F357" i="6"/>
  <c r="C358" i="6" l="1"/>
  <c r="D358" i="6"/>
  <c r="E357" i="6"/>
  <c r="E358" i="6" l="1"/>
  <c r="F358" i="6"/>
  <c r="C359" i="6" l="1"/>
  <c r="D359" i="6"/>
  <c r="E359" i="6" l="1"/>
  <c r="F359" i="6"/>
  <c r="F360" i="6" l="1"/>
  <c r="C360" i="6"/>
  <c r="D360" i="6"/>
  <c r="C361" i="6" l="1"/>
  <c r="E361" i="6" s="1"/>
  <c r="D361" i="6"/>
  <c r="E360" i="6"/>
  <c r="F361" i="6" l="1"/>
  <c r="D362" i="6" l="1"/>
  <c r="C362" i="6"/>
  <c r="E362" i="6" s="1"/>
  <c r="F362" i="6" l="1"/>
  <c r="C363" i="6" l="1"/>
  <c r="E363" i="6" s="1"/>
  <c r="D363" i="6"/>
  <c r="F363" i="6" l="1"/>
  <c r="C364" i="6" l="1"/>
  <c r="D364" i="6"/>
  <c r="E364" i="6" l="1"/>
  <c r="F364" i="6"/>
  <c r="C365" i="6" l="1"/>
  <c r="D365" i="6"/>
  <c r="E365" i="6" l="1"/>
  <c r="F365" i="6"/>
  <c r="D366" i="6" l="1"/>
  <c r="C366" i="6"/>
  <c r="E366" i="6" l="1"/>
  <c r="F366" i="6"/>
  <c r="C367" i="6" l="1"/>
  <c r="E367" i="6" s="1"/>
  <c r="D367" i="6"/>
  <c r="F367" i="6" l="1"/>
  <c r="D368" i="6" l="1"/>
  <c r="C368" i="6"/>
  <c r="E368" i="6" s="1"/>
  <c r="F368" i="6"/>
  <c r="C369" i="6" l="1"/>
  <c r="E369" i="6" s="1"/>
  <c r="D369" i="6"/>
  <c r="F369" i="6" l="1"/>
  <c r="C370" i="6" l="1"/>
  <c r="D370" i="6"/>
  <c r="F370" i="6" l="1"/>
  <c r="E370" i="6"/>
  <c r="C371" i="6" l="1"/>
  <c r="D371" i="6"/>
  <c r="E371" i="6" l="1"/>
  <c r="F371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<sst xmlns="http://schemas.openxmlformats.org/spreadsheetml/2006/main" count="1472" uniqueCount="455">
  <si>
    <t xml:space="preserve">Итоговые показатели </t>
  </si>
  <si>
    <t>Net Profit</t>
  </si>
  <si>
    <t>ROS, %</t>
  </si>
  <si>
    <t xml:space="preserve">ROE (Отдача на капитал) </t>
  </si>
  <si>
    <t xml:space="preserve">WACC (Годовой) </t>
  </si>
  <si>
    <t>IRR (Минимальная ставка доходности)</t>
  </si>
  <si>
    <t xml:space="preserve">NPV </t>
  </si>
  <si>
    <t xml:space="preserve">PP </t>
  </si>
  <si>
    <t>DPP</t>
  </si>
  <si>
    <t>Основные вводные</t>
  </si>
  <si>
    <t>LAND</t>
  </si>
  <si>
    <t>SALES</t>
  </si>
  <si>
    <t>COSTS</t>
  </si>
  <si>
    <t>Площадь ЗУ, га</t>
  </si>
  <si>
    <t>Цена за м2 квартиры</t>
  </si>
  <si>
    <t>Себестоимость за м2</t>
  </si>
  <si>
    <t>Курс ЗУ</t>
  </si>
  <si>
    <t>Цена за м2 офиса</t>
  </si>
  <si>
    <t>Накладные расходы</t>
  </si>
  <si>
    <t>Стоимость за сотку, USD</t>
  </si>
  <si>
    <t>Цена за м2 кладовки</t>
  </si>
  <si>
    <t>Расходы на реализацию</t>
  </si>
  <si>
    <t>Стоимость участка итого, KZT</t>
  </si>
  <si>
    <t>Цена за 1 м/м</t>
  </si>
  <si>
    <t>Расходы офиса</t>
  </si>
  <si>
    <t>Гарантийный Резерв</t>
  </si>
  <si>
    <t>CONSTRUCTION</t>
  </si>
  <si>
    <t>CASH FLOW</t>
  </si>
  <si>
    <t>TAXES</t>
  </si>
  <si>
    <t>Этажность</t>
  </si>
  <si>
    <t>Собственный капитал</t>
  </si>
  <si>
    <t>ПИРы</t>
  </si>
  <si>
    <t>Застраиваемая площадь</t>
  </si>
  <si>
    <t>Кредит</t>
  </si>
  <si>
    <t>НДС</t>
  </si>
  <si>
    <t>Продаваемая площадь</t>
  </si>
  <si>
    <t>Срок займа, мес</t>
  </si>
  <si>
    <t>КПН</t>
  </si>
  <si>
    <t>Прод площ 1 очереди</t>
  </si>
  <si>
    <t>Дивиденды</t>
  </si>
  <si>
    <t>Дата займа</t>
  </si>
  <si>
    <t>ЖЦП, мес</t>
  </si>
  <si>
    <t>Ставка, %</t>
  </si>
  <si>
    <t>Дата старта</t>
  </si>
  <si>
    <t>Льготный период, мес</t>
  </si>
  <si>
    <t>Ставка займа (годовая)</t>
  </si>
  <si>
    <t xml:space="preserve">Стоимость акционерских денег </t>
  </si>
  <si>
    <t>Показатель</t>
  </si>
  <si>
    <t>KZT</t>
  </si>
  <si>
    <t>USD</t>
  </si>
  <si>
    <t>Цена за сотку (Общая), USD</t>
  </si>
  <si>
    <t>Курс $</t>
  </si>
  <si>
    <t>Земельный участок га</t>
  </si>
  <si>
    <t>12</t>
  </si>
  <si>
    <t>Реализуемая площадь, м2</t>
  </si>
  <si>
    <t>Квартиры (себес м2 * площадь)</t>
  </si>
  <si>
    <t>Кладовые помещения</t>
  </si>
  <si>
    <t xml:space="preserve">Коммерческие помещения </t>
  </si>
  <si>
    <t>Паркинги</t>
  </si>
  <si>
    <t>Реализуемое количество, шт</t>
  </si>
  <si>
    <t>Квартиры</t>
  </si>
  <si>
    <t>Средние цены реализации:</t>
  </si>
  <si>
    <t xml:space="preserve">Квартиры </t>
  </si>
  <si>
    <t>Cебестоимость СМР за м2:</t>
  </si>
  <si>
    <t>Средняя себестоимость (СМР+ПСД+опер.+накл.)</t>
  </si>
  <si>
    <t>Строительно-монтажные работы</t>
  </si>
  <si>
    <t>Земельный участок</t>
  </si>
  <si>
    <t>Расходы заказчика</t>
  </si>
  <si>
    <t>Социальная нагрузка</t>
  </si>
  <si>
    <t>% по кредиту</t>
  </si>
  <si>
    <t>Выручка итого в т.ч.</t>
  </si>
  <si>
    <t>Расходы итого:</t>
  </si>
  <si>
    <t>СМР в т.ч.:</t>
  </si>
  <si>
    <t>Коммерческие помещения  (себес м2 * площадь)</t>
  </si>
  <si>
    <t>Кладовки (себес м2 * площадь)</t>
  </si>
  <si>
    <t>Паркинги (себес м2 * площадь)</t>
  </si>
  <si>
    <t>Снос строении</t>
  </si>
  <si>
    <t>Изменение целевого назначения</t>
  </si>
  <si>
    <t>Подключение к сетям</t>
  </si>
  <si>
    <t>ЗУ в т.ч.:</t>
  </si>
  <si>
    <t>ПИР в т.ч.:</t>
  </si>
  <si>
    <t xml:space="preserve">ПИР, тг </t>
  </si>
  <si>
    <t>Накладные расходы вт.ч.</t>
  </si>
  <si>
    <t>Накладные расходы, тг</t>
  </si>
  <si>
    <t>Административные расходы проекта, 1%</t>
  </si>
  <si>
    <t>Подготовительные работы 1%</t>
  </si>
  <si>
    <t>Управление проектом</t>
  </si>
  <si>
    <t>Представительские расходы, тг 1%</t>
  </si>
  <si>
    <t>Содержание HCG (11+6 этаж), 2,4%</t>
  </si>
  <si>
    <t>Гарантийный Резерв, 0,8%</t>
  </si>
  <si>
    <t>Ипотека 5% на 30% квартир</t>
  </si>
  <si>
    <t>Расходы на реализацию, тг 4,5%</t>
  </si>
  <si>
    <t>Соц. Инфраструктура в т.ч.:</t>
  </si>
  <si>
    <t>Школа</t>
  </si>
  <si>
    <t>Дет. Сад</t>
  </si>
  <si>
    <t>Парк</t>
  </si>
  <si>
    <t>НДС не разрешенный в зачет</t>
  </si>
  <si>
    <t xml:space="preserve">НДС </t>
  </si>
  <si>
    <t>Прибыль до налогообложения</t>
  </si>
  <si>
    <t>КПН, 20%</t>
  </si>
  <si>
    <t>Чистая прибыль</t>
  </si>
  <si>
    <t xml:space="preserve">Рентабельность </t>
  </si>
  <si>
    <t xml:space="preserve">Дисконтированные денежные потоки </t>
  </si>
  <si>
    <t>Total</t>
  </si>
  <si>
    <t>Поступления по операционной деятельности</t>
  </si>
  <si>
    <t>Релизация  помещений</t>
  </si>
  <si>
    <t>Выбытие по операционной деятельности</t>
  </si>
  <si>
    <t>Расходы проекта</t>
  </si>
  <si>
    <t>Операционная прибыль EBITDA</t>
  </si>
  <si>
    <t>НДС к уплате</t>
  </si>
  <si>
    <t>Вознаграждение по займам</t>
  </si>
  <si>
    <t>Свободный денежный поток по опер. деятельности</t>
  </si>
  <si>
    <t>Приобретение ЗУ</t>
  </si>
  <si>
    <t>Соц нагрузка</t>
  </si>
  <si>
    <t>Проектирование</t>
  </si>
  <si>
    <t>Свободный денежный поток от инвестиционной деятельности</t>
  </si>
  <si>
    <t xml:space="preserve">FCFF </t>
  </si>
  <si>
    <t>Поступление по фин.деят (ОД)</t>
  </si>
  <si>
    <t>Equity</t>
  </si>
  <si>
    <t>Партнеры/рассрочка</t>
  </si>
  <si>
    <t>Оттоки по фин.деят (ОД)</t>
  </si>
  <si>
    <t>Возврат Equity</t>
  </si>
  <si>
    <t>Возврат партнеры/рассрочка</t>
  </si>
  <si>
    <t>Выплата ДВД</t>
  </si>
  <si>
    <t>Свободный денежный поток от ФИН деятельности</t>
  </si>
  <si>
    <t>FCFE</t>
  </si>
  <si>
    <t xml:space="preserve">Накопительный денежный поток </t>
  </si>
  <si>
    <t>Дисконтированный поток</t>
  </si>
  <si>
    <t>Индекс окупаемости, мес</t>
  </si>
  <si>
    <t>Equity discount rate</t>
  </si>
  <si>
    <t>IRR FCFF</t>
  </si>
  <si>
    <t>NPV FCFF</t>
  </si>
  <si>
    <t>ROE</t>
  </si>
  <si>
    <t>ROI</t>
  </si>
  <si>
    <t>WACC месячный</t>
  </si>
  <si>
    <t>Изменение Цены реализации м2</t>
  </si>
  <si>
    <t>Сред. Цена, тг</t>
  </si>
  <si>
    <t xml:space="preserve">Изменение Себестоимости </t>
  </si>
  <si>
    <t>Себес-ть, млн.тг</t>
  </si>
  <si>
    <t>Изменение м2</t>
  </si>
  <si>
    <t>Объем, м2</t>
  </si>
  <si>
    <t>Выручка, млн.тг</t>
  </si>
  <si>
    <t>ЧП, млн.тг</t>
  </si>
  <si>
    <t>Анализ чувствительности</t>
  </si>
  <si>
    <t>Изменение  ЧП</t>
  </si>
  <si>
    <t>Изменение стоимости проекта м2</t>
  </si>
  <si>
    <t>Изменение  Рентабельности</t>
  </si>
  <si>
    <t>Изменение средней цены за м2</t>
  </si>
  <si>
    <t>РАВНЫМИ ДОЛЯМИ</t>
  </si>
  <si>
    <t>не удалять</t>
  </si>
  <si>
    <t>Сумма</t>
  </si>
  <si>
    <t>АННУИТЕТ</t>
  </si>
  <si>
    <t>Срок (мес)</t>
  </si>
  <si>
    <t>% годовые</t>
  </si>
  <si>
    <t>ло</t>
  </si>
  <si>
    <t>Льготный период</t>
  </si>
  <si>
    <t>Дата первого взноса</t>
  </si>
  <si>
    <t>% к выплате</t>
  </si>
  <si>
    <t>Сумма к выплате</t>
  </si>
  <si>
    <t>Дата взноса</t>
  </si>
  <si>
    <t>Взнос</t>
  </si>
  <si>
    <t>Выплаты по ОД</t>
  </si>
  <si>
    <t>Выплата процентов</t>
  </si>
  <si>
    <t>Сальдо капитала</t>
  </si>
  <si>
    <t xml:space="preserve"> </t>
  </si>
  <si>
    <t>Себестоимость без НДС</t>
  </si>
  <si>
    <t>Себестоимость с НДС</t>
  </si>
  <si>
    <t>НДС к зачету входящий</t>
  </si>
  <si>
    <t>Выручка без НДС</t>
  </si>
  <si>
    <t>Выручка с НДС</t>
  </si>
  <si>
    <t>Исходящий НДС (начисленный)</t>
  </si>
  <si>
    <t>НДС к уплате в бюджет</t>
  </si>
  <si>
    <t>Months</t>
  </si>
  <si>
    <t>Реализуемая площадь</t>
  </si>
  <si>
    <t xml:space="preserve"> 1 - 6</t>
  </si>
  <si>
    <t>Площадь одной очереди</t>
  </si>
  <si>
    <t>7-12</t>
  </si>
  <si>
    <t>Количество очередей</t>
  </si>
  <si>
    <t xml:space="preserve">50% сразу </t>
  </si>
  <si>
    <t>13-16</t>
  </si>
  <si>
    <t>Итого продажи</t>
  </si>
  <si>
    <t>17-19</t>
  </si>
  <si>
    <t>Продажи на 1 очередь</t>
  </si>
  <si>
    <t>20-22</t>
  </si>
  <si>
    <t>23-25</t>
  </si>
  <si>
    <t>26-32</t>
  </si>
  <si>
    <t>33-36</t>
  </si>
  <si>
    <t>37-42</t>
  </si>
  <si>
    <t>43-48</t>
  </si>
  <si>
    <t>49-55</t>
  </si>
  <si>
    <t>56-64</t>
  </si>
  <si>
    <t>65-75</t>
  </si>
  <si>
    <t>76-84</t>
  </si>
  <si>
    <t>Очередь</t>
  </si>
  <si>
    <t xml:space="preserve"> 1 - 4</t>
  </si>
  <si>
    <t xml:space="preserve"> 6 - 10</t>
  </si>
  <si>
    <t>СМР + Накладные</t>
  </si>
  <si>
    <t xml:space="preserve"> 11 - 28</t>
  </si>
  <si>
    <t>Расходы на 1 очередь</t>
  </si>
  <si>
    <t>29-32</t>
  </si>
  <si>
    <t>33-77</t>
  </si>
  <si>
    <t>78-84</t>
  </si>
  <si>
    <t xml:space="preserve">Индекс окупаемости </t>
  </si>
  <si>
    <t>Административные расходы проекта, 2%</t>
  </si>
  <si>
    <t>ASTORIA</t>
  </si>
  <si>
    <t>PTO</t>
  </si>
  <si>
    <t>FIN</t>
  </si>
  <si>
    <t>Difference</t>
  </si>
  <si>
    <t>Sales</t>
  </si>
  <si>
    <t>Land</t>
  </si>
  <si>
    <t>Direct</t>
  </si>
  <si>
    <t>Indirect</t>
  </si>
  <si>
    <t>Sales Comission</t>
  </si>
  <si>
    <t>HO</t>
  </si>
  <si>
    <t>Administrative costs</t>
  </si>
  <si>
    <t>Finance</t>
  </si>
  <si>
    <t>General expenses</t>
  </si>
  <si>
    <t>Tax</t>
  </si>
  <si>
    <t>Net profit</t>
  </si>
  <si>
    <t>Сценарий 1</t>
  </si>
  <si>
    <t xml:space="preserve">Сценарий 2 (ЗУ 50%) </t>
  </si>
  <si>
    <t>Офисы</t>
  </si>
  <si>
    <t xml:space="preserve">Кладовые </t>
  </si>
  <si>
    <t>Паркинг</t>
  </si>
  <si>
    <t>СМР(себес м2 * площадь)</t>
  </si>
  <si>
    <t>Расходы на реализацию, тг 4,55%</t>
  </si>
  <si>
    <t xml:space="preserve"> 16 -17</t>
  </si>
  <si>
    <t>Sellable Area, sq.m</t>
  </si>
  <si>
    <t>Sellable Units, pcs</t>
  </si>
  <si>
    <t>Без перегородок</t>
  </si>
  <si>
    <t>С перегородками</t>
  </si>
  <si>
    <t>Korkem</t>
  </si>
  <si>
    <t>Отклонение</t>
  </si>
  <si>
    <t>Выручка</t>
  </si>
  <si>
    <t>ЗУ</t>
  </si>
  <si>
    <t>СМР</t>
  </si>
  <si>
    <t>Накладные+ПИР</t>
  </si>
  <si>
    <t>РР</t>
  </si>
  <si>
    <t>Адм.расходы</t>
  </si>
  <si>
    <t>Кредит,%%</t>
  </si>
  <si>
    <t>Налоги(НДС, КПН)</t>
  </si>
  <si>
    <t>ЧП</t>
  </si>
  <si>
    <t>Рентабельность</t>
  </si>
  <si>
    <t>Цена</t>
  </si>
  <si>
    <t>Цена за м2 коммерция</t>
  </si>
  <si>
    <t>Коммерция</t>
  </si>
  <si>
    <t>Офис</t>
  </si>
  <si>
    <t xml:space="preserve">Коммерция </t>
  </si>
  <si>
    <t>Площадь</t>
  </si>
  <si>
    <t>№</t>
  </si>
  <si>
    <t>C101</t>
  </si>
  <si>
    <t>C102</t>
  </si>
  <si>
    <t>1-4</t>
  </si>
  <si>
    <t>5-8</t>
  </si>
  <si>
    <t>9-13</t>
  </si>
  <si>
    <t>14-18</t>
  </si>
  <si>
    <t>19-24</t>
  </si>
  <si>
    <t>25-29</t>
  </si>
  <si>
    <t>30-33</t>
  </si>
  <si>
    <t xml:space="preserve"> 1 - 3</t>
  </si>
  <si>
    <t xml:space="preserve"> 4 - 7</t>
  </si>
  <si>
    <t xml:space="preserve"> 8 - 14</t>
  </si>
  <si>
    <t xml:space="preserve"> 22 -24</t>
  </si>
  <si>
    <t>Block No</t>
  </si>
  <si>
    <t>Enterance Code</t>
  </si>
  <si>
    <t>Door Number</t>
  </si>
  <si>
    <t>Flat Number</t>
  </si>
  <si>
    <t>Flat Code</t>
  </si>
  <si>
    <t>Group of Blocks</t>
  </si>
  <si>
    <t>Block Type</t>
  </si>
  <si>
    <t>Этаж</t>
  </si>
  <si>
    <t>Quantity of Rooms</t>
  </si>
  <si>
    <t>Net area (m2)</t>
  </si>
  <si>
    <t>Net area (m2) Rounded UP</t>
  </si>
  <si>
    <t>Вид</t>
  </si>
  <si>
    <t>Ликвидность</t>
  </si>
  <si>
    <t>Type</t>
  </si>
  <si>
    <t>Status</t>
  </si>
  <si>
    <t>01</t>
  </si>
  <si>
    <t>A</t>
  </si>
  <si>
    <t>01A-203</t>
  </si>
  <si>
    <t>09-HAR-01-01-203</t>
  </si>
  <si>
    <t>01-Group</t>
  </si>
  <si>
    <t>Bk</t>
  </si>
  <si>
    <t>Двор</t>
  </si>
  <si>
    <t>Неликвид</t>
  </si>
  <si>
    <t>01A-204</t>
  </si>
  <si>
    <t>09-HAR-01-01-204</t>
  </si>
  <si>
    <t>Горы</t>
  </si>
  <si>
    <t>Высокая ликвидность</t>
  </si>
  <si>
    <t>01A-205</t>
  </si>
  <si>
    <t>09-HAR-01-01-205</t>
  </si>
  <si>
    <t>Улица</t>
  </si>
  <si>
    <t>01A-206</t>
  </si>
  <si>
    <t>09-HAR-01-01-206</t>
  </si>
  <si>
    <t>Not-listed</t>
  </si>
  <si>
    <t>01A-301</t>
  </si>
  <si>
    <t>09-HAR-01-01-301</t>
  </si>
  <si>
    <t>01A-302</t>
  </si>
  <si>
    <t>09-HAR-01-01-302</t>
  </si>
  <si>
    <t>01A-303</t>
  </si>
  <si>
    <t>09-HAR-01-01-303</t>
  </si>
  <si>
    <t>01A-304</t>
  </si>
  <si>
    <t>09-HAR-01-01-304</t>
  </si>
  <si>
    <t>01A-305</t>
  </si>
  <si>
    <t>09-HAR-01-01-305</t>
  </si>
  <si>
    <t>01A-306</t>
  </si>
  <si>
    <t>09-HAR-01-01-306</t>
  </si>
  <si>
    <t>01A-401</t>
  </si>
  <si>
    <t>09-HAR-01-01-401</t>
  </si>
  <si>
    <t>01A-402</t>
  </si>
  <si>
    <t>09-HAR-01-01-402</t>
  </si>
  <si>
    <t>01A-403</t>
  </si>
  <si>
    <t>09-HAR-01-01-403</t>
  </si>
  <si>
    <t>01A-404</t>
  </si>
  <si>
    <t>09-HAR-01-01-404</t>
  </si>
  <si>
    <t>01A-405</t>
  </si>
  <si>
    <t>09-HAR-01-01-405</t>
  </si>
  <si>
    <t>01A-406</t>
  </si>
  <si>
    <t>09-HAR-01-01-406</t>
  </si>
  <si>
    <t>01A-501</t>
  </si>
  <si>
    <t>09-HAR-01-01-501</t>
  </si>
  <si>
    <t>01A-502</t>
  </si>
  <si>
    <t>09-HAR-01-01-502</t>
  </si>
  <si>
    <t>01A-503</t>
  </si>
  <si>
    <t>09-HAR-01-01-503</t>
  </si>
  <si>
    <t>01A-504</t>
  </si>
  <si>
    <t>09-HAR-01-01-504</t>
  </si>
  <si>
    <t>01A-505</t>
  </si>
  <si>
    <t>09-HAR-01-01-505</t>
  </si>
  <si>
    <t>01A-506</t>
  </si>
  <si>
    <t>09-HAR-01-01-506</t>
  </si>
  <si>
    <t>01A-601</t>
  </si>
  <si>
    <t>09-HAR-01-01-601</t>
  </si>
  <si>
    <t>01A-602</t>
  </si>
  <si>
    <t>09-HAR-01-01-602</t>
  </si>
  <si>
    <t>01A-603</t>
  </si>
  <si>
    <t>09-HAR-01-01-603</t>
  </si>
  <si>
    <t>01A-604</t>
  </si>
  <si>
    <t>09-HAR-01-01-604</t>
  </si>
  <si>
    <t>01A-605</t>
  </si>
  <si>
    <t>09-HAR-01-01-605</t>
  </si>
  <si>
    <t>01A-606</t>
  </si>
  <si>
    <t>09-HAR-01-01-606</t>
  </si>
  <si>
    <t>01A-701</t>
  </si>
  <si>
    <t>09-HAR-01-01-701</t>
  </si>
  <si>
    <t>01A-702</t>
  </si>
  <si>
    <t>09-HAR-01-01-702</t>
  </si>
  <si>
    <t>01A-703</t>
  </si>
  <si>
    <t>09-HAR-01-01-703</t>
  </si>
  <si>
    <t>01A-704</t>
  </si>
  <si>
    <t>09-HAR-01-01-704</t>
  </si>
  <si>
    <t>01A-705</t>
  </si>
  <si>
    <t>09-HAR-01-01-705</t>
  </si>
  <si>
    <t>01A-706</t>
  </si>
  <si>
    <t>09-HAR-01-01-706</t>
  </si>
  <si>
    <t>01A-801</t>
  </si>
  <si>
    <t>09-HAR-01-01-801</t>
  </si>
  <si>
    <t>01A-802</t>
  </si>
  <si>
    <t>09-HAR-01-01-802</t>
  </si>
  <si>
    <t>01A-803</t>
  </si>
  <si>
    <t>09-HAR-01-01-803</t>
  </si>
  <si>
    <t>01A-804</t>
  </si>
  <si>
    <t>09-HAR-01-01-804</t>
  </si>
  <si>
    <t>01A-805</t>
  </si>
  <si>
    <t>09-HAR-01-01-805</t>
  </si>
  <si>
    <t>01A-806</t>
  </si>
  <si>
    <t>09-HAR-01-01-806</t>
  </si>
  <si>
    <t>01A-901</t>
  </si>
  <si>
    <t>09-HAR-01-01-901</t>
  </si>
  <si>
    <t>01A-902</t>
  </si>
  <si>
    <t>09-HAR-01-01-902</t>
  </si>
  <si>
    <t>01A-903</t>
  </si>
  <si>
    <t>09-HAR-01-01-903</t>
  </si>
  <si>
    <t>01A-904</t>
  </si>
  <si>
    <t>09-HAR-01-01-904</t>
  </si>
  <si>
    <t>01A-905</t>
  </si>
  <si>
    <t>09-HAR-01-01-905</t>
  </si>
  <si>
    <t>01A-906</t>
  </si>
  <si>
    <t>09-HAR-01-01-906</t>
  </si>
  <si>
    <t>02</t>
  </si>
  <si>
    <t>02A-101</t>
  </si>
  <si>
    <t>09-HAR-01-02-101</t>
  </si>
  <si>
    <t>F</t>
  </si>
  <si>
    <t>02A-102</t>
  </si>
  <si>
    <t>09-HAR-01-02-102</t>
  </si>
  <si>
    <t>02A-103</t>
  </si>
  <si>
    <t>09-HAR-01-02-103</t>
  </si>
  <si>
    <t>02A-104</t>
  </si>
  <si>
    <t>09-HAR-01-02-104</t>
  </si>
  <si>
    <t>H</t>
  </si>
  <si>
    <t>E</t>
  </si>
  <si>
    <t>D</t>
  </si>
  <si>
    <t>📄 Лист Шахматка</t>
  </si>
  <si>
    <t>B</t>
  </si>
  <si>
    <t>C</t>
  </si>
  <si>
    <t>G</t>
  </si>
  <si>
    <t>ID</t>
  </si>
  <si>
    <t>Тип</t>
  </si>
  <si>
    <t xml:space="preserve">Цена </t>
  </si>
  <si>
    <t>Бавзовая цена за кв м</t>
  </si>
  <si>
    <t>Коэф стадии</t>
  </si>
  <si>
    <t xml:space="preserve">Продано </t>
  </si>
  <si>
    <t xml:space="preserve">Коэф спроса 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</si>
  <si>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</si>
  <si>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</si>
  <si>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</si>
  <si>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</si>
  <si>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</si>
  <si>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</si>
  <si>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</si>
  <si>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</si>
  <si>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</si>
  <si>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</si>
  <si>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</si>
  <si>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</si>
  <si>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</si>
  <si>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</si>
  <si>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</si>
  <si>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</si>
  <si>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</si>
  <si>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</si>
  <si>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</si>
  <si>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</si>
  <si>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</si>
  <si>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</si>
  <si>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</si>
  <si>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</si>
  <si>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</si>
  <si>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</si>
  <si>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Commercial</t>
  </si>
  <si>
    <t>Office</t>
  </si>
  <si>
    <t>Parking</t>
  </si>
  <si>
    <t>Всего офисов</t>
  </si>
  <si>
    <t>Всего коммерция</t>
  </si>
  <si>
    <t xml:space="preserve">Средняя цена реализации офисы </t>
  </si>
  <si>
    <t>Средняя цена реализации коммерция</t>
  </si>
  <si>
    <t xml:space="preserve">Средняя ликвидность </t>
  </si>
  <si>
    <t xml:space="preserve">Высокая ликвидность </t>
  </si>
  <si>
    <t xml:space="preserve"> 15 - 19</t>
  </si>
  <si>
    <t>старт</t>
  </si>
  <si>
    <t>котлован</t>
  </si>
  <si>
    <t>каркас</t>
  </si>
  <si>
    <t xml:space="preserve">фасад </t>
  </si>
  <si>
    <t xml:space="preserve">сдача </t>
  </si>
  <si>
    <t xml:space="preserve"> Низкая ликвидность </t>
  </si>
  <si>
    <t>ликвидность</t>
  </si>
  <si>
    <t xml:space="preserve">ПВ </t>
  </si>
  <si>
    <t xml:space="preserve">экспозиция </t>
  </si>
  <si>
    <t xml:space="preserve">частота распроданности </t>
  </si>
  <si>
    <t>все этажи</t>
  </si>
  <si>
    <t xml:space="preserve">2-8 этажи </t>
  </si>
  <si>
    <t>Revenue</t>
  </si>
  <si>
    <t>Откл.</t>
  </si>
  <si>
    <t>добавить вознаграждение по кредиту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</si>
</sst>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_(* #,##0_);_(* \(#,##0\);_(* &quot;-&quot;_);_(@_)"/>
    <numFmt numFmtId="165" formatCode="0.0%"/>
    <numFmt numFmtId="166" formatCode="#,##0.0"/>
    <numFmt numFmtId="167" formatCode="#,##0,,"/>
    <numFmt numFmtId="168" formatCode="0.00_ ;[Red]\-0.00\ "/>
    <numFmt numFmtId="169" formatCode="[$-419]d\ mmm\ yy;@"/>
    <numFmt numFmtId="170" formatCode="_(* #,##0.00_);_(* \(#,##0.00\);_(* &quot;-&quot;??_);_(@_)"/>
    <numFmt numFmtId="171" formatCode="_(* #,##0_);_(* \(#,##0\);_(* &quot;-&quot;??_);_(@_)"/>
    <numFmt numFmtId="172" formatCode="#,##0.00_ ;[Red]\-#,##0.00\ "/>
    <numFmt numFmtId="173" formatCode="[$-419]d\-mmm\-yyyy;@"/>
    <numFmt numFmtId="174" formatCode="_-* #,##0.00\ _₽_-;\-* #,##0.00\ _₽_-;_-* &quot;-&quot;??\ _₽_-;_-@_-"/>
    <numFmt numFmtId="175" formatCode="_-* #,##0_-;\-* #,##0_-;_-* &quot;-&quot;??_-;_-@_-"/>
    <numFmt numFmtId="176" formatCode="#,##0.00000000"/>
    <numFmt numFmtId="177" formatCode="0.00000%"/>
    <numFmt numFmtId="178" formatCode="_-* #,##0\ _₽_-;\-* #,##0\ _₽_-;_-* &quot;-&quot;??\ _₽_-;_-@_-"/>
    <numFmt numFmtId="179" formatCode="#,##0.00\ [$₸-43F];\-#,##0.00\ [$₸-43F]"/>
  </numFmts>
  <fonts count="6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</font>
    <font>
      <b/>
      <sz val="12"/>
      <color theme="0"/>
      <name val="Arial"/>
      <family val="2"/>
      <charset val="204"/>
    </font>
    <font>
      <sz val="12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i/>
      <sz val="12"/>
      <color theme="0"/>
      <name val="Arial"/>
      <family val="2"/>
      <charset val="204"/>
    </font>
    <font>
      <sz val="12"/>
      <color theme="0"/>
      <name val="Arial"/>
      <family val="2"/>
      <charset val="204"/>
    </font>
    <font>
      <i/>
      <sz val="12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9"/>
      <name val="Times New Roman"/>
      <family val="1"/>
      <charset val="204"/>
    </font>
    <font>
      <b/>
      <sz val="10"/>
      <color theme="0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9"/>
      <name val="Times New Roman"/>
      <family val="1"/>
      <charset val="204"/>
    </font>
    <font>
      <sz val="9"/>
      <color indexed="9"/>
      <name val="Times New Roman"/>
      <family val="1"/>
      <charset val="204"/>
    </font>
    <font>
      <sz val="9"/>
      <name val="Times New Roman"/>
      <family val="1"/>
      <charset val="204"/>
    </font>
    <font>
      <sz val="9"/>
      <color indexed="10"/>
      <name val="Times New Roman"/>
      <family val="1"/>
      <charset val="204"/>
    </font>
    <font>
      <b/>
      <sz val="9"/>
      <color indexed="10"/>
      <name val="Times New Roman"/>
      <family val="1"/>
      <charset val="204"/>
    </font>
    <font>
      <b/>
      <sz val="11"/>
      <color theme="1"/>
      <name val="Aptos Narrow"/>
      <family val="2"/>
      <scheme val="minor"/>
    </font>
    <font>
      <sz val="11"/>
      <color theme="1" tint="0.24994659260841701"/>
      <name val="Calibri"/>
      <family val="2"/>
      <charset val="204"/>
    </font>
    <font>
      <sz val="11"/>
      <color theme="1"/>
      <name val="Calibri"/>
      <family val="2"/>
      <charset val="204"/>
    </font>
    <font>
      <sz val="10"/>
      <color theme="0" tint="-4.9989318521683403E-2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 tint="0.24994659260841701"/>
      <name val="Arial"/>
      <family val="2"/>
      <charset val="204"/>
    </font>
    <font>
      <sz val="8"/>
      <color rgb="FFFF0000"/>
      <name val="Arial"/>
      <family val="2"/>
      <charset val="204"/>
    </font>
    <font>
      <sz val="8"/>
      <name val="Arial"/>
      <family val="2"/>
      <charset val="204"/>
    </font>
    <font>
      <i/>
      <sz val="11"/>
      <color theme="1"/>
      <name val="Aptos Narrow"/>
      <family val="2"/>
      <charset val="204"/>
      <scheme val="minor"/>
    </font>
    <font>
      <b/>
      <sz val="14"/>
      <color theme="0"/>
      <name val="Times New Roman"/>
      <family val="1"/>
      <charset val="204"/>
    </font>
    <font>
      <b/>
      <u/>
      <sz val="12"/>
      <color theme="0"/>
      <name val="Times New Roman"/>
      <family val="1"/>
      <charset val="204"/>
    </font>
    <font>
      <b/>
      <sz val="10"/>
      <color theme="0" tint="-0.34998626667073579"/>
      <name val="Times New Roman"/>
      <family val="1"/>
      <charset val="204"/>
    </font>
    <font>
      <b/>
      <i/>
      <u/>
      <sz val="10"/>
      <color theme="0"/>
      <name val="Times New Roman"/>
      <family val="1"/>
      <charset val="204"/>
    </font>
    <font>
      <b/>
      <i/>
      <u/>
      <sz val="11"/>
      <color theme="1"/>
      <name val="Aptos Narrow"/>
      <family val="2"/>
      <charset val="204"/>
      <scheme val="minor"/>
    </font>
    <font>
      <b/>
      <sz val="9"/>
      <color theme="0"/>
      <name val="Arial"/>
      <family val="2"/>
      <charset val="204"/>
    </font>
    <font>
      <sz val="8"/>
      <name val="Aptos Narrow"/>
      <family val="2"/>
      <charset val="204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name val="Calibri"/>
      <family val="2"/>
    </font>
    <font>
      <sz val="8"/>
      <name val="Arial"/>
      <family val="2"/>
    </font>
    <font>
      <b/>
      <sz val="11"/>
      <color theme="1"/>
      <name val="Calibri Light"/>
      <family val="2"/>
      <charset val="204"/>
    </font>
    <font>
      <sz val="11"/>
      <color theme="1"/>
      <name val="Calibri Light"/>
      <family val="2"/>
      <charset val="204"/>
    </font>
    <font>
      <b/>
      <sz val="11"/>
      <color theme="1"/>
      <name val="Aptos Narrow"/>
      <family val="2"/>
      <charset val="204"/>
      <scheme val="minor"/>
    </font>
    <font>
      <sz val="10"/>
      <color theme="0" tint="-4.9989318521683403E-2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9"/>
      <color rgb="FFFFFFFF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 tint="0.24994659260841701"/>
      <name val="Arial"/>
      <family val="2"/>
      <charset val="204"/>
    </font>
    <font>
      <sz val="8"/>
      <color rgb="FFFF0000"/>
      <name val="Arial"/>
      <family val="2"/>
      <charset val="204"/>
    </font>
    <font>
      <sz val="8"/>
      <name val="Arial"/>
      <family val="2"/>
      <charset val="204"/>
    </font>
    <font>
      <sz val="12"/>
      <name val="Arial"/>
      <family val="2"/>
      <charset val="204"/>
    </font>
    <font>
      <sz val="11"/>
      <color rgb="FF000000"/>
      <name val="Aptos Narrow"/>
      <family val="2"/>
      <charset val="204"/>
    </font>
    <font>
      <sz val="8"/>
      <color rgb="FF000000"/>
      <name val="Tahoma"/>
      <family val="2"/>
      <charset val="204"/>
    </font>
    <font>
      <sz val="12"/>
      <color theme="1"/>
      <name val="Aptos Narrow"/>
      <family val="2"/>
      <scheme val="minor"/>
    </font>
    <font>
      <b/>
      <sz val="11"/>
      <color theme="1"/>
      <name val="Arial"/>
      <family val="2"/>
      <charset val="204"/>
    </font>
    <font>
      <sz val="11"/>
      <name val="Aptos Narrow"/>
      <family val="2"/>
      <charset val="204"/>
      <scheme val="minor"/>
    </font>
    <font>
      <b/>
      <sz val="12"/>
      <name val="Arial"/>
      <family val="2"/>
      <charset val="204"/>
    </font>
    <font>
      <b/>
      <sz val="18"/>
      <color theme="1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mediumGray">
        <bgColor theme="1" tint="0.499984740745262"/>
      </patternFill>
    </fill>
    <fill>
      <patternFill patternType="solid">
        <fgColor rgb="FF005C9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ECC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rgb="FF00206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7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0" fontId="4" fillId="0" borderId="0"/>
    <xf numFmtId="170" fontId="4" fillId="0" borderId="0" applyFont="0" applyFill="0" applyBorder="0" applyAlignment="0" applyProtection="0"/>
    <xf numFmtId="0" fontId="1" fillId="0" borderId="0"/>
    <xf numFmtId="0" fontId="30" fillId="0" borderId="0"/>
    <xf numFmtId="0" fontId="4" fillId="0" borderId="0"/>
    <xf numFmtId="0" fontId="30" fillId="0" borderId="0"/>
    <xf numFmtId="0" fontId="3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43" fillId="0" borderId="55" applyNumberFormat="0" applyFill="0" applyAlignment="0" applyProtection="0"/>
    <xf numFmtId="0" fontId="44" fillId="0" borderId="0"/>
    <xf numFmtId="0" fontId="45" fillId="0" borderId="0">
      <alignment vertical="center"/>
    </xf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</cellStyleXfs>
  <cellXfs count="431">
    <xf numFmtId="0" fontId="0" fillId="0" borderId="0" xfId="0"/>
    <xf numFmtId="0" fontId="2" fillId="2" borderId="1" xfId="2" applyFont="1" applyFill="1" applyBorder="1"/>
    <xf numFmtId="0" fontId="3" fillId="2" borderId="1" xfId="2" applyFont="1" applyFill="1" applyBorder="1" applyAlignment="1">
      <alignment horizontal="center"/>
    </xf>
    <xf numFmtId="0" fontId="4" fillId="2" borderId="0" xfId="2" applyFont="1" applyFill="1" applyAlignment="1">
      <alignment horizontal="left"/>
    </xf>
    <xf numFmtId="9" fontId="5" fillId="3" borderId="3" xfId="3" applyNumberFormat="1" applyFont="1" applyFill="1" applyBorder="1" applyAlignment="1">
      <alignment horizontal="center" vertical="center"/>
    </xf>
    <xf numFmtId="3" fontId="5" fillId="3" borderId="3" xfId="3" applyNumberFormat="1" applyFont="1" applyFill="1" applyBorder="1" applyAlignment="1">
      <alignment horizontal="center" vertical="center"/>
    </xf>
    <xf numFmtId="0" fontId="5" fillId="2" borderId="0" xfId="2" applyFont="1" applyFill="1"/>
    <xf numFmtId="4" fontId="5" fillId="2" borderId="2" xfId="4" applyNumberFormat="1" applyFont="1" applyFill="1" applyBorder="1" applyAlignment="1" applyProtection="1">
      <alignment horizontal="center" vertical="center"/>
      <protection locked="0"/>
    </xf>
    <xf numFmtId="9" fontId="5" fillId="2" borderId="3" xfId="4" applyNumberFormat="1" applyFont="1" applyFill="1" applyBorder="1" applyAlignment="1" applyProtection="1">
      <alignment horizontal="center" vertical="center"/>
      <protection locked="0"/>
    </xf>
    <xf numFmtId="3" fontId="5" fillId="2" borderId="3" xfId="4" applyNumberFormat="1" applyFont="1" applyFill="1" applyBorder="1" applyAlignment="1" applyProtection="1">
      <alignment horizontal="center" vertical="center"/>
      <protection locked="0"/>
    </xf>
    <xf numFmtId="0" fontId="7" fillId="5" borderId="8" xfId="2" applyFont="1" applyFill="1" applyBorder="1" applyAlignment="1">
      <alignment vertical="center" wrapText="1"/>
    </xf>
    <xf numFmtId="3" fontId="7" fillId="5" borderId="9" xfId="2" applyNumberFormat="1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horizontal="left" indent="2"/>
    </xf>
    <xf numFmtId="3" fontId="8" fillId="2" borderId="9" xfId="2" applyNumberFormat="1" applyFont="1" applyFill="1" applyBorder="1" applyAlignment="1">
      <alignment horizontal="center"/>
    </xf>
    <xf numFmtId="0" fontId="8" fillId="0" borderId="8" xfId="2" applyFont="1" applyBorder="1" applyAlignment="1">
      <alignment horizontal="left" indent="2"/>
    </xf>
    <xf numFmtId="3" fontId="8" fillId="0" borderId="9" xfId="2" applyNumberFormat="1" applyFont="1" applyBorder="1" applyAlignment="1">
      <alignment horizontal="center"/>
    </xf>
    <xf numFmtId="0" fontId="7" fillId="5" borderId="8" xfId="2" applyFont="1" applyFill="1" applyBorder="1" applyAlignment="1">
      <alignment vertical="center"/>
    </xf>
    <xf numFmtId="3" fontId="7" fillId="5" borderId="9" xfId="2" applyNumberFormat="1" applyFont="1" applyFill="1" applyBorder="1" applyAlignment="1">
      <alignment horizontal="center" vertical="center"/>
    </xf>
    <xf numFmtId="0" fontId="8" fillId="0" borderId="8" xfId="2" applyFont="1" applyBorder="1" applyAlignment="1">
      <alignment horizontal="left" wrapText="1" indent="2"/>
    </xf>
    <xf numFmtId="3" fontId="8" fillId="0" borderId="9" xfId="2" applyNumberFormat="1" applyFont="1" applyBorder="1" applyAlignment="1">
      <alignment horizontal="center" vertical="center"/>
    </xf>
    <xf numFmtId="3" fontId="10" fillId="0" borderId="9" xfId="2" applyNumberFormat="1" applyFont="1" applyBorder="1" applyAlignment="1">
      <alignment horizontal="center" vertical="center"/>
    </xf>
    <xf numFmtId="0" fontId="8" fillId="2" borderId="8" xfId="2" applyFont="1" applyFill="1" applyBorder="1" applyAlignment="1">
      <alignment horizontal="left" wrapText="1" indent="2"/>
    </xf>
    <xf numFmtId="3" fontId="8" fillId="2" borderId="9" xfId="2" applyNumberFormat="1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left"/>
    </xf>
    <xf numFmtId="0" fontId="11" fillId="5" borderId="8" xfId="2" applyFont="1" applyFill="1" applyBorder="1" applyAlignment="1">
      <alignment horizontal="left" indent="2"/>
    </xf>
    <xf numFmtId="3" fontId="12" fillId="5" borderId="9" xfId="2" applyNumberFormat="1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left" wrapText="1" indent="2"/>
    </xf>
    <xf numFmtId="167" fontId="8" fillId="6" borderId="9" xfId="2" applyNumberFormat="1" applyFont="1" applyFill="1" applyBorder="1" applyAlignment="1">
      <alignment horizontal="center" vertical="center"/>
    </xf>
    <xf numFmtId="0" fontId="7" fillId="5" borderId="8" xfId="2" applyFont="1" applyFill="1" applyBorder="1"/>
    <xf numFmtId="0" fontId="7" fillId="5" borderId="12" xfId="2" applyFont="1" applyFill="1" applyBorder="1"/>
    <xf numFmtId="3" fontId="7" fillId="5" borderId="13" xfId="2" applyNumberFormat="1" applyFont="1" applyFill="1" applyBorder="1" applyAlignment="1">
      <alignment horizontal="center" vertical="center" wrapText="1"/>
    </xf>
    <xf numFmtId="3" fontId="5" fillId="2" borderId="2" xfId="4" applyNumberFormat="1" applyFont="1" applyFill="1" applyBorder="1" applyAlignment="1" applyProtection="1">
      <alignment horizontal="center" vertical="center"/>
      <protection locked="0"/>
    </xf>
    <xf numFmtId="0" fontId="13" fillId="0" borderId="8" xfId="2" applyFont="1" applyBorder="1" applyAlignment="1">
      <alignment horizontal="left" wrapText="1" indent="2"/>
    </xf>
    <xf numFmtId="0" fontId="7" fillId="7" borderId="8" xfId="2" applyFont="1" applyFill="1" applyBorder="1" applyAlignment="1">
      <alignment vertical="center" wrapText="1"/>
    </xf>
    <xf numFmtId="3" fontId="7" fillId="7" borderId="9" xfId="2" applyNumberFormat="1" applyFont="1" applyFill="1" applyBorder="1" applyAlignment="1">
      <alignment horizontal="center" vertical="center" wrapText="1"/>
    </xf>
    <xf numFmtId="0" fontId="7" fillId="7" borderId="5" xfId="2" applyFont="1" applyFill="1" applyBorder="1"/>
    <xf numFmtId="3" fontId="7" fillId="7" borderId="6" xfId="2" applyNumberFormat="1" applyFont="1" applyFill="1" applyBorder="1" applyAlignment="1">
      <alignment horizontal="center" vertical="center"/>
    </xf>
    <xf numFmtId="0" fontId="7" fillId="7" borderId="14" xfId="2" applyFont="1" applyFill="1" applyBorder="1"/>
    <xf numFmtId="0" fontId="7" fillId="8" borderId="8" xfId="2" applyFont="1" applyFill="1" applyBorder="1" applyAlignment="1">
      <alignment vertical="center" wrapText="1"/>
    </xf>
    <xf numFmtId="0" fontId="7" fillId="8" borderId="5" xfId="2" applyFont="1" applyFill="1" applyBorder="1" applyAlignment="1">
      <alignment horizontal="center" vertical="center"/>
    </xf>
    <xf numFmtId="0" fontId="7" fillId="8" borderId="6" xfId="2" applyFont="1" applyFill="1" applyBorder="1" applyAlignment="1">
      <alignment horizontal="center" vertical="center" wrapText="1"/>
    </xf>
    <xf numFmtId="0" fontId="7" fillId="8" borderId="7" xfId="2" applyFont="1" applyFill="1" applyBorder="1" applyAlignment="1">
      <alignment horizontal="center" vertical="center" wrapText="1"/>
    </xf>
    <xf numFmtId="165" fontId="7" fillId="7" borderId="15" xfId="2" applyNumberFormat="1" applyFont="1" applyFill="1" applyBorder="1" applyAlignment="1">
      <alignment horizontal="center" vertical="center"/>
    </xf>
    <xf numFmtId="1" fontId="15" fillId="0" borderId="0" xfId="6" applyNumberFormat="1" applyFont="1" applyProtection="1">
      <protection locked="0"/>
    </xf>
    <xf numFmtId="1" fontId="16" fillId="0" borderId="0" xfId="6" applyNumberFormat="1" applyFont="1"/>
    <xf numFmtId="1" fontId="15" fillId="0" borderId="0" xfId="6" applyNumberFormat="1" applyFont="1"/>
    <xf numFmtId="3" fontId="14" fillId="0" borderId="20" xfId="6" applyNumberFormat="1" applyFont="1" applyBorder="1" applyAlignment="1" applyProtection="1">
      <alignment horizontal="center"/>
      <protection locked="0"/>
    </xf>
    <xf numFmtId="1" fontId="16" fillId="0" borderId="21" xfId="6" applyNumberFormat="1" applyFont="1" applyBorder="1" applyProtection="1">
      <protection locked="0"/>
    </xf>
    <xf numFmtId="14" fontId="15" fillId="0" borderId="22" xfId="6" applyNumberFormat="1" applyFont="1" applyBorder="1"/>
    <xf numFmtId="3" fontId="14" fillId="0" borderId="11" xfId="6" applyNumberFormat="1" applyFont="1" applyBorder="1" applyAlignment="1" applyProtection="1">
      <alignment horizontal="center"/>
      <protection locked="0"/>
    </xf>
    <xf numFmtId="1" fontId="16" fillId="0" borderId="23" xfId="6" applyNumberFormat="1" applyFont="1" applyBorder="1" applyProtection="1">
      <protection locked="0"/>
    </xf>
    <xf numFmtId="14" fontId="15" fillId="0" borderId="24" xfId="6" applyNumberFormat="1" applyFont="1" applyBorder="1"/>
    <xf numFmtId="166" fontId="14" fillId="0" borderId="11" xfId="6" applyNumberFormat="1" applyFont="1" applyBorder="1" applyAlignment="1" applyProtection="1">
      <alignment horizontal="center"/>
      <protection locked="0"/>
    </xf>
    <xf numFmtId="1" fontId="16" fillId="0" borderId="23" xfId="6" applyNumberFormat="1" applyFont="1" applyBorder="1"/>
    <xf numFmtId="168" fontId="15" fillId="0" borderId="24" xfId="6" applyNumberFormat="1" applyFont="1" applyBorder="1" applyProtection="1">
      <protection locked="0"/>
    </xf>
    <xf numFmtId="0" fontId="14" fillId="0" borderId="11" xfId="6" applyFont="1" applyBorder="1" applyAlignment="1" applyProtection="1">
      <alignment horizontal="center"/>
      <protection locked="0"/>
    </xf>
    <xf numFmtId="1" fontId="16" fillId="0" borderId="25" xfId="6" applyNumberFormat="1" applyFont="1" applyBorder="1" applyAlignment="1">
      <alignment horizontal="left"/>
    </xf>
    <xf numFmtId="168" fontId="15" fillId="0" borderId="26" xfId="6" applyNumberFormat="1" applyFont="1" applyBorder="1" applyProtection="1">
      <protection locked="0"/>
    </xf>
    <xf numFmtId="169" fontId="14" fillId="0" borderId="11" xfId="6" applyNumberFormat="1" applyFont="1" applyBorder="1" applyAlignment="1" applyProtection="1">
      <alignment horizontal="center"/>
      <protection locked="0"/>
    </xf>
    <xf numFmtId="14" fontId="15" fillId="0" borderId="0" xfId="6" applyNumberFormat="1" applyFont="1"/>
    <xf numFmtId="4" fontId="14" fillId="10" borderId="11" xfId="6" applyNumberFormat="1" applyFont="1" applyFill="1" applyBorder="1" applyAlignment="1">
      <alignment horizontal="center"/>
    </xf>
    <xf numFmtId="3" fontId="14" fillId="0" borderId="11" xfId="6" applyNumberFormat="1" applyFont="1" applyBorder="1" applyAlignment="1">
      <alignment horizontal="center"/>
    </xf>
    <xf numFmtId="3" fontId="14" fillId="10" borderId="11" xfId="6" applyNumberFormat="1" applyFont="1" applyFill="1" applyBorder="1" applyAlignment="1">
      <alignment horizontal="center"/>
    </xf>
    <xf numFmtId="1" fontId="19" fillId="11" borderId="9" xfId="6" applyNumberFormat="1" applyFont="1" applyFill="1" applyBorder="1" applyAlignment="1" applyProtection="1">
      <alignment horizontal="center" vertical="center" wrapText="1"/>
      <protection locked="0"/>
    </xf>
    <xf numFmtId="1" fontId="19" fillId="11" borderId="19" xfId="6" applyNumberFormat="1" applyFont="1" applyFill="1" applyBorder="1" applyAlignment="1" applyProtection="1">
      <alignment horizontal="center" vertical="center" wrapText="1"/>
      <protection locked="0"/>
    </xf>
    <xf numFmtId="1" fontId="19" fillId="11" borderId="29" xfId="6" applyNumberFormat="1" applyFont="1" applyFill="1" applyBorder="1" applyAlignment="1" applyProtection="1">
      <alignment horizontal="center" vertical="center" wrapText="1"/>
      <protection locked="0"/>
    </xf>
    <xf numFmtId="1" fontId="19" fillId="0" borderId="0" xfId="6" applyNumberFormat="1" applyFont="1" applyProtection="1">
      <protection locked="0"/>
    </xf>
    <xf numFmtId="1" fontId="20" fillId="0" borderId="0" xfId="6" applyNumberFormat="1" applyFont="1" applyProtection="1">
      <protection locked="0"/>
    </xf>
    <xf numFmtId="1" fontId="21" fillId="0" borderId="0" xfId="6" applyNumberFormat="1" applyFont="1"/>
    <xf numFmtId="168" fontId="21" fillId="12" borderId="9" xfId="6" applyNumberFormat="1" applyFont="1" applyFill="1" applyBorder="1" applyAlignment="1" applyProtection="1">
      <alignment horizontal="left"/>
      <protection locked="0"/>
    </xf>
    <xf numFmtId="0" fontId="19" fillId="12" borderId="9" xfId="6" applyFont="1" applyFill="1" applyBorder="1" applyProtection="1">
      <protection locked="0"/>
    </xf>
    <xf numFmtId="172" fontId="21" fillId="12" borderId="9" xfId="6" applyNumberFormat="1" applyFont="1" applyFill="1" applyBorder="1" applyProtection="1">
      <protection locked="0"/>
    </xf>
    <xf numFmtId="172" fontId="21" fillId="12" borderId="10" xfId="6" applyNumberFormat="1" applyFont="1" applyFill="1" applyBorder="1" applyProtection="1">
      <protection locked="0"/>
    </xf>
    <xf numFmtId="1" fontId="19" fillId="0" borderId="0" xfId="6" applyNumberFormat="1" applyFont="1" applyAlignment="1" applyProtection="1">
      <alignment horizontal="center"/>
      <protection locked="0"/>
    </xf>
    <xf numFmtId="169" fontId="21" fillId="0" borderId="0" xfId="6" applyNumberFormat="1" applyFont="1" applyProtection="1">
      <protection locked="0"/>
    </xf>
    <xf numFmtId="168" fontId="21" fillId="0" borderId="0" xfId="6" applyNumberFormat="1" applyFont="1"/>
    <xf numFmtId="173" fontId="21" fillId="0" borderId="9" xfId="6" applyNumberFormat="1" applyFont="1" applyBorder="1" applyAlignment="1" applyProtection="1">
      <alignment horizontal="left"/>
      <protection locked="0"/>
    </xf>
    <xf numFmtId="0" fontId="19" fillId="13" borderId="28" xfId="6" applyFont="1" applyFill="1" applyBorder="1" applyProtection="1">
      <protection locked="0"/>
    </xf>
    <xf numFmtId="172" fontId="21" fillId="0" borderId="9" xfId="6" applyNumberFormat="1" applyFont="1" applyBorder="1" applyProtection="1">
      <protection locked="0"/>
    </xf>
    <xf numFmtId="172" fontId="21" fillId="14" borderId="9" xfId="6" applyNumberFormat="1" applyFont="1" applyFill="1" applyBorder="1" applyProtection="1">
      <protection locked="0"/>
    </xf>
    <xf numFmtId="172" fontId="21" fillId="0" borderId="10" xfId="6" applyNumberFormat="1" applyFont="1" applyBorder="1" applyProtection="1">
      <protection locked="0"/>
    </xf>
    <xf numFmtId="171" fontId="19" fillId="0" borderId="0" xfId="7" applyNumberFormat="1" applyFont="1" applyAlignment="1" applyProtection="1">
      <protection locked="0"/>
    </xf>
    <xf numFmtId="168" fontId="21" fillId="0" borderId="0" xfId="6" applyNumberFormat="1" applyFont="1" applyProtection="1">
      <protection locked="0"/>
    </xf>
    <xf numFmtId="173" fontId="21" fillId="15" borderId="9" xfId="6" applyNumberFormat="1" applyFont="1" applyFill="1" applyBorder="1" applyAlignment="1" applyProtection="1">
      <alignment horizontal="left"/>
      <protection locked="0"/>
    </xf>
    <xf numFmtId="0" fontId="19" fillId="15" borderId="28" xfId="6" applyFont="1" applyFill="1" applyBorder="1" applyProtection="1">
      <protection locked="0"/>
    </xf>
    <xf numFmtId="172" fontId="21" fillId="15" borderId="9" xfId="6" applyNumberFormat="1" applyFont="1" applyFill="1" applyBorder="1" applyProtection="1">
      <protection locked="0"/>
    </xf>
    <xf numFmtId="172" fontId="21" fillId="15" borderId="10" xfId="6" applyNumberFormat="1" applyFont="1" applyFill="1" applyBorder="1" applyProtection="1">
      <protection locked="0"/>
    </xf>
    <xf numFmtId="173" fontId="22" fillId="0" borderId="9" xfId="6" applyNumberFormat="1" applyFont="1" applyBorder="1" applyAlignment="1" applyProtection="1">
      <alignment horizontal="left"/>
      <protection locked="0"/>
    </xf>
    <xf numFmtId="0" fontId="23" fillId="13" borderId="28" xfId="6" applyFont="1" applyFill="1" applyBorder="1" applyProtection="1">
      <protection locked="0"/>
    </xf>
    <xf numFmtId="172" fontId="22" fillId="0" borderId="9" xfId="6" applyNumberFormat="1" applyFont="1" applyBorder="1" applyProtection="1">
      <protection locked="0"/>
    </xf>
    <xf numFmtId="172" fontId="22" fillId="14" borderId="9" xfId="6" applyNumberFormat="1" applyFont="1" applyFill="1" applyBorder="1" applyProtection="1">
      <protection locked="0"/>
    </xf>
    <xf numFmtId="172" fontId="22" fillId="0" borderId="10" xfId="6" applyNumberFormat="1" applyFont="1" applyBorder="1" applyProtection="1">
      <protection locked="0"/>
    </xf>
    <xf numFmtId="168" fontId="22" fillId="0" borderId="0" xfId="6" applyNumberFormat="1" applyFont="1" applyProtection="1">
      <protection locked="0"/>
    </xf>
    <xf numFmtId="168" fontId="22" fillId="0" borderId="0" xfId="6" applyNumberFormat="1" applyFont="1"/>
    <xf numFmtId="1" fontId="21" fillId="0" borderId="0" xfId="6" applyNumberFormat="1" applyFont="1" applyProtection="1">
      <protection locked="0"/>
    </xf>
    <xf numFmtId="0" fontId="2" fillId="4" borderId="0" xfId="2" applyFont="1" applyFill="1"/>
    <xf numFmtId="0" fontId="5" fillId="2" borderId="27" xfId="2" applyFont="1" applyFill="1" applyBorder="1"/>
    <xf numFmtId="0" fontId="0" fillId="0" borderId="30" xfId="0" applyBorder="1"/>
    <xf numFmtId="0" fontId="0" fillId="0" borderId="31" xfId="0" applyBorder="1"/>
    <xf numFmtId="0" fontId="2" fillId="4" borderId="32" xfId="2" applyFont="1" applyFill="1" applyBorder="1"/>
    <xf numFmtId="0" fontId="24" fillId="4" borderId="0" xfId="0" applyFont="1" applyFill="1"/>
    <xf numFmtId="0" fontId="0" fillId="0" borderId="33" xfId="0" applyBorder="1"/>
    <xf numFmtId="0" fontId="5" fillId="2" borderId="32" xfId="2" applyFont="1" applyFill="1" applyBorder="1"/>
    <xf numFmtId="9" fontId="5" fillId="2" borderId="34" xfId="4" applyNumberFormat="1" applyFont="1" applyFill="1" applyBorder="1" applyAlignment="1" applyProtection="1">
      <alignment horizontal="center" vertical="center"/>
      <protection locked="0"/>
    </xf>
    <xf numFmtId="165" fontId="5" fillId="2" borderId="34" xfId="5" applyNumberFormat="1" applyFont="1" applyFill="1" applyBorder="1" applyAlignment="1" applyProtection="1">
      <alignment horizontal="center" vertical="center"/>
      <protection locked="0"/>
    </xf>
    <xf numFmtId="0" fontId="0" fillId="0" borderId="32" xfId="0" applyBorder="1"/>
    <xf numFmtId="165" fontId="5" fillId="2" borderId="34" xfId="4" applyNumberFormat="1" applyFont="1" applyFill="1" applyBorder="1" applyAlignment="1" applyProtection="1">
      <alignment horizontal="center" vertical="center"/>
      <protection locked="0"/>
    </xf>
    <xf numFmtId="3" fontId="5" fillId="2" borderId="34" xfId="4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/>
    <xf numFmtId="0" fontId="0" fillId="0" borderId="1" xfId="0" applyBorder="1"/>
    <xf numFmtId="0" fontId="0" fillId="0" borderId="35" xfId="0" applyBorder="1"/>
    <xf numFmtId="0" fontId="2" fillId="3" borderId="11" xfId="2" applyFont="1" applyFill="1" applyBorder="1"/>
    <xf numFmtId="0" fontId="25" fillId="0" borderId="0" xfId="0" applyFont="1" applyAlignment="1">
      <alignment horizontal="left" vertical="center"/>
    </xf>
    <xf numFmtId="3" fontId="25" fillId="0" borderId="0" xfId="0" applyNumberFormat="1" applyFont="1" applyAlignment="1">
      <alignment horizontal="center" vertical="center"/>
    </xf>
    <xf numFmtId="0" fontId="26" fillId="0" borderId="0" xfId="0" applyFont="1"/>
    <xf numFmtId="174" fontId="27" fillId="16" borderId="0" xfId="2" applyNumberFormat="1" applyFont="1" applyFill="1" applyAlignment="1">
      <alignment vertical="center"/>
    </xf>
    <xf numFmtId="174" fontId="28" fillId="16" borderId="13" xfId="2" applyNumberFormat="1" applyFont="1" applyFill="1" applyBorder="1" applyAlignment="1">
      <alignment horizontal="center" vertical="center"/>
    </xf>
    <xf numFmtId="17" fontId="29" fillId="17" borderId="36" xfId="2" applyNumberFormat="1" applyFont="1" applyFill="1" applyBorder="1" applyAlignment="1">
      <alignment horizontal="center" vertical="center" wrapText="1" readingOrder="1"/>
    </xf>
    <xf numFmtId="17" fontId="29" fillId="17" borderId="9" xfId="2" applyNumberFormat="1" applyFont="1" applyFill="1" applyBorder="1" applyAlignment="1">
      <alignment horizontal="center" vertical="center" wrapText="1" readingOrder="1"/>
    </xf>
    <xf numFmtId="17" fontId="29" fillId="17" borderId="37" xfId="8" applyNumberFormat="1" applyFont="1" applyFill="1" applyBorder="1" applyAlignment="1">
      <alignment horizontal="center" vertical="center" wrapText="1" readingOrder="1"/>
    </xf>
    <xf numFmtId="174" fontId="3" fillId="3" borderId="38" xfId="9" quotePrefix="1" applyNumberFormat="1" applyFont="1" applyFill="1" applyBorder="1" applyAlignment="1">
      <alignment horizontal="left" vertical="center"/>
    </xf>
    <xf numFmtId="167" fontId="2" fillId="3" borderId="39" xfId="3" applyNumberFormat="1" applyFont="1" applyFill="1" applyBorder="1" applyAlignment="1">
      <alignment horizontal="center" vertical="center"/>
    </xf>
    <xf numFmtId="167" fontId="2" fillId="3" borderId="40" xfId="3" applyNumberFormat="1" applyFont="1" applyFill="1" applyBorder="1" applyAlignment="1">
      <alignment vertical="center"/>
    </xf>
    <xf numFmtId="167" fontId="2" fillId="2" borderId="42" xfId="3" applyNumberFormat="1" applyFont="1" applyFill="1" applyBorder="1" applyAlignment="1">
      <alignment horizontal="center" vertical="center"/>
    </xf>
    <xf numFmtId="167" fontId="2" fillId="2" borderId="43" xfId="3" applyNumberFormat="1" applyFont="1" applyFill="1" applyBorder="1" applyAlignment="1">
      <alignment vertical="center"/>
    </xf>
    <xf numFmtId="174" fontId="3" fillId="3" borderId="44" xfId="9" quotePrefix="1" applyNumberFormat="1" applyFont="1" applyFill="1" applyBorder="1" applyAlignment="1">
      <alignment horizontal="left" vertical="center"/>
    </xf>
    <xf numFmtId="174" fontId="4" fillId="0" borderId="41" xfId="9" quotePrefix="1" applyNumberFormat="1" applyFont="1" applyBorder="1" applyAlignment="1">
      <alignment horizontal="left" vertical="center"/>
    </xf>
    <xf numFmtId="174" fontId="3" fillId="3" borderId="38" xfId="9" applyNumberFormat="1" applyFont="1" applyFill="1" applyBorder="1" applyAlignment="1">
      <alignment vertical="center"/>
    </xf>
    <xf numFmtId="167" fontId="5" fillId="2" borderId="43" xfId="3" applyNumberFormat="1" applyFont="1" applyFill="1" applyBorder="1" applyAlignment="1">
      <alignment vertical="center"/>
    </xf>
    <xf numFmtId="174" fontId="3" fillId="3" borderId="45" xfId="9" applyNumberFormat="1" applyFont="1" applyFill="1" applyBorder="1" applyAlignment="1">
      <alignment vertical="center"/>
    </xf>
    <xf numFmtId="167" fontId="2" fillId="3" borderId="19" xfId="3" applyNumberFormat="1" applyFont="1" applyFill="1" applyBorder="1" applyAlignment="1">
      <alignment horizontal="center" vertical="center"/>
    </xf>
    <xf numFmtId="167" fontId="2" fillId="3" borderId="46" xfId="3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7" fontId="5" fillId="0" borderId="40" xfId="3" applyNumberFormat="1" applyFont="1" applyFill="1" applyBorder="1" applyAlignment="1">
      <alignment vertical="center"/>
    </xf>
    <xf numFmtId="174" fontId="3" fillId="18" borderId="38" xfId="9" applyNumberFormat="1" applyFont="1" applyFill="1" applyBorder="1" applyAlignment="1">
      <alignment horizontal="left" vertical="center"/>
    </xf>
    <xf numFmtId="167" fontId="3" fillId="18" borderId="39" xfId="11" applyNumberFormat="1" applyFont="1" applyFill="1" applyBorder="1" applyAlignment="1">
      <alignment horizontal="center" vertical="center"/>
    </xf>
    <xf numFmtId="167" fontId="4" fillId="18" borderId="40" xfId="11" applyNumberFormat="1" applyFont="1" applyFill="1" applyBorder="1" applyAlignment="1">
      <alignment vertical="center"/>
    </xf>
    <xf numFmtId="174" fontId="3" fillId="2" borderId="41" xfId="9" applyNumberFormat="1" applyFont="1" applyFill="1" applyBorder="1" applyAlignment="1">
      <alignment horizontal="left" vertical="center"/>
    </xf>
    <xf numFmtId="167" fontId="4" fillId="2" borderId="43" xfId="11" applyNumberFormat="1" applyFont="1" applyFill="1" applyBorder="1" applyAlignment="1">
      <alignment vertical="center"/>
    </xf>
    <xf numFmtId="167" fontId="4" fillId="2" borderId="3" xfId="11" applyNumberFormat="1" applyFont="1" applyFill="1" applyBorder="1" applyAlignment="1">
      <alignment vertical="center"/>
    </xf>
    <xf numFmtId="167" fontId="5" fillId="0" borderId="43" xfId="4" applyNumberFormat="1" applyFont="1" applyBorder="1" applyAlignment="1" applyProtection="1">
      <alignment horizontal="center" vertical="center"/>
      <protection locked="0"/>
    </xf>
    <xf numFmtId="167" fontId="5" fillId="0" borderId="3" xfId="4" applyNumberFormat="1" applyFont="1" applyBorder="1" applyAlignment="1" applyProtection="1">
      <alignment horizontal="center" vertical="center"/>
      <protection locked="0"/>
    </xf>
    <xf numFmtId="167" fontId="5" fillId="0" borderId="3" xfId="3" applyNumberFormat="1" applyFont="1" applyFill="1" applyBorder="1" applyAlignment="1">
      <alignment horizontal="right" vertical="center"/>
    </xf>
    <xf numFmtId="167" fontId="5" fillId="0" borderId="43" xfId="3" applyNumberFormat="1" applyFont="1" applyFill="1" applyBorder="1" applyAlignment="1">
      <alignment horizontal="right" vertical="center"/>
    </xf>
    <xf numFmtId="167" fontId="3" fillId="3" borderId="47" xfId="11" applyNumberFormat="1" applyFont="1" applyFill="1" applyBorder="1" applyAlignment="1">
      <alignment horizontal="center" vertical="center"/>
    </xf>
    <xf numFmtId="167" fontId="3" fillId="3" borderId="46" xfId="11" applyNumberFormat="1" applyFont="1" applyFill="1" applyBorder="1" applyAlignment="1">
      <alignment vertical="center"/>
    </xf>
    <xf numFmtId="174" fontId="3" fillId="18" borderId="36" xfId="9" applyNumberFormat="1" applyFont="1" applyFill="1" applyBorder="1" applyAlignment="1">
      <alignment horizontal="left" vertical="center"/>
    </xf>
    <xf numFmtId="167" fontId="3" fillId="18" borderId="36" xfId="11" applyNumberFormat="1" applyFont="1" applyFill="1" applyBorder="1" applyAlignment="1">
      <alignment vertical="center"/>
    </xf>
    <xf numFmtId="167" fontId="3" fillId="18" borderId="48" xfId="11" applyNumberFormat="1" applyFont="1" applyFill="1" applyBorder="1" applyAlignment="1">
      <alignment vertical="center"/>
    </xf>
    <xf numFmtId="3" fontId="4" fillId="2" borderId="0" xfId="12" applyNumberFormat="1" applyFont="1" applyFill="1" applyAlignment="1">
      <alignment vertical="center"/>
    </xf>
    <xf numFmtId="167" fontId="4" fillId="0" borderId="0" xfId="2" applyNumberFormat="1" applyFont="1" applyAlignment="1">
      <alignment horizontal="center" vertical="center"/>
    </xf>
    <xf numFmtId="167" fontId="3" fillId="2" borderId="0" xfId="3" applyNumberFormat="1" applyFont="1" applyFill="1" applyBorder="1" applyAlignment="1">
      <alignment vertical="center"/>
    </xf>
    <xf numFmtId="0" fontId="32" fillId="0" borderId="0" xfId="0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74" fontId="4" fillId="2" borderId="0" xfId="12" applyNumberFormat="1" applyFont="1" applyFill="1" applyAlignment="1">
      <alignment vertical="center"/>
    </xf>
    <xf numFmtId="167" fontId="4" fillId="2" borderId="0" xfId="3" applyNumberFormat="1" applyFont="1" applyFill="1" applyBorder="1" applyAlignment="1">
      <alignment vertical="center"/>
    </xf>
    <xf numFmtId="3" fontId="4" fillId="0" borderId="0" xfId="2" applyNumberFormat="1" applyFont="1" applyAlignment="1">
      <alignment horizontal="center" vertical="center"/>
    </xf>
    <xf numFmtId="3" fontId="4" fillId="2" borderId="0" xfId="3" applyNumberFormat="1" applyFont="1" applyFill="1" applyBorder="1" applyAlignment="1">
      <alignment vertical="center"/>
    </xf>
    <xf numFmtId="0" fontId="9" fillId="0" borderId="0" xfId="2" applyFont="1" applyAlignment="1">
      <alignment vertical="center"/>
    </xf>
    <xf numFmtId="167" fontId="9" fillId="0" borderId="0" xfId="2" applyNumberFormat="1" applyFont="1" applyAlignment="1">
      <alignment horizontal="center" vertical="center"/>
    </xf>
    <xf numFmtId="167" fontId="9" fillId="0" borderId="0" xfId="2" applyNumberFormat="1" applyFont="1" applyAlignment="1">
      <alignment vertical="center"/>
    </xf>
    <xf numFmtId="174" fontId="4" fillId="0" borderId="0" xfId="2" applyNumberFormat="1" applyFont="1" applyAlignment="1">
      <alignment horizontal="center" vertical="center"/>
    </xf>
    <xf numFmtId="174" fontId="3" fillId="2" borderId="0" xfId="9" applyNumberFormat="1" applyFont="1" applyFill="1" applyAlignment="1">
      <alignment horizontal="left" vertical="center"/>
    </xf>
    <xf numFmtId="9" fontId="5" fillId="3" borderId="4" xfId="3" applyNumberFormat="1" applyFont="1" applyFill="1" applyBorder="1" applyAlignment="1">
      <alignment horizontal="center" vertical="center"/>
    </xf>
    <xf numFmtId="174" fontId="3" fillId="2" borderId="0" xfId="11" applyNumberFormat="1" applyFont="1" applyFill="1" applyAlignment="1">
      <alignment horizontal="center" vertical="center"/>
    </xf>
    <xf numFmtId="174" fontId="3" fillId="2" borderId="0" xfId="11" applyNumberFormat="1" applyFont="1" applyFill="1" applyAlignment="1">
      <alignment vertical="center"/>
    </xf>
    <xf numFmtId="174" fontId="3" fillId="2" borderId="0" xfId="9" applyNumberFormat="1" applyFont="1" applyFill="1" applyAlignment="1">
      <alignment vertical="center"/>
    </xf>
    <xf numFmtId="165" fontId="5" fillId="3" borderId="4" xfId="3" applyNumberFormat="1" applyFont="1" applyFill="1" applyBorder="1" applyAlignment="1">
      <alignment horizontal="center" vertical="center"/>
    </xf>
    <xf numFmtId="9" fontId="33" fillId="2" borderId="0" xfId="11" applyNumberFormat="1" applyFont="1" applyFill="1" applyAlignment="1">
      <alignment horizontal="center" vertical="center"/>
    </xf>
    <xf numFmtId="9" fontId="33" fillId="2" borderId="0" xfId="11" applyNumberFormat="1" applyFont="1" applyFill="1" applyAlignment="1">
      <alignment vertical="center"/>
    </xf>
    <xf numFmtId="174" fontId="34" fillId="2" borderId="0" xfId="11" applyNumberFormat="1" applyFont="1" applyFill="1" applyAlignment="1">
      <alignment vertical="center"/>
    </xf>
    <xf numFmtId="174" fontId="34" fillId="2" borderId="0" xfId="11" applyNumberFormat="1" applyFont="1" applyFill="1" applyAlignment="1">
      <alignment horizontal="center" vertical="center"/>
    </xf>
    <xf numFmtId="4" fontId="5" fillId="3" borderId="4" xfId="3" applyNumberFormat="1" applyFont="1" applyFill="1" applyBorder="1" applyAlignment="1">
      <alignment horizontal="center" vertical="center"/>
    </xf>
    <xf numFmtId="14" fontId="0" fillId="0" borderId="0" xfId="0" applyNumberFormat="1"/>
    <xf numFmtId="0" fontId="28" fillId="16" borderId="0" xfId="2" applyFont="1" applyFill="1" applyAlignment="1">
      <alignment horizontal="center" vertical="center"/>
    </xf>
    <xf numFmtId="0" fontId="1" fillId="0" borderId="0" xfId="13" applyAlignment="1">
      <alignment horizontal="left" vertical="center"/>
    </xf>
    <xf numFmtId="0" fontId="1" fillId="0" borderId="0" xfId="2" applyAlignment="1">
      <alignment horizontal="center" vertical="center"/>
    </xf>
    <xf numFmtId="0" fontId="1" fillId="0" borderId="0" xfId="2" applyAlignment="1">
      <alignment horizontal="left" vertical="center"/>
    </xf>
    <xf numFmtId="3" fontId="1" fillId="0" borderId="0" xfId="2" applyNumberFormat="1" applyAlignment="1">
      <alignment horizontal="left" vertical="center"/>
    </xf>
    <xf numFmtId="0" fontId="35" fillId="0" borderId="0" xfId="2" applyFont="1" applyAlignment="1">
      <alignment horizontal="left" vertical="center"/>
    </xf>
    <xf numFmtId="3" fontId="35" fillId="0" borderId="0" xfId="2" applyNumberFormat="1" applyFont="1" applyAlignment="1">
      <alignment horizontal="left" vertical="center"/>
    </xf>
    <xf numFmtId="3" fontId="38" fillId="19" borderId="16" xfId="13" applyNumberFormat="1" applyFont="1" applyFill="1" applyBorder="1" applyAlignment="1">
      <alignment horizontal="center" vertical="center" wrapText="1"/>
    </xf>
    <xf numFmtId="3" fontId="38" fillId="19" borderId="51" xfId="13" applyNumberFormat="1" applyFont="1" applyFill="1" applyBorder="1" applyAlignment="1">
      <alignment horizontal="center" vertical="center" wrapText="1"/>
    </xf>
    <xf numFmtId="9" fontId="17" fillId="19" borderId="7" xfId="14" applyFont="1" applyFill="1" applyBorder="1" applyAlignment="1">
      <alignment horizontal="center" vertical="center" wrapText="1"/>
    </xf>
    <xf numFmtId="3" fontId="17" fillId="19" borderId="8" xfId="13" applyNumberFormat="1" applyFont="1" applyFill="1" applyBorder="1" applyAlignment="1">
      <alignment horizontal="center" vertical="center" wrapText="1"/>
    </xf>
    <xf numFmtId="167" fontId="1" fillId="0" borderId="9" xfId="13" applyNumberFormat="1" applyBorder="1" applyAlignment="1">
      <alignment horizontal="center" vertical="center"/>
    </xf>
    <xf numFmtId="3" fontId="39" fillId="19" borderId="8" xfId="13" applyNumberFormat="1" applyFont="1" applyFill="1" applyBorder="1" applyAlignment="1">
      <alignment horizontal="center" vertical="center" wrapText="1"/>
    </xf>
    <xf numFmtId="9" fontId="39" fillId="19" borderId="7" xfId="14" applyFont="1" applyFill="1" applyBorder="1" applyAlignment="1">
      <alignment horizontal="center" vertical="center" wrapText="1"/>
    </xf>
    <xf numFmtId="0" fontId="1" fillId="0" borderId="16" xfId="2" applyBorder="1" applyAlignment="1">
      <alignment horizontal="center" vertical="center"/>
    </xf>
    <xf numFmtId="0" fontId="1" fillId="0" borderId="17" xfId="2" applyBorder="1" applyAlignment="1">
      <alignment horizontal="center" vertical="center"/>
    </xf>
    <xf numFmtId="0" fontId="1" fillId="0" borderId="18" xfId="2" applyBorder="1" applyAlignment="1">
      <alignment horizontal="center" vertical="center"/>
    </xf>
    <xf numFmtId="9" fontId="17" fillId="19" borderId="21" xfId="5" applyFont="1" applyFill="1" applyBorder="1" applyAlignment="1">
      <alignment horizontal="center" vertical="center" wrapText="1"/>
    </xf>
    <xf numFmtId="3" fontId="17" fillId="19" borderId="5" xfId="2" applyNumberFormat="1" applyFont="1" applyFill="1" applyBorder="1" applyAlignment="1">
      <alignment horizontal="center" vertical="center" wrapText="1"/>
    </xf>
    <xf numFmtId="9" fontId="17" fillId="19" borderId="7" xfId="5" applyFont="1" applyFill="1" applyBorder="1" applyAlignment="1">
      <alignment horizontal="center" vertical="center" wrapText="1"/>
    </xf>
    <xf numFmtId="3" fontId="39" fillId="19" borderId="5" xfId="2" applyNumberFormat="1" applyFont="1" applyFill="1" applyBorder="1" applyAlignment="1">
      <alignment horizontal="center" vertical="center" wrapText="1"/>
    </xf>
    <xf numFmtId="9" fontId="39" fillId="19" borderId="7" xfId="5" applyFont="1" applyFill="1" applyBorder="1" applyAlignment="1">
      <alignment horizontal="center" vertical="center" wrapText="1"/>
    </xf>
    <xf numFmtId="165" fontId="40" fillId="0" borderId="5" xfId="5" applyNumberFormat="1" applyFont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center"/>
    </xf>
    <xf numFmtId="165" fontId="0" fillId="0" borderId="0" xfId="1" applyNumberFormat="1" applyFont="1"/>
    <xf numFmtId="165" fontId="0" fillId="0" borderId="0" xfId="0" applyNumberFormat="1"/>
    <xf numFmtId="17" fontId="0" fillId="0" borderId="0" xfId="0" applyNumberFormat="1"/>
    <xf numFmtId="0" fontId="41" fillId="17" borderId="0" xfId="0" applyFont="1" applyFill="1"/>
    <xf numFmtId="0" fontId="29" fillId="17" borderId="37" xfId="8" applyFont="1" applyFill="1" applyBorder="1" applyAlignment="1">
      <alignment horizontal="center" vertical="center" wrapText="1" readingOrder="1"/>
    </xf>
    <xf numFmtId="167" fontId="3" fillId="20" borderId="9" xfId="11" applyNumberFormat="1" applyFont="1" applyFill="1" applyBorder="1" applyAlignment="1">
      <alignment horizontal="center" vertical="center"/>
    </xf>
    <xf numFmtId="167" fontId="3" fillId="20" borderId="0" xfId="3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43" fontId="0" fillId="0" borderId="0" xfId="15" applyFont="1"/>
    <xf numFmtId="174" fontId="0" fillId="0" borderId="0" xfId="0" applyNumberFormat="1"/>
    <xf numFmtId="10" fontId="0" fillId="0" borderId="0" xfId="1" applyNumberFormat="1" applyFont="1"/>
    <xf numFmtId="175" fontId="0" fillId="0" borderId="0" xfId="15" applyNumberFormat="1" applyFont="1"/>
    <xf numFmtId="175" fontId="0" fillId="0" borderId="0" xfId="0" applyNumberFormat="1"/>
    <xf numFmtId="9" fontId="0" fillId="0" borderId="0" xfId="1" applyFont="1"/>
    <xf numFmtId="1" fontId="0" fillId="0" borderId="0" xfId="0" applyNumberFormat="1"/>
    <xf numFmtId="43" fontId="0" fillId="0" borderId="0" xfId="1" applyNumberFormat="1" applyFont="1"/>
    <xf numFmtId="3" fontId="8" fillId="21" borderId="9" xfId="2" applyNumberFormat="1" applyFont="1" applyFill="1" applyBorder="1" applyAlignment="1">
      <alignment horizontal="center"/>
    </xf>
    <xf numFmtId="43" fontId="0" fillId="0" borderId="0" xfId="0" applyNumberFormat="1"/>
    <xf numFmtId="9" fontId="5" fillId="3" borderId="3" xfId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76" fontId="0" fillId="0" borderId="0" xfId="0" applyNumberFormat="1"/>
    <xf numFmtId="49" fontId="0" fillId="0" borderId="0" xfId="0" applyNumberFormat="1" applyAlignment="1">
      <alignment horizontal="right"/>
    </xf>
    <xf numFmtId="9" fontId="34" fillId="2" borderId="0" xfId="1" applyFont="1" applyFill="1" applyAlignment="1">
      <alignment vertical="center"/>
    </xf>
    <xf numFmtId="0" fontId="47" fillId="22" borderId="9" xfId="0" applyFont="1" applyFill="1" applyBorder="1"/>
    <xf numFmtId="0" fontId="24" fillId="22" borderId="9" xfId="0" applyFont="1" applyFill="1" applyBorder="1"/>
    <xf numFmtId="0" fontId="48" fillId="0" borderId="9" xfId="0" applyFont="1" applyBorder="1"/>
    <xf numFmtId="3" fontId="48" fillId="0" borderId="9" xfId="0" applyNumberFormat="1" applyFont="1" applyBorder="1"/>
    <xf numFmtId="3" fontId="0" fillId="0" borderId="9" xfId="0" applyNumberFormat="1" applyBorder="1"/>
    <xf numFmtId="3" fontId="47" fillId="22" borderId="9" xfId="0" applyNumberFormat="1" applyFont="1" applyFill="1" applyBorder="1"/>
    <xf numFmtId="177" fontId="0" fillId="0" borderId="0" xfId="1" applyNumberFormat="1" applyFont="1"/>
    <xf numFmtId="0" fontId="49" fillId="0" borderId="0" xfId="0" applyFont="1"/>
    <xf numFmtId="165" fontId="49" fillId="0" borderId="0" xfId="1" applyNumberFormat="1" applyFont="1"/>
    <xf numFmtId="174" fontId="50" fillId="16" borderId="0" xfId="2" applyNumberFormat="1" applyFont="1" applyFill="1" applyAlignment="1">
      <alignment vertical="center"/>
    </xf>
    <xf numFmtId="174" fontId="51" fillId="16" borderId="13" xfId="2" applyNumberFormat="1" applyFont="1" applyFill="1" applyBorder="1" applyAlignment="1">
      <alignment horizontal="center" vertical="center"/>
    </xf>
    <xf numFmtId="0" fontId="51" fillId="16" borderId="0" xfId="2" applyFont="1" applyFill="1" applyAlignment="1">
      <alignment horizontal="center" vertical="center"/>
    </xf>
    <xf numFmtId="17" fontId="52" fillId="17" borderId="36" xfId="2" applyNumberFormat="1" applyFont="1" applyFill="1" applyBorder="1" applyAlignment="1">
      <alignment horizontal="center" vertical="center" wrapText="1" readingOrder="1"/>
    </xf>
    <xf numFmtId="17" fontId="52" fillId="17" borderId="9" xfId="2" applyNumberFormat="1" applyFont="1" applyFill="1" applyBorder="1" applyAlignment="1">
      <alignment horizontal="center" vertical="center" wrapText="1" readingOrder="1"/>
    </xf>
    <xf numFmtId="17" fontId="52" fillId="17" borderId="37" xfId="8" applyNumberFormat="1" applyFont="1" applyFill="1" applyBorder="1" applyAlignment="1">
      <alignment horizontal="center" vertical="center" wrapText="1" readingOrder="1"/>
    </xf>
    <xf numFmtId="167" fontId="54" fillId="3" borderId="39" xfId="3" applyNumberFormat="1" applyFont="1" applyFill="1" applyBorder="1" applyAlignment="1">
      <alignment horizontal="center" vertical="center"/>
    </xf>
    <xf numFmtId="167" fontId="54" fillId="3" borderId="40" xfId="3" applyNumberFormat="1" applyFont="1" applyFill="1" applyBorder="1" applyAlignment="1">
      <alignment vertical="center"/>
    </xf>
    <xf numFmtId="167" fontId="54" fillId="2" borderId="42" xfId="3" applyNumberFormat="1" applyFont="1" applyFill="1" applyBorder="1" applyAlignment="1">
      <alignment horizontal="center" vertical="center"/>
    </xf>
    <xf numFmtId="167" fontId="54" fillId="2" borderId="43" xfId="3" applyNumberFormat="1" applyFont="1" applyFill="1" applyBorder="1" applyAlignment="1">
      <alignment vertical="center"/>
    </xf>
    <xf numFmtId="174" fontId="53" fillId="3" borderId="38" xfId="9" applyNumberFormat="1" applyFont="1" applyFill="1" applyBorder="1" applyAlignment="1">
      <alignment vertical="center"/>
    </xf>
    <xf numFmtId="167" fontId="56" fillId="2" borderId="43" xfId="3" applyNumberFormat="1" applyFont="1" applyFill="1" applyBorder="1" applyAlignment="1">
      <alignment vertical="center"/>
    </xf>
    <xf numFmtId="174" fontId="53" fillId="3" borderId="45" xfId="9" applyNumberFormat="1" applyFont="1" applyFill="1" applyBorder="1" applyAlignment="1">
      <alignment vertical="center"/>
    </xf>
    <xf numFmtId="167" fontId="54" fillId="3" borderId="46" xfId="3" applyNumberFormat="1" applyFont="1" applyFill="1" applyBorder="1" applyAlignment="1">
      <alignment vertical="center"/>
    </xf>
    <xf numFmtId="167" fontId="56" fillId="0" borderId="40" xfId="3" applyNumberFormat="1" applyFont="1" applyBorder="1" applyAlignment="1">
      <alignment vertical="center"/>
    </xf>
    <xf numFmtId="167" fontId="54" fillId="3" borderId="19" xfId="3" applyNumberFormat="1" applyFont="1" applyFill="1" applyBorder="1" applyAlignment="1">
      <alignment horizontal="center" vertical="center"/>
    </xf>
    <xf numFmtId="174" fontId="53" fillId="18" borderId="38" xfId="9" applyNumberFormat="1" applyFont="1" applyFill="1" applyBorder="1" applyAlignment="1">
      <alignment horizontal="left" vertical="center"/>
    </xf>
    <xf numFmtId="167" fontId="53" fillId="18" borderId="39" xfId="11" applyNumberFormat="1" applyFont="1" applyFill="1" applyBorder="1" applyAlignment="1">
      <alignment horizontal="center" vertical="center"/>
    </xf>
    <xf numFmtId="167" fontId="55" fillId="18" borderId="40" xfId="11" applyNumberFormat="1" applyFont="1" applyFill="1" applyBorder="1" applyAlignment="1">
      <alignment vertical="center"/>
    </xf>
    <xf numFmtId="174" fontId="53" fillId="2" borderId="41" xfId="9" applyNumberFormat="1" applyFont="1" applyFill="1" applyBorder="1" applyAlignment="1">
      <alignment horizontal="left" vertical="center"/>
    </xf>
    <xf numFmtId="167" fontId="55" fillId="2" borderId="43" xfId="11" applyNumberFormat="1" applyFont="1" applyFill="1" applyBorder="1" applyAlignment="1">
      <alignment vertical="center"/>
    </xf>
    <xf numFmtId="167" fontId="55" fillId="2" borderId="3" xfId="11" applyNumberFormat="1" applyFont="1" applyFill="1" applyBorder="1" applyAlignment="1">
      <alignment vertical="center"/>
    </xf>
    <xf numFmtId="167" fontId="56" fillId="0" borderId="43" xfId="4" applyNumberFormat="1" applyFont="1" applyBorder="1" applyAlignment="1" applyProtection="1">
      <alignment horizontal="center" vertical="center"/>
      <protection locked="0"/>
    </xf>
    <xf numFmtId="167" fontId="56" fillId="0" borderId="3" xfId="3" applyNumberFormat="1" applyFont="1" applyBorder="1" applyAlignment="1">
      <alignment horizontal="right" vertical="center"/>
    </xf>
    <xf numFmtId="167" fontId="56" fillId="0" borderId="43" xfId="3" applyNumberFormat="1" applyFont="1" applyBorder="1" applyAlignment="1">
      <alignment horizontal="right" vertical="center"/>
    </xf>
    <xf numFmtId="167" fontId="56" fillId="0" borderId="3" xfId="4" applyNumberFormat="1" applyFont="1" applyBorder="1" applyAlignment="1" applyProtection="1">
      <alignment horizontal="center" vertical="center"/>
      <protection locked="0"/>
    </xf>
    <xf numFmtId="167" fontId="53" fillId="3" borderId="47" xfId="11" applyNumberFormat="1" applyFont="1" applyFill="1" applyBorder="1" applyAlignment="1">
      <alignment horizontal="center" vertical="center"/>
    </xf>
    <xf numFmtId="167" fontId="53" fillId="3" borderId="46" xfId="11" applyNumberFormat="1" applyFont="1" applyFill="1" applyBorder="1" applyAlignment="1">
      <alignment vertical="center"/>
    </xf>
    <xf numFmtId="174" fontId="53" fillId="18" borderId="36" xfId="9" applyNumberFormat="1" applyFont="1" applyFill="1" applyBorder="1" applyAlignment="1">
      <alignment horizontal="left" vertical="center"/>
    </xf>
    <xf numFmtId="167" fontId="53" fillId="20" borderId="9" xfId="11" applyNumberFormat="1" applyFont="1" applyFill="1" applyBorder="1" applyAlignment="1">
      <alignment horizontal="center" vertical="center"/>
    </xf>
    <xf numFmtId="167" fontId="53" fillId="18" borderId="36" xfId="11" applyNumberFormat="1" applyFont="1" applyFill="1" applyBorder="1" applyAlignment="1">
      <alignment vertical="center"/>
    </xf>
    <xf numFmtId="167" fontId="53" fillId="18" borderId="48" xfId="11" applyNumberFormat="1" applyFont="1" applyFill="1" applyBorder="1" applyAlignment="1">
      <alignment vertical="center"/>
    </xf>
    <xf numFmtId="3" fontId="55" fillId="2" borderId="0" xfId="12" applyNumberFormat="1" applyFont="1" applyFill="1" applyAlignment="1">
      <alignment vertical="center"/>
    </xf>
    <xf numFmtId="167" fontId="55" fillId="0" borderId="0" xfId="2" applyNumberFormat="1" applyFont="1" applyAlignment="1">
      <alignment horizontal="center" vertical="center"/>
    </xf>
    <xf numFmtId="167" fontId="53" fillId="2" borderId="0" xfId="3" applyNumberFormat="1" applyFont="1" applyFill="1" applyAlignment="1">
      <alignment vertical="center"/>
    </xf>
    <xf numFmtId="0" fontId="57" fillId="0" borderId="0" xfId="0" applyFont="1" applyAlignment="1">
      <alignment horizontal="center" vertical="center"/>
    </xf>
    <xf numFmtId="167" fontId="57" fillId="0" borderId="0" xfId="0" applyNumberFormat="1" applyFont="1" applyAlignment="1">
      <alignment horizontal="center" vertical="center"/>
    </xf>
    <xf numFmtId="174" fontId="55" fillId="2" borderId="0" xfId="12" applyNumberFormat="1" applyFont="1" applyFill="1" applyAlignment="1">
      <alignment vertical="center"/>
    </xf>
    <xf numFmtId="167" fontId="55" fillId="2" borderId="0" xfId="3" applyNumberFormat="1" applyFont="1" applyFill="1" applyAlignment="1">
      <alignment vertical="center"/>
    </xf>
    <xf numFmtId="3" fontId="55" fillId="0" borderId="0" xfId="2" applyNumberFormat="1" applyFont="1" applyAlignment="1">
      <alignment horizontal="center" vertical="center"/>
    </xf>
    <xf numFmtId="3" fontId="55" fillId="2" borderId="0" xfId="3" applyNumberFormat="1" applyFont="1" applyFill="1" applyAlignment="1">
      <alignment vertical="center"/>
    </xf>
    <xf numFmtId="174" fontId="55" fillId="0" borderId="0" xfId="2" applyNumberFormat="1" applyFont="1" applyAlignment="1">
      <alignment horizontal="center" vertical="center"/>
    </xf>
    <xf numFmtId="174" fontId="53" fillId="2" borderId="0" xfId="9" applyNumberFormat="1" applyFont="1" applyFill="1" applyAlignment="1">
      <alignment horizontal="left" vertical="center"/>
    </xf>
    <xf numFmtId="9" fontId="56" fillId="3" borderId="4" xfId="3" applyNumberFormat="1" applyFont="1" applyFill="1" applyBorder="1" applyAlignment="1">
      <alignment horizontal="center" vertical="center"/>
    </xf>
    <xf numFmtId="174" fontId="53" fillId="2" borderId="0" xfId="11" applyNumberFormat="1" applyFont="1" applyFill="1" applyAlignment="1">
      <alignment horizontal="center" vertical="center"/>
    </xf>
    <xf numFmtId="174" fontId="53" fillId="2" borderId="0" xfId="11" applyNumberFormat="1" applyFont="1" applyFill="1" applyAlignment="1">
      <alignment vertical="center"/>
    </xf>
    <xf numFmtId="174" fontId="53" fillId="2" borderId="0" xfId="9" applyNumberFormat="1" applyFont="1" applyFill="1" applyAlignment="1">
      <alignment vertical="center"/>
    </xf>
    <xf numFmtId="165" fontId="56" fillId="3" borderId="4" xfId="3" applyNumberFormat="1" applyFont="1" applyFill="1" applyBorder="1" applyAlignment="1">
      <alignment horizontal="center" vertical="center"/>
    </xf>
    <xf numFmtId="9" fontId="58" fillId="2" borderId="0" xfId="11" applyNumberFormat="1" applyFont="1" applyFill="1" applyAlignment="1">
      <alignment horizontal="center" vertical="center"/>
    </xf>
    <xf numFmtId="9" fontId="58" fillId="2" borderId="0" xfId="11" applyNumberFormat="1" applyFont="1" applyFill="1" applyAlignment="1">
      <alignment vertical="center"/>
    </xf>
    <xf numFmtId="174" fontId="59" fillId="2" borderId="0" xfId="11" applyNumberFormat="1" applyFont="1" applyFill="1" applyAlignment="1">
      <alignment vertical="center"/>
    </xf>
    <xf numFmtId="9" fontId="59" fillId="2" borderId="0" xfId="1" applyFont="1" applyFill="1" applyAlignment="1">
      <alignment vertical="center"/>
    </xf>
    <xf numFmtId="167" fontId="53" fillId="20" borderId="0" xfId="3" applyNumberFormat="1" applyFont="1" applyFill="1" applyAlignment="1">
      <alignment horizontal="center" vertical="center"/>
    </xf>
    <xf numFmtId="174" fontId="59" fillId="2" borderId="0" xfId="11" applyNumberFormat="1" applyFont="1" applyFill="1" applyAlignment="1">
      <alignment horizontal="center" vertical="center"/>
    </xf>
    <xf numFmtId="4" fontId="56" fillId="3" borderId="4" xfId="3" applyNumberFormat="1" applyFont="1" applyFill="1" applyBorder="1" applyAlignment="1">
      <alignment horizontal="center" vertical="center"/>
    </xf>
    <xf numFmtId="174" fontId="53" fillId="3" borderId="38" xfId="9" quotePrefix="1" applyNumberFormat="1" applyFont="1" applyFill="1" applyBorder="1" applyAlignment="1">
      <alignment horizontal="left" vertical="center"/>
    </xf>
    <xf numFmtId="174" fontId="55" fillId="0" borderId="41" xfId="9" quotePrefix="1" applyNumberFormat="1" applyFont="1" applyBorder="1" applyAlignment="1">
      <alignment horizontal="left" vertical="center"/>
    </xf>
    <xf numFmtId="174" fontId="53" fillId="3" borderId="44" xfId="9" quotePrefix="1" applyNumberFormat="1" applyFont="1" applyFill="1" applyBorder="1" applyAlignment="1">
      <alignment horizontal="left" vertical="center"/>
    </xf>
    <xf numFmtId="167" fontId="56" fillId="2" borderId="43" xfId="3" applyNumberFormat="1" applyFont="1" applyFill="1" applyBorder="1" applyAlignment="1">
      <alignment vertical="center" wrapText="1"/>
    </xf>
    <xf numFmtId="0" fontId="3" fillId="2" borderId="1" xfId="2" applyFont="1" applyFill="1" applyBorder="1" applyAlignment="1">
      <alignment horizontal="center" wrapText="1"/>
    </xf>
    <xf numFmtId="3" fontId="60" fillId="0" borderId="9" xfId="2" applyNumberFormat="1" applyFont="1" applyBorder="1" applyAlignment="1">
      <alignment horizontal="center"/>
    </xf>
    <xf numFmtId="3" fontId="56" fillId="3" borderId="3" xfId="3" applyNumberFormat="1" applyFont="1" applyFill="1" applyBorder="1" applyAlignment="1">
      <alignment horizontal="center" vertical="center"/>
    </xf>
    <xf numFmtId="0" fontId="61" fillId="0" borderId="0" xfId="0" applyFont="1"/>
    <xf numFmtId="0" fontId="17" fillId="19" borderId="53" xfId="2" applyFont="1" applyFill="1" applyBorder="1" applyAlignment="1">
      <alignment horizontal="center" vertical="center" wrapText="1"/>
    </xf>
    <xf numFmtId="0" fontId="17" fillId="19" borderId="54" xfId="2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3" fontId="5" fillId="2" borderId="0" xfId="4" applyNumberFormat="1" applyFont="1" applyFill="1" applyAlignment="1" applyProtection="1">
      <alignment horizontal="center" vertical="center"/>
      <protection locked="0"/>
    </xf>
    <xf numFmtId="0" fontId="2" fillId="4" borderId="0" xfId="2" applyFont="1" applyFill="1" applyAlignment="1">
      <alignment vertical="center"/>
    </xf>
    <xf numFmtId="4" fontId="5" fillId="2" borderId="0" xfId="4" applyNumberFormat="1" applyFont="1" applyFill="1" applyAlignment="1" applyProtection="1">
      <alignment horizontal="center" vertical="center"/>
      <protection locked="0"/>
    </xf>
    <xf numFmtId="0" fontId="5" fillId="2" borderId="0" xfId="2" applyFont="1" applyFill="1" applyAlignment="1">
      <alignment vertical="center"/>
    </xf>
    <xf numFmtId="0" fontId="2" fillId="3" borderId="56" xfId="2" applyFont="1" applyFill="1" applyBorder="1"/>
    <xf numFmtId="0" fontId="5" fillId="2" borderId="30" xfId="2" applyFont="1" applyFill="1" applyBorder="1"/>
    <xf numFmtId="3" fontId="63" fillId="2" borderId="33" xfId="2" applyNumberFormat="1" applyFont="1" applyFill="1" applyBorder="1" applyAlignment="1">
      <alignment horizontal="center"/>
    </xf>
    <xf numFmtId="3" fontId="64" fillId="0" borderId="33" xfId="0" applyNumberFormat="1" applyFont="1" applyBorder="1" applyAlignment="1">
      <alignment horizontal="center" vertical="center"/>
    </xf>
    <xf numFmtId="10" fontId="5" fillId="2" borderId="0" xfId="5" applyNumberFormat="1" applyFont="1" applyFill="1" applyBorder="1" applyAlignment="1" applyProtection="1">
      <alignment horizontal="center" vertical="center"/>
      <protection locked="0"/>
    </xf>
    <xf numFmtId="10" fontId="5" fillId="2" borderId="0" xfId="4" applyNumberFormat="1" applyFont="1" applyFill="1" applyAlignment="1" applyProtection="1">
      <alignment horizontal="center" vertical="center"/>
      <protection locked="0"/>
    </xf>
    <xf numFmtId="16" fontId="0" fillId="0" borderId="0" xfId="0" applyNumberFormat="1" applyAlignment="1">
      <alignment horizontal="left"/>
    </xf>
    <xf numFmtId="0" fontId="65" fillId="2" borderId="0" xfId="0" applyFont="1" applyFill="1"/>
    <xf numFmtId="3" fontId="66" fillId="2" borderId="9" xfId="2" applyNumberFormat="1" applyFont="1" applyFill="1" applyBorder="1" applyAlignment="1">
      <alignment horizontal="center" vertical="center" wrapText="1"/>
    </xf>
    <xf numFmtId="3" fontId="66" fillId="2" borderId="9" xfId="2" applyNumberFormat="1" applyFont="1" applyFill="1" applyBorder="1" applyAlignment="1">
      <alignment horizontal="center" vertical="center"/>
    </xf>
    <xf numFmtId="3" fontId="8" fillId="2" borderId="9" xfId="2" applyNumberFormat="1" applyFont="1" applyFill="1" applyBorder="1" applyAlignment="1">
      <alignment horizontal="center" vertical="center" wrapText="1"/>
    </xf>
    <xf numFmtId="3" fontId="66" fillId="2" borderId="13" xfId="2" applyNumberFormat="1" applyFont="1" applyFill="1" applyBorder="1" applyAlignment="1">
      <alignment horizontal="center" vertical="center" wrapText="1"/>
    </xf>
    <xf numFmtId="3" fontId="66" fillId="2" borderId="6" xfId="2" applyNumberFormat="1" applyFont="1" applyFill="1" applyBorder="1" applyAlignment="1">
      <alignment horizontal="center" vertical="center"/>
    </xf>
    <xf numFmtId="165" fontId="66" fillId="2" borderId="15" xfId="2" applyNumberFormat="1" applyFont="1" applyFill="1" applyBorder="1" applyAlignment="1">
      <alignment horizontal="center" vertical="center"/>
    </xf>
    <xf numFmtId="165" fontId="47" fillId="22" borderId="9" xfId="1" applyNumberFormat="1" applyFont="1" applyFill="1" applyBorder="1"/>
    <xf numFmtId="3" fontId="5" fillId="21" borderId="0" xfId="4" applyNumberFormat="1" applyFont="1" applyFill="1" applyAlignment="1" applyProtection="1">
      <alignment horizontal="center" vertical="center"/>
      <protection locked="0"/>
    </xf>
    <xf numFmtId="3" fontId="63" fillId="21" borderId="33" xfId="2" applyNumberFormat="1" applyFont="1" applyFill="1" applyBorder="1" applyAlignment="1">
      <alignment horizontal="center"/>
    </xf>
    <xf numFmtId="175" fontId="24" fillId="0" borderId="0" xfId="15" applyNumberFormat="1" applyFont="1"/>
    <xf numFmtId="175" fontId="24" fillId="0" borderId="0" xfId="0" applyNumberFormat="1" applyFont="1"/>
    <xf numFmtId="165" fontId="24" fillId="0" borderId="0" xfId="0" applyNumberFormat="1" applyFont="1"/>
    <xf numFmtId="0" fontId="24" fillId="23" borderId="0" xfId="0" applyFont="1" applyFill="1"/>
    <xf numFmtId="0" fontId="24" fillId="24" borderId="0" xfId="0" applyFont="1" applyFill="1"/>
    <xf numFmtId="10" fontId="0" fillId="0" borderId="0" xfId="0" applyNumberFormat="1"/>
    <xf numFmtId="0" fontId="0" fillId="0" borderId="57" xfId="0" applyBorder="1" applyAlignment="1">
      <alignment horizontal="center" vertical="center"/>
    </xf>
    <xf numFmtId="2" fontId="0" fillId="4" borderId="57" xfId="0" applyNumberFormat="1" applyFill="1" applyBorder="1" applyAlignment="1">
      <alignment horizontal="center" vertical="center"/>
    </xf>
    <xf numFmtId="10" fontId="24" fillId="0" borderId="0" xfId="0" applyNumberFormat="1" applyFont="1"/>
    <xf numFmtId="178" fontId="0" fillId="0" borderId="0" xfId="0" applyNumberFormat="1"/>
    <xf numFmtId="0" fontId="24" fillId="0" borderId="0" xfId="0" applyFont="1" applyAlignment="1">
      <alignment horizontal="left"/>
    </xf>
    <xf numFmtId="178" fontId="24" fillId="0" borderId="0" xfId="0" applyNumberFormat="1" applyFont="1"/>
    <xf numFmtId="167" fontId="0" fillId="0" borderId="0" xfId="0" applyNumberFormat="1"/>
    <xf numFmtId="171" fontId="24" fillId="25" borderId="13" xfId="26" applyNumberFormat="1" applyFont="1" applyFill="1" applyBorder="1" applyAlignment="1">
      <alignment horizontal="center" vertical="center" wrapText="1"/>
    </xf>
    <xf numFmtId="171" fontId="24" fillId="21" borderId="13" xfId="26" applyNumberFormat="1" applyFont="1" applyFill="1" applyBorder="1" applyAlignment="1">
      <alignment horizontal="center" vertical="center" wrapText="1"/>
    </xf>
    <xf numFmtId="171" fontId="24" fillId="26" borderId="58" xfId="26" applyNumberFormat="1" applyFont="1" applyFill="1" applyBorder="1" applyAlignment="1">
      <alignment horizontal="center" vertical="center" wrapText="1"/>
    </xf>
    <xf numFmtId="0" fontId="31" fillId="0" borderId="0" xfId="16"/>
    <xf numFmtId="0" fontId="31" fillId="22" borderId="9" xfId="16" applyFill="1" applyBorder="1" applyAlignment="1">
      <alignment horizontal="center" vertical="center"/>
    </xf>
    <xf numFmtId="0" fontId="31" fillId="22" borderId="9" xfId="16" applyFill="1" applyBorder="1" applyAlignment="1">
      <alignment horizontal="left" vertical="center"/>
    </xf>
    <xf numFmtId="4" fontId="31" fillId="22" borderId="9" xfId="16" applyNumberFormat="1" applyFill="1" applyBorder="1" applyAlignment="1">
      <alignment horizontal="center" vertical="center"/>
    </xf>
    <xf numFmtId="0" fontId="49" fillId="27" borderId="9" xfId="16" applyFont="1" applyFill="1" applyBorder="1" applyAlignment="1">
      <alignment horizontal="center" vertical="center"/>
    </xf>
    <xf numFmtId="175" fontId="0" fillId="0" borderId="0" xfId="26" applyNumberFormat="1" applyFont="1"/>
    <xf numFmtId="179" fontId="31" fillId="0" borderId="0" xfId="16" applyNumberFormat="1"/>
    <xf numFmtId="175" fontId="31" fillId="0" borderId="0" xfId="16" applyNumberFormat="1"/>
    <xf numFmtId="0" fontId="63" fillId="25" borderId="9" xfId="16" applyFont="1" applyFill="1" applyBorder="1" applyAlignment="1">
      <alignment horizontal="center" vertical="center"/>
    </xf>
    <xf numFmtId="0" fontId="63" fillId="25" borderId="9" xfId="16" applyFont="1" applyFill="1" applyBorder="1" applyAlignment="1">
      <alignment horizontal="left" vertical="center"/>
    </xf>
    <xf numFmtId="4" fontId="63" fillId="25" borderId="9" xfId="16" applyNumberFormat="1" applyFont="1" applyFill="1" applyBorder="1" applyAlignment="1">
      <alignment horizontal="center" vertical="center"/>
    </xf>
    <xf numFmtId="0" fontId="67" fillId="0" borderId="0" xfId="16" applyFont="1" applyAlignment="1">
      <alignment vertical="center"/>
    </xf>
    <xf numFmtId="0" fontId="24" fillId="0" borderId="0" xfId="16" applyFont="1" applyAlignment="1">
      <alignment horizontal="center" vertical="center" wrapText="1"/>
    </xf>
    <xf numFmtId="0" fontId="31" fillId="0" borderId="0" xfId="16" applyAlignment="1">
      <alignment vertical="center" wrapText="1"/>
    </xf>
    <xf numFmtId="0" fontId="31" fillId="28" borderId="0" xfId="16" applyFill="1" applyAlignment="1">
      <alignment vertical="center" wrapText="1"/>
    </xf>
    <xf numFmtId="0" fontId="31" fillId="23" borderId="0" xfId="16" applyFill="1"/>
    <xf numFmtId="0" fontId="31" fillId="22" borderId="0" xfId="16" applyFill="1"/>
    <xf numFmtId="4" fontId="31" fillId="29" borderId="9" xfId="16" applyNumberFormat="1" applyFill="1" applyBorder="1" applyAlignment="1">
      <alignment horizontal="center" vertical="center"/>
    </xf>
    <xf numFmtId="0" fontId="31" fillId="29" borderId="0" xfId="16" applyFill="1"/>
    <xf numFmtId="2" fontId="31" fillId="0" borderId="0" xfId="16" applyNumberFormat="1"/>
    <xf numFmtId="9" fontId="0" fillId="0" borderId="0" xfId="17" applyFont="1"/>
    <xf numFmtId="49" fontId="0" fillId="0" borderId="57" xfId="0" applyNumberFormat="1" applyBorder="1"/>
    <xf numFmtId="0" fontId="31" fillId="21" borderId="0" xfId="16" applyFill="1"/>
    <xf numFmtId="3" fontId="31" fillId="22" borderId="9" xfId="16" applyNumberFormat="1" applyFill="1" applyBorder="1" applyAlignment="1">
      <alignment horizontal="center" vertical="center"/>
    </xf>
    <xf numFmtId="175" fontId="31" fillId="0" borderId="0" xfId="15" applyNumberFormat="1" applyFont="1"/>
    <xf numFmtId="3" fontId="31" fillId="0" borderId="0" xfId="16" applyNumberFormat="1"/>
    <xf numFmtId="175" fontId="31" fillId="30" borderId="0" xfId="16" applyNumberFormat="1" applyFill="1"/>
    <xf numFmtId="3" fontId="31" fillId="30" borderId="0" xfId="16" applyNumberFormat="1" applyFill="1"/>
    <xf numFmtId="175" fontId="31" fillId="22" borderId="0" xfId="16" applyNumberFormat="1" applyFill="1"/>
    <xf numFmtId="3" fontId="31" fillId="22" borderId="0" xfId="16" applyNumberFormat="1" applyFill="1"/>
    <xf numFmtId="0" fontId="24" fillId="30" borderId="0" xfId="16" applyFont="1" applyFill="1"/>
    <xf numFmtId="0" fontId="24" fillId="22" borderId="0" xfId="16" applyFont="1" applyFill="1"/>
    <xf numFmtId="4" fontId="31" fillId="23" borderId="0" xfId="16" applyNumberFormat="1" applyFill="1" applyAlignment="1">
      <alignment horizontal="center" vertical="center"/>
    </xf>
    <xf numFmtId="1" fontId="31" fillId="0" borderId="0" xfId="16" applyNumberFormat="1"/>
    <xf numFmtId="0" fontId="2" fillId="2" borderId="9" xfId="2" applyFont="1" applyFill="1" applyBorder="1"/>
    <xf numFmtId="3" fontId="4" fillId="6" borderId="9" xfId="2" applyNumberFormat="1" applyFont="1" applyFill="1" applyBorder="1" applyAlignment="1">
      <alignment horizontal="center"/>
    </xf>
    <xf numFmtId="0" fontId="0" fillId="0" borderId="9" xfId="0" applyBorder="1"/>
    <xf numFmtId="3" fontId="5" fillId="3" borderId="9" xfId="3" applyNumberFormat="1" applyFont="1" applyFill="1" applyBorder="1" applyAlignment="1">
      <alignment horizontal="center" vertical="center"/>
    </xf>
    <xf numFmtId="3" fontId="5" fillId="2" borderId="9" xfId="3" applyNumberFormat="1" applyFont="1" applyFill="1" applyBorder="1" applyAlignment="1">
      <alignment horizontal="center" vertical="center"/>
    </xf>
    <xf numFmtId="9" fontId="5" fillId="3" borderId="9" xfId="1" applyFont="1" applyFill="1" applyBorder="1" applyAlignment="1">
      <alignment horizontal="center" vertical="center"/>
    </xf>
    <xf numFmtId="9" fontId="5" fillId="2" borderId="9" xfId="1" applyFont="1" applyFill="1" applyBorder="1" applyAlignment="1">
      <alignment horizontal="center" vertical="center"/>
    </xf>
    <xf numFmtId="0" fontId="4" fillId="2" borderId="9" xfId="2" applyFont="1" applyFill="1" applyBorder="1" applyAlignment="1">
      <alignment horizontal="left"/>
    </xf>
    <xf numFmtId="0" fontId="4" fillId="24" borderId="9" xfId="2" applyFont="1" applyFill="1" applyBorder="1" applyAlignment="1">
      <alignment horizontal="center"/>
    </xf>
    <xf numFmtId="0" fontId="4" fillId="6" borderId="9" xfId="2" applyFont="1" applyFill="1" applyBorder="1" applyAlignment="1">
      <alignment horizontal="center"/>
    </xf>
    <xf numFmtId="3" fontId="7" fillId="8" borderId="11" xfId="2" applyNumberFormat="1" applyFont="1" applyFill="1" applyBorder="1" applyAlignment="1">
      <alignment horizontal="center" vertical="center" wrapText="1"/>
    </xf>
    <xf numFmtId="3" fontId="7" fillId="8" borderId="28" xfId="2" applyNumberFormat="1" applyFont="1" applyFill="1" applyBorder="1" applyAlignment="1">
      <alignment horizontal="center" vertical="center" wrapText="1"/>
    </xf>
    <xf numFmtId="4" fontId="7" fillId="8" borderId="11" xfId="2" applyNumberFormat="1" applyFont="1" applyFill="1" applyBorder="1" applyAlignment="1">
      <alignment horizontal="center" vertical="center" wrapText="1"/>
    </xf>
    <xf numFmtId="4" fontId="7" fillId="8" borderId="28" xfId="2" applyNumberFormat="1" applyFont="1" applyFill="1" applyBorder="1" applyAlignment="1">
      <alignment horizontal="center" vertical="center" wrapText="1"/>
    </xf>
    <xf numFmtId="0" fontId="17" fillId="19" borderId="52" xfId="2" applyFont="1" applyFill="1" applyBorder="1" applyAlignment="1">
      <alignment horizontal="center" vertical="center" wrapText="1"/>
    </xf>
    <xf numFmtId="0" fontId="17" fillId="19" borderId="53" xfId="2" applyFont="1" applyFill="1" applyBorder="1" applyAlignment="1">
      <alignment horizontal="center" vertical="center" wrapText="1"/>
    </xf>
    <xf numFmtId="0" fontId="17" fillId="19" borderId="54" xfId="2" applyFont="1" applyFill="1" applyBorder="1" applyAlignment="1">
      <alignment horizontal="center" vertical="center" wrapText="1"/>
    </xf>
    <xf numFmtId="0" fontId="36" fillId="19" borderId="21" xfId="2" applyFont="1" applyFill="1" applyBorder="1" applyAlignment="1">
      <alignment horizontal="center" vertical="center" wrapText="1"/>
    </xf>
    <xf numFmtId="0" fontId="36" fillId="19" borderId="49" xfId="2" applyFont="1" applyFill="1" applyBorder="1" applyAlignment="1">
      <alignment horizontal="center" vertical="center" wrapText="1"/>
    </xf>
    <xf numFmtId="0" fontId="36" fillId="19" borderId="22" xfId="2" applyFont="1" applyFill="1" applyBorder="1" applyAlignment="1">
      <alignment horizontal="center" vertical="center" wrapText="1"/>
    </xf>
    <xf numFmtId="0" fontId="1" fillId="0" borderId="25" xfId="2" applyBorder="1" applyAlignment="1">
      <alignment horizontal="center" vertical="center"/>
    </xf>
    <xf numFmtId="0" fontId="1" fillId="0" borderId="50" xfId="2" applyBorder="1" applyAlignment="1">
      <alignment horizontal="center" vertical="center"/>
    </xf>
    <xf numFmtId="0" fontId="1" fillId="0" borderId="26" xfId="2" applyBorder="1" applyAlignment="1">
      <alignment horizontal="center" vertical="center"/>
    </xf>
    <xf numFmtId="0" fontId="37" fillId="19" borderId="21" xfId="2" applyFont="1" applyFill="1" applyBorder="1" applyAlignment="1">
      <alignment horizontal="center" vertical="center" wrapText="1"/>
    </xf>
    <xf numFmtId="0" fontId="37" fillId="19" borderId="49" xfId="2" applyFont="1" applyFill="1" applyBorder="1" applyAlignment="1">
      <alignment horizontal="center" vertical="center" wrapText="1"/>
    </xf>
    <xf numFmtId="0" fontId="37" fillId="19" borderId="22" xfId="2" applyFont="1" applyFill="1" applyBorder="1" applyAlignment="1">
      <alignment horizontal="center" vertical="center" wrapText="1"/>
    </xf>
    <xf numFmtId="0" fontId="37" fillId="19" borderId="23" xfId="2" applyFont="1" applyFill="1" applyBorder="1" applyAlignment="1">
      <alignment horizontal="center" vertical="center" wrapText="1"/>
    </xf>
    <xf numFmtId="0" fontId="37" fillId="19" borderId="0" xfId="2" applyFont="1" applyFill="1" applyAlignment="1">
      <alignment horizontal="center" vertical="center" wrapText="1"/>
    </xf>
    <xf numFmtId="0" fontId="37" fillId="19" borderId="24" xfId="2" applyFont="1" applyFill="1" applyBorder="1" applyAlignment="1">
      <alignment horizontal="center" vertical="center" wrapText="1"/>
    </xf>
    <xf numFmtId="0" fontId="37" fillId="19" borderId="25" xfId="2" applyFont="1" applyFill="1" applyBorder="1" applyAlignment="1">
      <alignment horizontal="center" vertical="center" wrapText="1"/>
    </xf>
    <xf numFmtId="0" fontId="37" fillId="19" borderId="50" xfId="2" applyFont="1" applyFill="1" applyBorder="1" applyAlignment="1">
      <alignment horizontal="center" vertical="center" wrapText="1"/>
    </xf>
    <xf numFmtId="0" fontId="37" fillId="19" borderId="26" xfId="2" applyFont="1" applyFill="1" applyBorder="1" applyAlignment="1">
      <alignment horizontal="center" vertical="center" wrapText="1"/>
    </xf>
    <xf numFmtId="0" fontId="17" fillId="19" borderId="16" xfId="2" applyFont="1" applyFill="1" applyBorder="1" applyAlignment="1">
      <alignment horizontal="center" vertical="center" wrapText="1"/>
    </xf>
    <xf numFmtId="0" fontId="17" fillId="19" borderId="17" xfId="2" applyFont="1" applyFill="1" applyBorder="1" applyAlignment="1">
      <alignment horizontal="center" vertical="center" wrapText="1"/>
    </xf>
    <xf numFmtId="0" fontId="17" fillId="19" borderId="18" xfId="2" applyFont="1" applyFill="1" applyBorder="1" applyAlignment="1">
      <alignment horizontal="center" vertical="center" wrapText="1"/>
    </xf>
    <xf numFmtId="0" fontId="37" fillId="19" borderId="52" xfId="2" applyFont="1" applyFill="1" applyBorder="1" applyAlignment="1">
      <alignment horizontal="center" vertical="center" wrapText="1"/>
    </xf>
    <xf numFmtId="0" fontId="37" fillId="19" borderId="53" xfId="2" applyFont="1" applyFill="1" applyBorder="1" applyAlignment="1">
      <alignment horizontal="center" vertical="center" wrapText="1"/>
    </xf>
    <xf numFmtId="3" fontId="7" fillId="8" borderId="9" xfId="2" applyNumberFormat="1" applyFont="1" applyFill="1" applyBorder="1" applyAlignment="1">
      <alignment horizontal="center" vertical="center" wrapText="1"/>
    </xf>
    <xf numFmtId="3" fontId="7" fillId="8" borderId="10" xfId="2" applyNumberFormat="1" applyFont="1" applyFill="1" applyBorder="1" applyAlignment="1">
      <alignment horizontal="center" vertical="center" wrapText="1"/>
    </xf>
    <xf numFmtId="4" fontId="7" fillId="8" borderId="9" xfId="2" applyNumberFormat="1" applyFont="1" applyFill="1" applyBorder="1" applyAlignment="1">
      <alignment horizontal="center" vertical="center" wrapText="1"/>
    </xf>
    <xf numFmtId="4" fontId="7" fillId="8" borderId="10" xfId="2" applyNumberFormat="1" applyFont="1" applyFill="1" applyBorder="1" applyAlignment="1">
      <alignment horizontal="center" vertical="center" wrapText="1"/>
    </xf>
    <xf numFmtId="1" fontId="14" fillId="0" borderId="9" xfId="6" applyNumberFormat="1" applyFont="1" applyBorder="1" applyAlignment="1" applyProtection="1">
      <alignment horizontal="center"/>
      <protection locked="0"/>
    </xf>
    <xf numFmtId="3" fontId="14" fillId="0" borderId="23" xfId="6" applyNumberFormat="1" applyFont="1" applyBorder="1" applyAlignment="1" applyProtection="1">
      <alignment horizontal="center"/>
      <protection locked="0"/>
    </xf>
    <xf numFmtId="0" fontId="4" fillId="0" borderId="24" xfId="6" applyBorder="1" applyAlignment="1">
      <alignment horizontal="center"/>
    </xf>
    <xf numFmtId="3" fontId="14" fillId="0" borderId="25" xfId="6" applyNumberFormat="1" applyFont="1" applyBorder="1" applyAlignment="1" applyProtection="1">
      <alignment horizontal="center"/>
      <protection locked="0"/>
    </xf>
    <xf numFmtId="0" fontId="4" fillId="0" borderId="26" xfId="6" applyBorder="1" applyAlignment="1">
      <alignment horizontal="center"/>
    </xf>
    <xf numFmtId="1" fontId="14" fillId="0" borderId="11" xfId="6" applyNumberFormat="1" applyFont="1" applyBorder="1" applyAlignment="1" applyProtection="1">
      <alignment horizontal="center"/>
      <protection locked="0"/>
    </xf>
    <xf numFmtId="1" fontId="14" fillId="0" borderId="27" xfId="6" applyNumberFormat="1" applyFont="1" applyBorder="1" applyAlignment="1" applyProtection="1">
      <alignment horizontal="center"/>
      <protection locked="0"/>
    </xf>
    <xf numFmtId="1" fontId="14" fillId="0" borderId="28" xfId="6" applyNumberFormat="1" applyFont="1" applyBorder="1" applyAlignment="1" applyProtection="1">
      <alignment horizontal="center"/>
      <protection locked="0"/>
    </xf>
    <xf numFmtId="1" fontId="14" fillId="9" borderId="16" xfId="6" applyNumberFormat="1" applyFont="1" applyFill="1" applyBorder="1" applyAlignment="1" applyProtection="1">
      <alignment horizontal="center"/>
      <protection locked="0"/>
    </xf>
    <xf numFmtId="1" fontId="14" fillId="9" borderId="17" xfId="6" applyNumberFormat="1" applyFont="1" applyFill="1" applyBorder="1" applyAlignment="1" applyProtection="1">
      <alignment horizontal="center"/>
      <protection locked="0"/>
    </xf>
    <xf numFmtId="0" fontId="4" fillId="0" borderId="18" xfId="6" applyBorder="1"/>
    <xf numFmtId="1" fontId="14" fillId="0" borderId="19" xfId="6" applyNumberFormat="1" applyFont="1" applyBorder="1" applyAlignment="1" applyProtection="1">
      <alignment horizontal="center"/>
      <protection locked="0"/>
    </xf>
    <xf numFmtId="3" fontId="14" fillId="0" borderId="21" xfId="6" applyNumberFormat="1" applyFont="1" applyBorder="1" applyAlignment="1" applyProtection="1">
      <alignment horizontal="center"/>
      <protection locked="0"/>
    </xf>
    <xf numFmtId="0" fontId="4" fillId="0" borderId="22" xfId="6" applyBorder="1" applyAlignment="1">
      <alignment horizontal="center"/>
    </xf>
    <xf numFmtId="3" fontId="17" fillId="0" borderId="23" xfId="6" applyNumberFormat="1" applyFont="1" applyBorder="1" applyAlignment="1" applyProtection="1">
      <alignment horizontal="center"/>
      <protection locked="0"/>
    </xf>
    <xf numFmtId="0" fontId="18" fillId="0" borderId="24" xfId="6" applyFont="1" applyBorder="1" applyAlignment="1">
      <alignment horizontal="center"/>
    </xf>
    <xf numFmtId="0" fontId="24" fillId="24" borderId="0" xfId="16" applyFont="1" applyFill="1" applyAlignment="1">
      <alignment horizontal="center"/>
    </xf>
    <xf numFmtId="49" fontId="7" fillId="8" borderId="9" xfId="2" applyNumberFormat="1" applyFont="1" applyFill="1" applyBorder="1" applyAlignment="1">
      <alignment horizontal="center" vertical="center" wrapText="1"/>
    </xf>
    <xf numFmtId="49" fontId="7" fillId="8" borderId="10" xfId="2" applyNumberFormat="1" applyFont="1" applyFill="1" applyBorder="1" applyAlignment="1">
      <alignment horizontal="center" vertical="center" wrapText="1"/>
    </xf>
    <xf numFmtId="4" fontId="0" fillId="0" borderId="0" xfId="0" applyNumberFormat="1"/>
  </cellXfs>
  <cellStyles count="27">
    <cellStyle name="Comma 2 2" xfId="23" xr:uid="{E3BF926A-75C9-4E61-9D43-364ADE5CBDA0}"/>
    <cellStyle name="Comma 4" xfId="25" xr:uid="{94500991-54BC-47F8-8359-1D60B0A67A8B}"/>
    <cellStyle name="Normal 169" xfId="4" xr:uid="{17DD5C31-C582-486A-894B-993FC680E4C4}"/>
    <cellStyle name="Normal 2" xfId="22" xr:uid="{E7816C2B-B6B1-4BEB-8983-656F4187B61E}"/>
    <cellStyle name="Normal 2 100" xfId="18" xr:uid="{99A2CAFB-A2DE-480D-85A3-91CA82CEAAA4}"/>
    <cellStyle name="Normal 2 12" xfId="10" xr:uid="{C0138710-87A2-4F1B-A2DB-E1EDD254CB17}"/>
    <cellStyle name="Normal 2 2" xfId="11" xr:uid="{85ADFE1A-8007-4E4D-8933-32CB8DDE562D}"/>
    <cellStyle name="Normal 38" xfId="21" xr:uid="{B87BBE2B-00F3-44F4-86B4-95CE95AB91DC}"/>
    <cellStyle name="Normal 55" xfId="12" xr:uid="{6B6932FA-6029-4B5D-854D-26DB059E012E}"/>
    <cellStyle name="Normal 6" xfId="19" xr:uid="{8AE93FFF-0C74-4241-B416-04E2E0C3F944}"/>
    <cellStyle name="Normal_SHEET" xfId="9" xr:uid="{BB494FC7-AED7-427A-9A9A-017C4EE31BD5}"/>
    <cellStyle name="Percent 2" xfId="24" xr:uid="{A980A8F0-3193-4536-9418-17A7F002115F}"/>
    <cellStyle name="Заголовок 1 2" xfId="20" xr:uid="{DF10D651-BD96-4B95-8E2B-095413BF47F6}"/>
    <cellStyle name="Обычный" xfId="0" builtinId="0"/>
    <cellStyle name="Обычный 2" xfId="2" xr:uid="{472468D9-F50A-4EFC-BC05-3711C42764B3}"/>
    <cellStyle name="Обычный 2 3" xfId="13" xr:uid="{188C3182-A513-400D-B852-DD4D24FC7012}"/>
    <cellStyle name="Обычный 2 4" xfId="8" xr:uid="{2700D7F6-2F98-4B4E-8FE2-30B281A63F2D}"/>
    <cellStyle name="Обычный 3" xfId="16" xr:uid="{929417FE-7A31-4D5F-81CE-5621BB900573}"/>
    <cellStyle name="Обычный 5" xfId="6" xr:uid="{FA70F77A-67F4-4972-BE30-21428A5940F6}"/>
    <cellStyle name="Процентный" xfId="1" builtinId="5"/>
    <cellStyle name="Процентный 2" xfId="5" xr:uid="{949279D5-D274-4BFF-96C6-2F8374CAA349}"/>
    <cellStyle name="Процентный 2 2" xfId="14" xr:uid="{17E0C40F-515E-4219-8EF5-8E555E00857D}"/>
    <cellStyle name="Процентный 3" xfId="17" xr:uid="{7CE01583-0D6B-4C3A-B8A5-19829834D02E}"/>
    <cellStyle name="Финансовый" xfId="15" builtinId="3"/>
    <cellStyle name="Финансовый [0] 2" xfId="3" xr:uid="{C6BDDE8A-8584-4FBF-A386-5A5F7F81AA73}"/>
    <cellStyle name="Финансовый 2" xfId="26" xr:uid="{F792106D-8A95-4F98-BF93-18B1211349AE}"/>
    <cellStyle name="Финансовый 4" xfId="7" xr:uid="{C37EBC06-B81A-4184-9A11-2512D830D6CB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005C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checked="Checked" fmlaLink="$H$5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4</xdr:row>
          <xdr:rowOff>0</xdr:rowOff>
        </xdr:from>
        <xdr:to>
          <xdr:col>5</xdr:col>
          <xdr:colOff>654050</xdr:colOff>
          <xdr:row>5</xdr:row>
          <xdr:rowOff>31750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C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Учитывать льготный период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001%20HO\001-01%20Management\02%20Sales%20Reports\109%20HAR%20Sales%20Report.xlsx" TargetMode="External"/><Relationship Id="rId1" Type="http://schemas.openxmlformats.org/officeDocument/2006/relationships/externalLinkPath" Target="file:///I:\001%20HO\001-01%20Management\02%20Sales%20Reports\109%20HAR%20Sale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.jambulatova/Desktop/&#1041;&#1062;%20&#1054;&#1085;&#1077;&#1088;/&#1060;&#1069;&#1052;%20&#1054;&#1085;&#1077;&#1088;%2023.06.2026%20&#1040;&#1081;&#1075;&#1072;&#1085;&#1099;&#1084;%20&#1058;&#1069;&#1055;%20&#1089;%20&#1080;&#1079;&#1084;&#1077;&#1085;&#1077;&#1085;&#1085;&#1080;&#1103;&#1084;&#1080;%202-8&#1101;&#1090;&#1072;&#1078;&#1080;.xlsx" TargetMode="External"/><Relationship Id="rId2" Type="http://schemas.openxmlformats.org/officeDocument/2006/relationships/externalLinkPath" Target="file:///C:\Users\d.jambulatova\Desktop\&#1041;&#1062;%20&#1054;&#1085;&#1077;&#1088;\&#1060;&#1069;&#1052;%20&#1054;&#1085;&#1077;&#1088;%2023.06.2026%20&#1040;&#1081;&#1075;&#1072;&#1085;&#1099;&#1084;%20&#1058;&#1069;&#1055;%20&#1089;%20&#1080;&#1079;&#1084;&#1077;&#1085;&#1077;&#1085;&#1085;&#1080;&#1103;&#1084;&#1080;%202-8&#1101;&#1090;&#1072;&#1078;&#1080;.xlsx" TargetMode="External"/><Relationship Id="rId1" Type="http://schemas.openxmlformats.org/officeDocument/2006/relationships/externalLinkPath" Target="/Users/d.jambulatova/Desktop/&#1041;&#1062;%20&#1054;&#1085;&#1077;&#1088;/&#1060;&#1069;&#1052;%20&#1054;&#1085;&#1077;&#1088;%2023.06.2026%20&#1040;&#1081;&#1075;&#1072;&#1085;&#1099;&#1084;%20&#1058;&#1069;&#1055;%20&#1089;%20&#1080;&#1079;&#1084;&#1077;&#1085;&#1077;&#1085;&#1085;&#1080;&#1103;&#1084;&#1080;%202-8&#1101;&#1090;&#1072;&#1078;&#1080;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.jambulatova/Desktop/&#1054;&#1073;&#1097;&#1080;&#1077;%20&#1092;&#1072;&#1081;&#1083;&#1099;/&#1096;&#1072;&#1093;&#1084;&#1072;&#1090;&#1082;&#1072;%20&#1095;&#1077;&#1088;&#1085;&#1086;&#1074;&#1080;&#1082;%20&#1086;&#1089;&#1085;&#1086;&#1074;&#1085;&#1086;&#1081;.xlsx" TargetMode="External"/><Relationship Id="rId2" Type="http://schemas.openxmlformats.org/officeDocument/2006/relationships/externalLinkPath" Target="file:///C:\Users\d.jambulatova\Desktop\&#1054;&#1073;&#1097;&#1080;&#1077;%20&#1092;&#1072;&#1081;&#1083;&#1099;\&#1096;&#1072;&#1093;&#1084;&#1072;&#1090;&#1082;&#1072;%20&#1095;&#1077;&#1088;&#1085;&#1086;&#1074;&#1080;&#1082;%20&#1086;&#1089;&#1085;&#1086;&#1074;&#1085;&#1086;&#1081;.xlsx" TargetMode="External"/><Relationship Id="rId1" Type="http://schemas.openxmlformats.org/officeDocument/2006/relationships/externalLinkPath" Target="/Users/d.jambulatova/Desktop/&#1054;&#1073;&#1097;&#1080;&#1077;%20&#1092;&#1072;&#1081;&#1083;&#1099;/&#1096;&#1072;&#1093;&#1084;&#1072;&#1090;&#1082;&#1072;%20&#1095;&#1077;&#1088;&#1085;&#1086;&#1074;&#1080;&#1082;%20&#1086;&#1089;&#1085;&#1086;&#1074;&#1085;&#1086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"/>
      <sheetName val="Sah-Mat"/>
      <sheetName val="Sales Summary"/>
      <sheetName val="Flat Info Pvt"/>
      <sheetName val="Chart data"/>
      <sheetName val="Unit prices by date"/>
      <sheetName val="HO-Rec.Rem."/>
      <sheetName val="Total Received"/>
      <sheetName val="Ad.Received"/>
      <sheetName val="HO Received"/>
      <sheetName val="SalesStatus"/>
      <sheetName val="Rec.-Rem."/>
      <sheetName val="Expected Advances"/>
      <sheetName val="Mortgage Status"/>
      <sheetName val="Flat Info"/>
      <sheetName val="Inflow-Combined"/>
      <sheetName val="Barters"/>
      <sheetName val="Exp.Sales"/>
      <sheetName val="Exp.Increase in Prices"/>
      <sheetName val="Exp.PaymentTerms"/>
      <sheetName val="Handover Plan"/>
      <sheetName val="Source Data"/>
      <sheetName val="Received Pivot"/>
      <sheetName val="Received Data"/>
    </sheetNames>
    <sheetDataSet>
      <sheetData sheetId="0">
        <row r="11">
          <cell r="AF11">
            <v>0.3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2">
          <cell r="E12">
            <v>0.3</v>
          </cell>
          <cell r="G12">
            <v>0.7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СравнениеPnl "/>
      <sheetName val="Сравнение"/>
      <sheetName val="Dashboard"/>
      <sheetName val="PnL"/>
      <sheetName val="DCF"/>
      <sheetName val="Цена"/>
      <sheetName val="Sensitivity"/>
      <sheetName val="Dashboard (с перегор)"/>
      <sheetName val="PnL (с перегор)"/>
      <sheetName val="Credit"/>
      <sheetName val="Графики"/>
      <sheetName val="НДС расчет"/>
      <sheetName val="Sales"/>
      <sheetName val="Costs"/>
      <sheetName val="шахматка"/>
      <sheetName val="коэф"/>
      <sheetName val="база офис"/>
      <sheetName val="база коммерция"/>
      <sheetName val="Лист3"/>
      <sheetName val="DCF year"/>
      <sheetName val="Dashboard (2)"/>
      <sheetName val="PnL (2)"/>
      <sheetName val="Сравнение2"/>
      <sheetName val="DCF (2)"/>
      <sheetName val="Графики (2)"/>
      <sheetName val="Costs (2)"/>
      <sheetName val="черн"/>
      <sheetName val="Итог Сцен."/>
    </sheetNames>
    <sheetDataSet>
      <sheetData sheetId="0" refreshError="1"/>
      <sheetData sheetId="1" refreshError="1"/>
      <sheetData sheetId="2">
        <row r="16">
          <cell r="C16">
            <v>0.15</v>
          </cell>
          <cell r="F16">
            <v>0</v>
          </cell>
          <cell r="L16">
            <v>0</v>
          </cell>
        </row>
        <row r="17">
          <cell r="C17">
            <v>500</v>
          </cell>
        </row>
        <row r="18">
          <cell r="L18">
            <v>0</v>
          </cell>
        </row>
        <row r="23">
          <cell r="C23">
            <v>10</v>
          </cell>
          <cell r="L23">
            <v>0</v>
          </cell>
        </row>
      </sheetData>
      <sheetData sheetId="3">
        <row r="7">
          <cell r="B7">
            <v>5252</v>
          </cell>
        </row>
        <row r="70">
          <cell r="B70">
            <v>343228472.68965435</v>
          </cell>
        </row>
        <row r="73">
          <cell r="B73">
            <v>381296375.08206922</v>
          </cell>
        </row>
        <row r="74">
          <cell r="B74">
            <v>1525185500.3282769</v>
          </cell>
        </row>
        <row r="75">
          <cell r="B75">
            <v>0.18947345213778036</v>
          </cell>
        </row>
      </sheetData>
      <sheetData sheetId="4">
        <row r="37">
          <cell r="C37">
            <v>1</v>
          </cell>
        </row>
        <row r="41">
          <cell r="C41">
            <v>1.7278267760685466</v>
          </cell>
        </row>
        <row r="42">
          <cell r="C42">
            <v>972609651.23493052</v>
          </cell>
        </row>
        <row r="44">
          <cell r="C44">
            <v>0</v>
          </cell>
        </row>
        <row r="46">
          <cell r="C46">
            <v>1</v>
          </cell>
        </row>
        <row r="47">
          <cell r="C47">
            <v>1.7499999999999998E-2</v>
          </cell>
        </row>
      </sheetData>
      <sheetData sheetId="5" refreshError="1"/>
      <sheetData sheetId="6" refreshError="1"/>
      <sheetData sheetId="7" refreshError="1"/>
      <sheetData sheetId="8" refreshError="1"/>
      <sheetData sheetId="9">
        <row r="8">
          <cell r="D8">
            <v>0</v>
          </cell>
        </row>
      </sheetData>
      <sheetData sheetId="10" refreshError="1"/>
      <sheetData sheetId="11">
        <row r="8">
          <cell r="C8">
            <v>343228472.68965435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шахматка"/>
      <sheetName val="Лист3"/>
      <sheetName val="коэф"/>
      <sheetName val="база"/>
    </sheetNames>
    <sheetDataSet>
      <sheetData sheetId="0"/>
      <sheetData sheetId="1"/>
      <sheetData sheetId="2">
        <row r="1">
          <cell r="A1">
            <v>1</v>
          </cell>
          <cell r="B1">
            <v>-0.06</v>
          </cell>
          <cell r="D1" t="str">
            <v>Двор</v>
          </cell>
          <cell r="E1">
            <v>0</v>
          </cell>
          <cell r="J1" t="str">
            <v>Неликвид</v>
          </cell>
          <cell r="K1">
            <v>-0.05</v>
          </cell>
        </row>
        <row r="2">
          <cell r="A2">
            <v>2</v>
          </cell>
          <cell r="B2">
            <v>-0.04</v>
          </cell>
          <cell r="D2" t="str">
            <v xml:space="preserve">Улица </v>
          </cell>
          <cell r="E2">
            <v>-0.02</v>
          </cell>
          <cell r="J2" t="str">
            <v>Высокая ликвидность</v>
          </cell>
          <cell r="K2">
            <v>7.0000000000000007E-2</v>
          </cell>
        </row>
        <row r="3">
          <cell r="A3">
            <v>3</v>
          </cell>
          <cell r="B3">
            <v>0.03</v>
          </cell>
          <cell r="D3" t="str">
            <v xml:space="preserve">Горы </v>
          </cell>
          <cell r="E3">
            <v>0.1</v>
          </cell>
          <cell r="J3" t="str">
            <v xml:space="preserve">Ликвидный </v>
          </cell>
          <cell r="K3">
            <v>0</v>
          </cell>
        </row>
        <row r="4">
          <cell r="A4">
            <v>4</v>
          </cell>
          <cell r="B4">
            <v>0.04</v>
          </cell>
        </row>
        <row r="5">
          <cell r="A5">
            <v>5</v>
          </cell>
          <cell r="B5">
            <v>0.05</v>
          </cell>
        </row>
        <row r="6">
          <cell r="A6">
            <v>6</v>
          </cell>
          <cell r="B6">
            <v>0.05</v>
          </cell>
        </row>
        <row r="7">
          <cell r="A7">
            <v>7</v>
          </cell>
          <cell r="B7">
            <v>0.03</v>
          </cell>
        </row>
        <row r="8">
          <cell r="A8">
            <v>8</v>
          </cell>
          <cell r="B8">
            <v>-0.04</v>
          </cell>
        </row>
        <row r="9">
          <cell r="A9">
            <v>9</v>
          </cell>
          <cell r="B9">
            <v>-0.04</v>
          </cell>
        </row>
      </sheetData>
      <sheetData sheetId="3">
        <row r="1">
          <cell r="B1">
            <v>800000</v>
          </cell>
        </row>
        <row r="2">
          <cell r="B2">
            <v>1</v>
          </cell>
        </row>
        <row r="5">
          <cell r="B5">
            <v>1.049766355140187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8A7D-CE08-4311-875C-FDEFCA65B733}">
  <sheetPr>
    <outlinePr summaryBelow="0" summaryRight="0"/>
  </sheetPr>
  <dimension ref="A1:D46"/>
  <sheetViews>
    <sheetView workbookViewId="0">
      <selection activeCell="G36" sqref="G36"/>
    </sheetView>
  </sheetViews>
  <sheetFormatPr defaultRowHeight="14.5" outlineLevelRow="1" x14ac:dyDescent="0.35"/>
  <cols>
    <col min="1" max="1" width="27" customWidth="1"/>
    <col min="2" max="2" width="31.36328125" customWidth="1"/>
    <col min="3" max="3" width="26.54296875" customWidth="1"/>
    <col min="4" max="4" width="26.54296875" style="310" customWidth="1"/>
  </cols>
  <sheetData>
    <row r="1" spans="1:4" x14ac:dyDescent="0.35">
      <c r="B1" t="s">
        <v>229</v>
      </c>
      <c r="C1" t="s">
        <v>230</v>
      </c>
    </row>
    <row r="2" spans="1:4" ht="31" collapsed="1" x14ac:dyDescent="0.35">
      <c r="A2" s="10" t="s">
        <v>54</v>
      </c>
      <c r="B2" s="11">
        <f>SUM(B3:B6)</f>
        <v>6901</v>
      </c>
      <c r="C2" s="11">
        <f>SUM(C3:C6)</f>
        <v>17982.735625000001</v>
      </c>
      <c r="D2" s="311">
        <f>C2-B2</f>
        <v>11081.735625000001</v>
      </c>
    </row>
    <row r="3" spans="1:4" ht="15.5" hidden="1" outlineLevel="1" x14ac:dyDescent="0.35">
      <c r="A3" s="12" t="s">
        <v>55</v>
      </c>
      <c r="B3" s="13">
        <f>'Dashboard все'!L16</f>
        <v>0</v>
      </c>
      <c r="C3" s="13">
        <f>'PnL (с перегор)'!B8</f>
        <v>11081.735624999999</v>
      </c>
      <c r="D3" s="13">
        <f t="shared" ref="D3:D46" si="0">C3-B3</f>
        <v>11081.735624999999</v>
      </c>
    </row>
    <row r="4" spans="1:4" ht="15.5" hidden="1" outlineLevel="1" x14ac:dyDescent="0.35">
      <c r="A4" s="12" t="s">
        <v>57</v>
      </c>
      <c r="B4" s="13">
        <f>'Dashboard все'!L17</f>
        <v>6232</v>
      </c>
      <c r="C4" s="13">
        <f>'PnL (с перегор)'!B9</f>
        <v>6232</v>
      </c>
      <c r="D4" s="13">
        <f t="shared" si="0"/>
        <v>0</v>
      </c>
    </row>
    <row r="5" spans="1:4" ht="15.5" hidden="1" outlineLevel="1" x14ac:dyDescent="0.35">
      <c r="A5" s="12" t="s">
        <v>56</v>
      </c>
      <c r="B5" s="13">
        <f>'Dashboard все'!L18</f>
        <v>253</v>
      </c>
      <c r="C5" s="13">
        <f>'PnL (с перегор)'!B10</f>
        <v>253</v>
      </c>
      <c r="D5" s="13">
        <f t="shared" si="0"/>
        <v>0</v>
      </c>
    </row>
    <row r="6" spans="1:4" ht="15.5" hidden="1" outlineLevel="1" x14ac:dyDescent="0.35">
      <c r="A6" s="12" t="s">
        <v>58</v>
      </c>
      <c r="B6" s="13">
        <f>'Dashboard все'!L19</f>
        <v>416</v>
      </c>
      <c r="C6" s="13">
        <f>'PnL (с перегор)'!B11</f>
        <v>416</v>
      </c>
      <c r="D6" s="13">
        <f t="shared" si="0"/>
        <v>0</v>
      </c>
    </row>
    <row r="7" spans="1:4" ht="31" collapsed="1" x14ac:dyDescent="0.35">
      <c r="A7" s="10" t="s">
        <v>59</v>
      </c>
      <c r="B7" s="11">
        <f>SUM(B8:B11)</f>
        <v>50</v>
      </c>
      <c r="C7" s="11">
        <f>SUM(C8:C11)</f>
        <v>469</v>
      </c>
      <c r="D7" s="311">
        <f t="shared" si="0"/>
        <v>419</v>
      </c>
    </row>
    <row r="8" spans="1:4" ht="15.5" hidden="1" outlineLevel="1" x14ac:dyDescent="0.35">
      <c r="A8" s="12" t="s">
        <v>55</v>
      </c>
      <c r="B8" s="13">
        <f>'Dashboard все'!L23</f>
        <v>0</v>
      </c>
      <c r="C8" s="13">
        <f>'Dashboard (с перегор)'!L23</f>
        <v>240</v>
      </c>
      <c r="D8" s="13">
        <f t="shared" si="0"/>
        <v>240</v>
      </c>
    </row>
    <row r="9" spans="1:4" ht="15.5" hidden="1" outlineLevel="1" x14ac:dyDescent="0.35">
      <c r="A9" s="12" t="s">
        <v>57</v>
      </c>
      <c r="B9" s="13">
        <f>'Dashboard все'!L24</f>
        <v>22</v>
      </c>
      <c r="C9" s="13">
        <f>'Dashboard (с перегор)'!L24</f>
        <v>0</v>
      </c>
      <c r="D9" s="13">
        <f t="shared" si="0"/>
        <v>-22</v>
      </c>
    </row>
    <row r="10" spans="1:4" ht="15.5" hidden="1" outlineLevel="1" x14ac:dyDescent="0.35">
      <c r="A10" s="12" t="s">
        <v>56</v>
      </c>
      <c r="B10" s="13">
        <f>'Dashboard все'!L25</f>
        <v>2</v>
      </c>
      <c r="C10" s="13">
        <f>'Dashboard (с перегор)'!L25</f>
        <v>153</v>
      </c>
      <c r="D10" s="13">
        <f t="shared" si="0"/>
        <v>151</v>
      </c>
    </row>
    <row r="11" spans="1:4" ht="15.5" hidden="1" outlineLevel="1" x14ac:dyDescent="0.35">
      <c r="A11" s="12" t="s">
        <v>58</v>
      </c>
      <c r="B11" s="13">
        <f>'Dashboard все'!L26</f>
        <v>26</v>
      </c>
      <c r="C11" s="13">
        <f>'Dashboard (с перегор)'!L26</f>
        <v>76</v>
      </c>
      <c r="D11" s="13">
        <f t="shared" si="0"/>
        <v>50</v>
      </c>
    </row>
    <row r="12" spans="1:4" ht="31" x14ac:dyDescent="0.35">
      <c r="A12" s="10" t="s">
        <v>61</v>
      </c>
      <c r="B12" s="11">
        <f>B22/B2</f>
        <v>1552427.1844660195</v>
      </c>
      <c r="C12" s="11">
        <f>C22/C2</f>
        <v>428025.98652172531</v>
      </c>
      <c r="D12" s="311">
        <f t="shared" si="0"/>
        <v>-1124401.1979442942</v>
      </c>
    </row>
    <row r="13" spans="1:4" ht="15.5" outlineLevel="1" x14ac:dyDescent="0.35">
      <c r="A13" s="12" t="s">
        <v>55</v>
      </c>
      <c r="B13" s="15">
        <f>'Dashboard все'!F16</f>
        <v>0</v>
      </c>
      <c r="C13" s="15">
        <f>'Dashboard (с перегор)'!F16</f>
        <v>650000</v>
      </c>
      <c r="D13" s="13">
        <f t="shared" si="0"/>
        <v>650000</v>
      </c>
    </row>
    <row r="14" spans="1:4" ht="15.5" outlineLevel="1" x14ac:dyDescent="0.35">
      <c r="A14" s="12" t="s">
        <v>57</v>
      </c>
      <c r="B14" s="15">
        <f>'Dashboard все'!F17</f>
        <v>1600000</v>
      </c>
      <c r="C14" s="15">
        <f>'Dashboard (с перегор)'!F17</f>
        <v>0</v>
      </c>
      <c r="D14" s="13">
        <f t="shared" si="0"/>
        <v>-1600000</v>
      </c>
    </row>
    <row r="15" spans="1:4" ht="15.5" outlineLevel="1" x14ac:dyDescent="0.35">
      <c r="A15" s="12" t="s">
        <v>56</v>
      </c>
      <c r="B15" s="15">
        <f>'Dashboard все'!F18</f>
        <v>1700000</v>
      </c>
      <c r="C15" s="15">
        <f>'Dashboard (с перегор)'!F18</f>
        <v>150000</v>
      </c>
      <c r="D15" s="13">
        <f t="shared" si="0"/>
        <v>-1550000</v>
      </c>
    </row>
    <row r="16" spans="1:4" ht="15.5" outlineLevel="1" x14ac:dyDescent="0.35">
      <c r="A16" s="12" t="s">
        <v>58</v>
      </c>
      <c r="B16" s="15">
        <f>'Dashboard все'!F19</f>
        <v>12000000</v>
      </c>
      <c r="C16" s="15">
        <f>'Dashboard (с перегор)'!F19</f>
        <v>6000000</v>
      </c>
      <c r="D16" s="13">
        <f>C16-B16</f>
        <v>-6000000</v>
      </c>
    </row>
    <row r="17" spans="1:4" ht="15.5" collapsed="1" x14ac:dyDescent="0.35">
      <c r="A17" s="16" t="s">
        <v>63</v>
      </c>
      <c r="B17" s="17">
        <f>(B29)/(B3+B4+B5+B6)</f>
        <v>665927.82060570933</v>
      </c>
      <c r="C17" s="17">
        <f>(C29)/(C3+720+C4+C5+C6)</f>
        <v>665927.82060570933</v>
      </c>
      <c r="D17" s="312">
        <f>C17-B17</f>
        <v>0</v>
      </c>
    </row>
    <row r="18" spans="1:4" ht="15.5" hidden="1" outlineLevel="1" x14ac:dyDescent="0.35">
      <c r="A18" s="12" t="s">
        <v>55</v>
      </c>
      <c r="B18" s="20">
        <f>'Dashboard все'!I16</f>
        <v>665927.82060570933</v>
      </c>
      <c r="C18" s="20">
        <f>'Dashboard (с перегор)'!I16</f>
        <v>285417.2485033219</v>
      </c>
      <c r="D18" s="22">
        <f>C18-B18</f>
        <v>-380510.57210238744</v>
      </c>
    </row>
    <row r="19" spans="1:4" ht="15.5" hidden="1" outlineLevel="1" x14ac:dyDescent="0.35">
      <c r="A19" s="12" t="s">
        <v>57</v>
      </c>
      <c r="B19" s="20">
        <v>0</v>
      </c>
      <c r="C19" s="20">
        <v>0</v>
      </c>
      <c r="D19" s="22">
        <f t="shared" si="0"/>
        <v>0</v>
      </c>
    </row>
    <row r="20" spans="1:4" ht="15.5" hidden="1" outlineLevel="1" x14ac:dyDescent="0.35">
      <c r="A20" s="12" t="s">
        <v>56</v>
      </c>
      <c r="B20" s="20">
        <v>0</v>
      </c>
      <c r="C20" s="20">
        <v>0</v>
      </c>
      <c r="D20" s="22">
        <f t="shared" si="0"/>
        <v>0</v>
      </c>
    </row>
    <row r="21" spans="1:4" ht="15.5" hidden="1" outlineLevel="1" x14ac:dyDescent="0.35">
      <c r="A21" s="12" t="s">
        <v>58</v>
      </c>
      <c r="B21" s="19"/>
      <c r="C21" s="19"/>
      <c r="D21" s="22">
        <f t="shared" si="0"/>
        <v>0</v>
      </c>
    </row>
    <row r="22" spans="1:4" ht="15.5" collapsed="1" x14ac:dyDescent="0.35">
      <c r="A22" s="33" t="s">
        <v>70</v>
      </c>
      <c r="B22" s="34">
        <f>SUM(B23:B26)</f>
        <v>10713300000</v>
      </c>
      <c r="C22" s="34">
        <f>SUM(C23:C26)</f>
        <v>7697078156.25</v>
      </c>
      <c r="D22" s="311">
        <f t="shared" si="0"/>
        <v>-3016221843.75</v>
      </c>
    </row>
    <row r="23" spans="1:4" ht="15.5" hidden="1" outlineLevel="1" x14ac:dyDescent="0.35">
      <c r="A23" s="12" t="s">
        <v>55</v>
      </c>
      <c r="B23" s="15">
        <f t="shared" ref="B23:C25" si="1">(B3*B13)</f>
        <v>0</v>
      </c>
      <c r="C23" s="15">
        <f t="shared" si="1"/>
        <v>7203128156.25</v>
      </c>
      <c r="D23" s="13">
        <f t="shared" si="0"/>
        <v>7203128156.25</v>
      </c>
    </row>
    <row r="24" spans="1:4" ht="15.5" hidden="1" outlineLevel="1" x14ac:dyDescent="0.35">
      <c r="A24" s="12" t="s">
        <v>57</v>
      </c>
      <c r="B24" s="15">
        <f t="shared" si="1"/>
        <v>9971200000</v>
      </c>
      <c r="C24" s="15">
        <f t="shared" si="1"/>
        <v>0</v>
      </c>
      <c r="D24" s="13">
        <f t="shared" si="0"/>
        <v>-9971200000</v>
      </c>
    </row>
    <row r="25" spans="1:4" ht="15.5" hidden="1" outlineLevel="1" x14ac:dyDescent="0.35">
      <c r="A25" s="12" t="s">
        <v>56</v>
      </c>
      <c r="B25" s="15">
        <f t="shared" si="1"/>
        <v>430100000</v>
      </c>
      <c r="C25" s="15">
        <f t="shared" si="1"/>
        <v>37950000</v>
      </c>
      <c r="D25" s="13">
        <f t="shared" si="0"/>
        <v>-392150000</v>
      </c>
    </row>
    <row r="26" spans="1:4" ht="15.5" hidden="1" outlineLevel="1" x14ac:dyDescent="0.35">
      <c r="A26" s="12" t="s">
        <v>58</v>
      </c>
      <c r="B26" s="15">
        <f>(B11*B16)</f>
        <v>312000000</v>
      </c>
      <c r="C26" s="15">
        <f>(C11*C16)</f>
        <v>456000000</v>
      </c>
      <c r="D26" s="13">
        <f t="shared" si="0"/>
        <v>144000000</v>
      </c>
    </row>
    <row r="27" spans="1:4" ht="15.5" x14ac:dyDescent="0.35">
      <c r="A27" s="23" t="s">
        <v>71</v>
      </c>
      <c r="B27" s="11">
        <f>B28+B30+B32+B34+B39+B41</f>
        <v>7505397010.7965498</v>
      </c>
      <c r="C27" s="11" t="e">
        <f>C28+C30+C32+C34+C39+C41</f>
        <v>#REF!</v>
      </c>
      <c r="D27" s="311" t="e">
        <f t="shared" si="0"/>
        <v>#REF!</v>
      </c>
    </row>
    <row r="28" spans="1:4" ht="15.5" collapsed="1" x14ac:dyDescent="0.35">
      <c r="A28" s="24" t="s">
        <v>72</v>
      </c>
      <c r="B28" s="25">
        <f>SUM(B29:B29)</f>
        <v>4595567890</v>
      </c>
      <c r="C28" s="25">
        <f>SUM(C29:C29)</f>
        <v>12454671974.12101</v>
      </c>
      <c r="D28" s="313">
        <f t="shared" si="0"/>
        <v>7859104084.1210098</v>
      </c>
    </row>
    <row r="29" spans="1:4" ht="31" hidden="1" outlineLevel="1" x14ac:dyDescent="0.35">
      <c r="A29" s="32" t="s">
        <v>224</v>
      </c>
      <c r="B29" s="15">
        <f>B2*B18</f>
        <v>4595567890</v>
      </c>
      <c r="C29" s="15">
        <f>'PnL (с перегор)'!B41</f>
        <v>12454671974.12101</v>
      </c>
      <c r="D29" s="13">
        <f t="shared" si="0"/>
        <v>7859104084.1210098</v>
      </c>
    </row>
    <row r="30" spans="1:4" ht="15.5" collapsed="1" x14ac:dyDescent="0.35">
      <c r="A30" s="24" t="s">
        <v>79</v>
      </c>
      <c r="B30" s="25">
        <f>B31</f>
        <v>675000000</v>
      </c>
      <c r="C30" s="25">
        <f>C31</f>
        <v>675000000</v>
      </c>
      <c r="D30" s="313">
        <f t="shared" si="0"/>
        <v>0</v>
      </c>
    </row>
    <row r="31" spans="1:4" ht="15.5" hidden="1" outlineLevel="1" x14ac:dyDescent="0.35">
      <c r="A31" s="32" t="s">
        <v>66</v>
      </c>
      <c r="B31" s="15">
        <f>'PnL все'!B49</f>
        <v>675000000</v>
      </c>
      <c r="C31" s="15">
        <f>'PnL (с перегор)'!B49</f>
        <v>675000000</v>
      </c>
      <c r="D31" s="13">
        <f t="shared" si="0"/>
        <v>0</v>
      </c>
    </row>
    <row r="32" spans="1:4" ht="15.5" collapsed="1" x14ac:dyDescent="0.35">
      <c r="A32" s="24" t="s">
        <v>80</v>
      </c>
      <c r="B32" s="25">
        <f>SUM(B33:B33)</f>
        <v>197152741</v>
      </c>
      <c r="C32" s="25">
        <f>SUM(C33:C33)</f>
        <v>534313228.90408617</v>
      </c>
      <c r="D32" s="313">
        <f t="shared" si="0"/>
        <v>337160487.90408617</v>
      </c>
    </row>
    <row r="33" spans="1:4" ht="15.5" hidden="1" outlineLevel="1" x14ac:dyDescent="0.35">
      <c r="A33" s="32" t="s">
        <v>81</v>
      </c>
      <c r="B33" s="15">
        <f>'PnL все'!B51</f>
        <v>197152741</v>
      </c>
      <c r="C33" s="15">
        <f>'PnL (с перегор)'!B51</f>
        <v>534313228.90408617</v>
      </c>
      <c r="D33" s="13">
        <f t="shared" si="0"/>
        <v>337160487.90408617</v>
      </c>
    </row>
    <row r="34" spans="1:4" ht="15.5" x14ac:dyDescent="0.35">
      <c r="A34" s="24" t="s">
        <v>82</v>
      </c>
      <c r="B34" s="25">
        <f>SUM(B35:B38)</f>
        <v>1237746170.9000001</v>
      </c>
      <c r="C34" s="25">
        <f>SUM(C35:C38)</f>
        <v>1850665861.5786257</v>
      </c>
      <c r="D34" s="313">
        <f t="shared" si="0"/>
        <v>612919690.67862558</v>
      </c>
    </row>
    <row r="35" spans="1:4" ht="31" outlineLevel="1" x14ac:dyDescent="0.35">
      <c r="A35" s="32" t="s">
        <v>83</v>
      </c>
      <c r="B35" s="15">
        <f>'PnL все'!B53</f>
        <v>447216142</v>
      </c>
      <c r="C35" s="15">
        <f>'PnL (с перегор)'!B53</f>
        <v>1212022209.9780407</v>
      </c>
      <c r="D35" s="13">
        <f t="shared" si="0"/>
        <v>764806067.9780407</v>
      </c>
    </row>
    <row r="36" spans="1:4" ht="31" outlineLevel="1" x14ac:dyDescent="0.35">
      <c r="A36" s="32" t="s">
        <v>84</v>
      </c>
      <c r="B36" s="15">
        <f>'PnL все'!B54</f>
        <v>45955678.899999999</v>
      </c>
      <c r="C36" s="15">
        <f>'PnL (с перегор)'!B54</f>
        <v>124546719.7412101</v>
      </c>
      <c r="D36" s="13">
        <f t="shared" si="0"/>
        <v>78591040.841210097</v>
      </c>
    </row>
    <row r="37" spans="1:4" ht="31" outlineLevel="1" x14ac:dyDescent="0.35">
      <c r="A37" s="32" t="s">
        <v>88</v>
      </c>
      <c r="B37" s="15">
        <f>'PnL все'!B58</f>
        <v>257119200</v>
      </c>
      <c r="C37" s="15">
        <f>'PnL (с перегор)'!B58</f>
        <v>177529875.75</v>
      </c>
      <c r="D37" s="13">
        <f t="shared" si="0"/>
        <v>-79589324.25</v>
      </c>
    </row>
    <row r="38" spans="1:4" ht="31" outlineLevel="1" x14ac:dyDescent="0.35">
      <c r="A38" s="32" t="s">
        <v>225</v>
      </c>
      <c r="B38" s="15">
        <f>'PnL все'!B61</f>
        <v>487455150</v>
      </c>
      <c r="C38" s="15">
        <f>'PnL (с перегор)'!B61</f>
        <v>336567056.109375</v>
      </c>
      <c r="D38" s="13">
        <f t="shared" si="0"/>
        <v>-150888093.890625</v>
      </c>
    </row>
    <row r="39" spans="1:4" ht="15.5" collapsed="1" x14ac:dyDescent="0.35">
      <c r="A39" s="24" t="s">
        <v>69</v>
      </c>
      <c r="B39" s="25">
        <f>SUM(B40:B40)</f>
        <v>112218750</v>
      </c>
      <c r="C39" s="25">
        <f>SUM(C40:C40)</f>
        <v>112218750</v>
      </c>
      <c r="D39" s="313">
        <f t="shared" si="0"/>
        <v>0</v>
      </c>
    </row>
    <row r="40" spans="1:4" ht="15.5" hidden="1" outlineLevel="1" x14ac:dyDescent="0.35">
      <c r="A40" s="18" t="s">
        <v>69</v>
      </c>
      <c r="B40" s="13">
        <f>'PnL все'!B66</f>
        <v>112218750</v>
      </c>
      <c r="C40" s="13">
        <f>'PnL (с перегор)'!B66</f>
        <v>112218750</v>
      </c>
      <c r="D40" s="13">
        <f t="shared" si="0"/>
        <v>0</v>
      </c>
    </row>
    <row r="41" spans="1:4" ht="15.5" collapsed="1" x14ac:dyDescent="0.35">
      <c r="A41" s="23" t="s">
        <v>96</v>
      </c>
      <c r="B41" s="11">
        <f>SUM(B42:B42)</f>
        <v>687711458.89655018</v>
      </c>
      <c r="C41" s="11" t="e">
        <f>SUM(C42:C42)</f>
        <v>#REF!</v>
      </c>
      <c r="D41" s="311" t="e">
        <f t="shared" si="0"/>
        <v>#REF!</v>
      </c>
    </row>
    <row r="42" spans="1:4" ht="31" hidden="1" outlineLevel="1" x14ac:dyDescent="0.35">
      <c r="A42" s="26" t="s">
        <v>96</v>
      </c>
      <c r="B42" s="15">
        <f>'PnL все'!B70</f>
        <v>687711458.89655018</v>
      </c>
      <c r="C42" s="15" t="e">
        <f>'PnL (с перегор)'!B70</f>
        <v>#REF!</v>
      </c>
      <c r="D42" s="13" t="e">
        <f t="shared" si="0"/>
        <v>#REF!</v>
      </c>
    </row>
    <row r="43" spans="1:4" ht="15.5" x14ac:dyDescent="0.35">
      <c r="A43" s="28" t="s">
        <v>98</v>
      </c>
      <c r="B43" s="11">
        <f>'PnL все'!B72</f>
        <v>3207902989.2034502</v>
      </c>
      <c r="C43" s="11" t="e">
        <f>'PnL (с перегор)'!B72</f>
        <v>#REF!</v>
      </c>
      <c r="D43" s="311" t="e">
        <f t="shared" si="0"/>
        <v>#REF!</v>
      </c>
    </row>
    <row r="44" spans="1:4" ht="16" thickBot="1" x14ac:dyDescent="0.4">
      <c r="A44" s="29" t="s">
        <v>99</v>
      </c>
      <c r="B44" s="30">
        <f>IF((B43)&gt;0,(B43)*20%,0)</f>
        <v>641580597.84069002</v>
      </c>
      <c r="C44" s="30" t="e">
        <f>IF((C43)&gt;0,(C43)*20%,0)</f>
        <v>#REF!</v>
      </c>
      <c r="D44" s="314" t="e">
        <f t="shared" si="0"/>
        <v>#REF!</v>
      </c>
    </row>
    <row r="45" spans="1:4" ht="15.5" x14ac:dyDescent="0.35">
      <c r="A45" s="35" t="s">
        <v>100</v>
      </c>
      <c r="B45" s="36">
        <f>B43-B44</f>
        <v>2566322391.3627601</v>
      </c>
      <c r="C45" s="36" t="e">
        <f>C43-C44</f>
        <v>#REF!</v>
      </c>
      <c r="D45" s="315" t="e">
        <f t="shared" si="0"/>
        <v>#REF!</v>
      </c>
    </row>
    <row r="46" spans="1:4" ht="16" thickBot="1" x14ac:dyDescent="0.4">
      <c r="A46" s="37" t="s">
        <v>101</v>
      </c>
      <c r="B46" s="42">
        <f>B45/B22</f>
        <v>0.23954546137630423</v>
      </c>
      <c r="C46" s="42" t="e">
        <f>C45/C22</f>
        <v>#REF!</v>
      </c>
      <c r="D46" s="316" t="e">
        <f t="shared" si="0"/>
        <v>#REF!</v>
      </c>
    </row>
  </sheetData>
  <conditionalFormatting sqref="D2:D46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7713-C55B-4B09-B724-F0F43448D459}">
  <sheetPr>
    <tabColor rgb="FFFFFF00"/>
  </sheetPr>
  <dimension ref="B1:E14"/>
  <sheetViews>
    <sheetView zoomScale="120" zoomScaleNormal="120" workbookViewId="0">
      <selection activeCell="D19" sqref="D19"/>
    </sheetView>
  </sheetViews>
  <sheetFormatPr defaultRowHeight="14.5" x14ac:dyDescent="0.35"/>
  <cols>
    <col min="2" max="2" width="21.08984375" customWidth="1"/>
    <col min="3" max="3" width="17.36328125" customWidth="1"/>
    <col min="4" max="5" width="21.54296875" customWidth="1"/>
    <col min="6" max="6" width="13.08984375" customWidth="1"/>
  </cols>
  <sheetData>
    <row r="1" spans="2:5" x14ac:dyDescent="0.35">
      <c r="B1" s="197" t="s">
        <v>243</v>
      </c>
      <c r="C1" s="197">
        <f>'Dashboard все'!F16</f>
        <v>0</v>
      </c>
      <c r="D1" s="197">
        <f>'Dashboard (с перегор)'!F16</f>
        <v>650000</v>
      </c>
    </row>
    <row r="2" spans="2:5" x14ac:dyDescent="0.35">
      <c r="B2" s="224" t="s">
        <v>231</v>
      </c>
      <c r="C2" s="224" t="s">
        <v>229</v>
      </c>
      <c r="D2" s="224" t="s">
        <v>230</v>
      </c>
      <c r="E2" s="225" t="s">
        <v>232</v>
      </c>
    </row>
    <row r="3" spans="2:5" x14ac:dyDescent="0.35">
      <c r="B3" s="226" t="s">
        <v>233</v>
      </c>
      <c r="C3" s="227">
        <f>'PnL все'!B34</f>
        <v>10713300000</v>
      </c>
      <c r="D3" s="227">
        <f>'PnL (с перегор)'!B34</f>
        <v>7397078156.25</v>
      </c>
      <c r="E3" s="228">
        <f>D3-C3</f>
        <v>-3316221843.75</v>
      </c>
    </row>
    <row r="4" spans="2:5" x14ac:dyDescent="0.35">
      <c r="B4" s="226" t="s">
        <v>234</v>
      </c>
      <c r="C4" s="227">
        <f>'PnL все'!B48</f>
        <v>675000000</v>
      </c>
      <c r="D4" s="227">
        <f>'PnL (с перегор)'!B48</f>
        <v>675000000</v>
      </c>
      <c r="E4" s="228">
        <f t="shared" ref="E4:E11" si="0">D4-C4</f>
        <v>0</v>
      </c>
    </row>
    <row r="5" spans="2:5" x14ac:dyDescent="0.35">
      <c r="B5" s="226" t="s">
        <v>235</v>
      </c>
      <c r="C5" s="227">
        <f>'PnL все'!B40</f>
        <v>4595567890</v>
      </c>
      <c r="D5" s="227">
        <f>'PnL (с перегор)'!B40</f>
        <v>12454671974.12101</v>
      </c>
      <c r="E5" s="228">
        <f t="shared" si="0"/>
        <v>7859104084.1210098</v>
      </c>
    </row>
    <row r="6" spans="2:5" x14ac:dyDescent="0.35">
      <c r="B6" s="226" t="s">
        <v>236</v>
      </c>
      <c r="C6" s="227">
        <f>'PnL все'!B53+'PnL все'!B50</f>
        <v>644368883</v>
      </c>
      <c r="D6" s="227">
        <f>'PnL (с перегор)'!B50+'PnL (с перегор)'!B53</f>
        <v>1746335438.8821268</v>
      </c>
      <c r="E6" s="228">
        <f t="shared" si="0"/>
        <v>1101966555.8821268</v>
      </c>
    </row>
    <row r="7" spans="2:5" x14ac:dyDescent="0.35">
      <c r="B7" s="226" t="s">
        <v>237</v>
      </c>
      <c r="C7" s="227">
        <f>'PnL все'!B61</f>
        <v>487455150</v>
      </c>
      <c r="D7" s="227">
        <f>'PnL (с перегор)'!B61</f>
        <v>336567056.109375</v>
      </c>
      <c r="E7" s="228">
        <f t="shared" si="0"/>
        <v>-150888093.890625</v>
      </c>
    </row>
    <row r="8" spans="2:5" x14ac:dyDescent="0.35">
      <c r="B8" s="226" t="s">
        <v>213</v>
      </c>
      <c r="C8" s="227">
        <f>'PnL все'!B58</f>
        <v>257119200</v>
      </c>
      <c r="D8" s="227">
        <f>'PnL (с перегор)'!B58</f>
        <v>177529875.75</v>
      </c>
      <c r="E8" s="228">
        <f t="shared" si="0"/>
        <v>-79589324.25</v>
      </c>
    </row>
    <row r="9" spans="2:5" x14ac:dyDescent="0.35">
      <c r="B9" s="226" t="s">
        <v>238</v>
      </c>
      <c r="C9" s="227">
        <f>'PnL все'!B54</f>
        <v>45955678.899999999</v>
      </c>
      <c r="D9" s="227">
        <f>'PnL (с перегор)'!B54</f>
        <v>124546719.7412101</v>
      </c>
      <c r="E9" s="228">
        <f t="shared" si="0"/>
        <v>78591040.841210097</v>
      </c>
    </row>
    <row r="10" spans="2:5" x14ac:dyDescent="0.35">
      <c r="B10" s="226" t="s">
        <v>239</v>
      </c>
      <c r="C10" s="227">
        <f>'PnL все'!B66</f>
        <v>112218750</v>
      </c>
      <c r="D10" s="227">
        <f>'PnL (с перегор)'!B66</f>
        <v>112218750</v>
      </c>
      <c r="E10" s="228">
        <f t="shared" si="0"/>
        <v>0</v>
      </c>
    </row>
    <row r="11" spans="2:5" x14ac:dyDescent="0.35">
      <c r="B11" s="226" t="s">
        <v>240</v>
      </c>
      <c r="C11" s="227">
        <f>'PnL все'!B70+'PnL все'!B73</f>
        <v>1329292056.7372403</v>
      </c>
      <c r="D11" s="227" t="e">
        <f>'PnL (с перегор)'!B70+'PnL (с перегор)'!B73</f>
        <v>#REF!</v>
      </c>
      <c r="E11" s="228" t="e">
        <f t="shared" si="0"/>
        <v>#REF!</v>
      </c>
    </row>
    <row r="12" spans="2:5" x14ac:dyDescent="0.35">
      <c r="B12" s="224" t="s">
        <v>241</v>
      </c>
      <c r="C12" s="229">
        <f>C3-C4-C5-C6-C7-C8-C9-C10-C11</f>
        <v>2566322391.3627596</v>
      </c>
      <c r="D12" s="229" t="e">
        <f>D3-D4-D5-D6-D7-D8-D9-D10-D11</f>
        <v>#REF!</v>
      </c>
      <c r="E12" s="229" t="e">
        <f>D12-C12</f>
        <v>#REF!</v>
      </c>
    </row>
    <row r="13" spans="2:5" x14ac:dyDescent="0.35">
      <c r="B13" s="224" t="s">
        <v>242</v>
      </c>
      <c r="C13" s="317">
        <f>C12/C3</f>
        <v>0.23954546137630417</v>
      </c>
      <c r="D13" s="317" t="e">
        <f>D12/D3</f>
        <v>#REF!</v>
      </c>
      <c r="E13" s="317" t="e">
        <f>D13-C13</f>
        <v>#REF!</v>
      </c>
    </row>
    <row r="14" spans="2:5" x14ac:dyDescent="0.35">
      <c r="C14" s="197"/>
      <c r="D14" s="197"/>
    </row>
  </sheetData>
  <conditionalFormatting sqref="E3:E13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7A6D-314E-4F64-97E5-DB1F05C01246}">
  <sheetPr>
    <tabColor rgb="FF92D050"/>
  </sheetPr>
  <dimension ref="A2:E8"/>
  <sheetViews>
    <sheetView workbookViewId="0">
      <selection activeCell="D4" sqref="D4"/>
    </sheetView>
  </sheetViews>
  <sheetFormatPr defaultRowHeight="14.5" x14ac:dyDescent="0.35"/>
  <cols>
    <col min="1" max="1" width="39" customWidth="1"/>
    <col min="2" max="2" width="20.36328125" customWidth="1"/>
    <col min="3" max="3" width="18.1796875" customWidth="1"/>
    <col min="4" max="4" width="16.36328125" customWidth="1"/>
    <col min="5" max="5" width="10.36328125" customWidth="1"/>
  </cols>
  <sheetData>
    <row r="2" spans="1:5" x14ac:dyDescent="0.35">
      <c r="A2" s="370" t="s">
        <v>0</v>
      </c>
      <c r="B2" s="378" t="s">
        <v>450</v>
      </c>
      <c r="C2" s="378" t="s">
        <v>451</v>
      </c>
      <c r="D2" s="379" t="s">
        <v>453</v>
      </c>
    </row>
    <row r="3" spans="1:5" x14ac:dyDescent="0.35">
      <c r="A3" s="372" t="s">
        <v>452</v>
      </c>
      <c r="B3" s="373">
        <f>'PnL все'!B34</f>
        <v>10713300000</v>
      </c>
      <c r="C3" s="373">
        <f>'PnL2-8'!B34</f>
        <v>8049600000</v>
      </c>
      <c r="D3" s="371">
        <f>B3-C3</f>
        <v>2663700000</v>
      </c>
      <c r="E3" s="197"/>
    </row>
    <row r="4" spans="1:5" x14ac:dyDescent="0.35">
      <c r="A4" s="372" t="s">
        <v>1</v>
      </c>
      <c r="B4" s="373">
        <f>'Dashboard все'!C4</f>
        <v>2566322391.3627601</v>
      </c>
      <c r="C4" s="373">
        <f>'Dashboard2-8'!C4</f>
        <v>948825500.32827687</v>
      </c>
      <c r="D4" s="374">
        <f>B4-C4</f>
        <v>1617496891.0344832</v>
      </c>
    </row>
    <row r="5" spans="1:5" x14ac:dyDescent="0.35">
      <c r="A5" s="372" t="s">
        <v>2</v>
      </c>
      <c r="B5" s="375">
        <f>B4/B3</f>
        <v>0.23954546137630423</v>
      </c>
      <c r="C5" s="375">
        <f>C4/C3</f>
        <v>0.11787237879252098</v>
      </c>
      <c r="D5" s="376">
        <f>B5-C5</f>
        <v>0.12167308258378325</v>
      </c>
    </row>
    <row r="6" spans="1:5" x14ac:dyDescent="0.35">
      <c r="A6" s="377" t="s">
        <v>6</v>
      </c>
      <c r="B6" s="373">
        <f>'Dashboard все'!C9</f>
        <v>1877744404.3243635</v>
      </c>
      <c r="C6" s="373">
        <f>'Dashboard2-8'!C9</f>
        <v>972609651.23493052</v>
      </c>
      <c r="D6" s="374">
        <f>B6-C6</f>
        <v>905134753.08943295</v>
      </c>
    </row>
    <row r="8" spans="1:5" x14ac:dyDescent="0.35">
      <c r="B8" s="212"/>
      <c r="C8" s="2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DBC6-C398-4E93-89B9-25F2F26A16C9}">
  <sheetPr>
    <tabColor rgb="FF92D050"/>
  </sheetPr>
  <dimension ref="B3:P36"/>
  <sheetViews>
    <sheetView showGridLines="0" topLeftCell="F1" zoomScale="80" zoomScaleNormal="80" workbookViewId="0">
      <selection activeCell="N16" sqref="N16"/>
    </sheetView>
  </sheetViews>
  <sheetFormatPr defaultRowHeight="14.5" x14ac:dyDescent="0.35"/>
  <cols>
    <col min="1" max="1" width="2.6328125" customWidth="1"/>
    <col min="2" max="2" width="37.1796875" customWidth="1"/>
    <col min="3" max="3" width="17.453125" bestFit="1" customWidth="1"/>
    <col min="5" max="5" width="44.08984375" bestFit="1" customWidth="1"/>
    <col min="6" max="6" width="17.453125" bestFit="1" customWidth="1"/>
    <col min="7" max="7" width="6" customWidth="1"/>
    <col min="8" max="8" width="29.08984375" customWidth="1"/>
    <col min="9" max="9" width="17.453125" customWidth="1"/>
    <col min="10" max="10" width="12.6328125" customWidth="1"/>
    <col min="11" max="11" width="29" customWidth="1"/>
    <col min="12" max="12" width="15" customWidth="1"/>
    <col min="13" max="13" width="12.08984375" bestFit="1" customWidth="1"/>
    <col min="14" max="14" width="13.453125" customWidth="1"/>
    <col min="16" max="16" width="15" bestFit="1" customWidth="1"/>
  </cols>
  <sheetData>
    <row r="3" spans="2:14" x14ac:dyDescent="0.35">
      <c r="B3" s="1" t="s">
        <v>0</v>
      </c>
      <c r="C3" s="2"/>
    </row>
    <row r="4" spans="2:14" x14ac:dyDescent="0.35">
      <c r="B4" t="s">
        <v>1</v>
      </c>
      <c r="C4" s="5">
        <f>'PnL все'!B74</f>
        <v>2566322391.3627601</v>
      </c>
    </row>
    <row r="5" spans="2:14" x14ac:dyDescent="0.35">
      <c r="B5" t="s">
        <v>2</v>
      </c>
      <c r="C5" s="219">
        <f>'PnL все'!B75</f>
        <v>0.23954546137630423</v>
      </c>
    </row>
    <row r="6" spans="2:14" x14ac:dyDescent="0.35">
      <c r="B6" s="3" t="s">
        <v>3</v>
      </c>
      <c r="C6" s="219">
        <f>DCF!C44</f>
        <v>0</v>
      </c>
    </row>
    <row r="7" spans="2:14" x14ac:dyDescent="0.35">
      <c r="B7" s="3" t="s">
        <v>4</v>
      </c>
      <c r="C7" s="4">
        <f>DCF!C47*12</f>
        <v>0.20999999999999996</v>
      </c>
    </row>
    <row r="8" spans="2:14" x14ac:dyDescent="0.35">
      <c r="B8" s="3" t="s">
        <v>5</v>
      </c>
      <c r="C8" s="4">
        <f>DCF!C41</f>
        <v>15.142247730202417</v>
      </c>
    </row>
    <row r="9" spans="2:14" x14ac:dyDescent="0.35">
      <c r="B9" s="3" t="s">
        <v>6</v>
      </c>
      <c r="C9" s="5">
        <f>DCF!C42</f>
        <v>1877744404.3243635</v>
      </c>
    </row>
    <row r="10" spans="2:14" x14ac:dyDescent="0.35">
      <c r="B10" s="6" t="s">
        <v>7</v>
      </c>
      <c r="C10" s="5">
        <f>DCF!C37</f>
        <v>1</v>
      </c>
    </row>
    <row r="11" spans="2:14" x14ac:dyDescent="0.35">
      <c r="B11" s="6" t="s">
        <v>8</v>
      </c>
      <c r="C11" s="5">
        <f>DCF!C46</f>
        <v>1</v>
      </c>
    </row>
    <row r="14" spans="2:14" x14ac:dyDescent="0.35">
      <c r="B14" s="303" t="s">
        <v>9</v>
      </c>
      <c r="C14" s="304"/>
      <c r="D14" s="97"/>
      <c r="E14" s="97"/>
      <c r="F14" s="97"/>
      <c r="G14" s="97"/>
      <c r="H14" s="97"/>
      <c r="I14" s="97"/>
      <c r="J14" s="97"/>
      <c r="K14" s="97"/>
      <c r="L14" s="98"/>
    </row>
    <row r="15" spans="2:14" x14ac:dyDescent="0.35">
      <c r="B15" s="99" t="s">
        <v>10</v>
      </c>
      <c r="C15" s="6"/>
      <c r="E15" s="95" t="s">
        <v>11</v>
      </c>
      <c r="H15" s="100" t="s">
        <v>12</v>
      </c>
      <c r="K15" s="300" t="s">
        <v>227</v>
      </c>
      <c r="L15" s="306">
        <f>SUM(L16:L19)</f>
        <v>6901</v>
      </c>
    </row>
    <row r="16" spans="2:14" ht="16" x14ac:dyDescent="0.4">
      <c r="B16" s="102" t="s">
        <v>13</v>
      </c>
      <c r="C16" s="301">
        <v>0.15</v>
      </c>
      <c r="E16" s="6" t="s">
        <v>14</v>
      </c>
      <c r="F16" s="299">
        <v>0</v>
      </c>
      <c r="G16" s="299"/>
      <c r="H16" s="6" t="s">
        <v>15</v>
      </c>
      <c r="I16" s="299">
        <f>(4550567890+45000000)/L15</f>
        <v>665927.82060570933</v>
      </c>
      <c r="K16" s="302" t="s">
        <v>60</v>
      </c>
      <c r="L16" s="305">
        <v>0</v>
      </c>
      <c r="N16">
        <f>N17/L17</f>
        <v>0.22400513478818998</v>
      </c>
    </row>
    <row r="17" spans="2:16" ht="16" x14ac:dyDescent="0.4">
      <c r="B17" s="102" t="s">
        <v>16</v>
      </c>
      <c r="C17" s="301">
        <v>500</v>
      </c>
      <c r="E17" s="6" t="s">
        <v>17</v>
      </c>
      <c r="F17" s="299">
        <v>1600000</v>
      </c>
      <c r="G17" s="299"/>
      <c r="H17" s="6" t="s">
        <v>18</v>
      </c>
      <c r="I17" s="299">
        <f>447216142/L15</f>
        <v>64804.541660628893</v>
      </c>
      <c r="K17" s="302" t="s">
        <v>221</v>
      </c>
      <c r="L17" s="305">
        <v>6232</v>
      </c>
      <c r="M17" s="197">
        <v>4836</v>
      </c>
      <c r="N17" s="197">
        <f>L17-M17</f>
        <v>1396</v>
      </c>
      <c r="O17" s="197">
        <f>F17</f>
        <v>1600000</v>
      </c>
      <c r="P17" s="430">
        <f>N17*O17</f>
        <v>2233600000</v>
      </c>
    </row>
    <row r="18" spans="2:16" ht="16" x14ac:dyDescent="0.4">
      <c r="B18" s="102" t="s">
        <v>19</v>
      </c>
      <c r="C18" s="318">
        <v>90000</v>
      </c>
      <c r="E18" s="6" t="s">
        <v>244</v>
      </c>
      <c r="F18" s="299">
        <v>1700000</v>
      </c>
      <c r="G18" s="299"/>
      <c r="H18" s="6" t="s">
        <v>21</v>
      </c>
      <c r="I18" s="307">
        <v>4.5499999999999999E-2</v>
      </c>
      <c r="K18" s="302" t="s">
        <v>245</v>
      </c>
      <c r="L18" s="305">
        <v>253</v>
      </c>
      <c r="M18" s="197">
        <v>0</v>
      </c>
      <c r="N18" s="197">
        <f>L18-M18</f>
        <v>253</v>
      </c>
      <c r="O18" s="197">
        <f>F18</f>
        <v>1700000</v>
      </c>
      <c r="P18" s="430">
        <f>N18*O18</f>
        <v>430100000</v>
      </c>
    </row>
    <row r="19" spans="2:16" ht="16" x14ac:dyDescent="0.4">
      <c r="B19" s="102" t="s">
        <v>22</v>
      </c>
      <c r="C19" s="299">
        <f>C16*100*C18*C17</f>
        <v>675000000</v>
      </c>
      <c r="E19" s="6" t="s">
        <v>23</v>
      </c>
      <c r="F19" s="299">
        <v>12000000</v>
      </c>
      <c r="G19" s="299"/>
      <c r="H19" s="6" t="s">
        <v>24</v>
      </c>
      <c r="I19" s="308">
        <v>2.4E-2</v>
      </c>
      <c r="K19" s="302" t="s">
        <v>223</v>
      </c>
      <c r="L19" s="305">
        <f>L26*16</f>
        <v>416</v>
      </c>
      <c r="M19" s="197">
        <v>416</v>
      </c>
    </row>
    <row r="20" spans="2:16" x14ac:dyDescent="0.35">
      <c r="B20" s="105"/>
      <c r="H20" s="6" t="s">
        <v>31</v>
      </c>
      <c r="I20" s="299">
        <f>197152741/L15</f>
        <v>28568.720620199972</v>
      </c>
      <c r="L20" s="101"/>
    </row>
    <row r="21" spans="2:16" x14ac:dyDescent="0.35">
      <c r="B21" s="105"/>
      <c r="L21" s="101"/>
    </row>
    <row r="22" spans="2:16" x14ac:dyDescent="0.35">
      <c r="B22" s="99" t="s">
        <v>26</v>
      </c>
      <c r="E22" s="95" t="s">
        <v>27</v>
      </c>
      <c r="H22" s="95" t="s">
        <v>28</v>
      </c>
      <c r="K22" s="300" t="s">
        <v>228</v>
      </c>
      <c r="L22" s="306">
        <f>SUM(L23:L26)</f>
        <v>50</v>
      </c>
    </row>
    <row r="23" spans="2:16" ht="16" x14ac:dyDescent="0.4">
      <c r="B23" s="102" t="s">
        <v>29</v>
      </c>
      <c r="C23">
        <v>10</v>
      </c>
      <c r="E23" t="s">
        <v>30</v>
      </c>
      <c r="H23" s="6" t="s">
        <v>34</v>
      </c>
      <c r="I23" s="299">
        <f>'PnL все'!B70</f>
        <v>687711458.89655018</v>
      </c>
      <c r="K23" s="302" t="s">
        <v>60</v>
      </c>
      <c r="L23" s="305">
        <v>0</v>
      </c>
    </row>
    <row r="24" spans="2:16" ht="16" x14ac:dyDescent="0.4">
      <c r="B24" s="102" t="s">
        <v>32</v>
      </c>
      <c r="C24" s="197"/>
      <c r="E24" s="6" t="s">
        <v>33</v>
      </c>
      <c r="F24" s="299">
        <f>C19</f>
        <v>675000000</v>
      </c>
      <c r="G24" s="299"/>
      <c r="H24" s="6" t="s">
        <v>37</v>
      </c>
      <c r="I24" s="299">
        <f>'PnL все'!B73</f>
        <v>641580597.84069002</v>
      </c>
      <c r="K24" s="302" t="s">
        <v>221</v>
      </c>
      <c r="L24" s="305">
        <v>22</v>
      </c>
    </row>
    <row r="25" spans="2:16" ht="16" x14ac:dyDescent="0.4">
      <c r="B25" s="102" t="s">
        <v>35</v>
      </c>
      <c r="C25" s="197">
        <f>'PnL все'!B7</f>
        <v>6901</v>
      </c>
      <c r="E25" s="6" t="s">
        <v>36</v>
      </c>
      <c r="F25" s="299">
        <v>18</v>
      </c>
      <c r="G25" s="299"/>
      <c r="K25" s="302" t="s">
        <v>245</v>
      </c>
      <c r="L25" s="305">
        <v>2</v>
      </c>
    </row>
    <row r="26" spans="2:16" ht="16" x14ac:dyDescent="0.4">
      <c r="B26" s="102" t="s">
        <v>38</v>
      </c>
      <c r="C26" s="197">
        <f>C25</f>
        <v>6901</v>
      </c>
      <c r="E26" t="s">
        <v>39</v>
      </c>
      <c r="F26" s="299">
        <f>'PnL все'!B74</f>
        <v>2566322391.3627601</v>
      </c>
      <c r="G26" s="299"/>
      <c r="H26" s="299"/>
      <c r="I26" s="299"/>
      <c r="K26" s="302" t="s">
        <v>223</v>
      </c>
      <c r="L26" s="305">
        <v>26</v>
      </c>
    </row>
    <row r="27" spans="2:16" x14ac:dyDescent="0.35">
      <c r="B27" s="105"/>
      <c r="E27" t="s">
        <v>40</v>
      </c>
      <c r="F27" s="173">
        <v>46204</v>
      </c>
      <c r="G27" s="173"/>
      <c r="H27" s="173"/>
      <c r="I27" s="173"/>
      <c r="L27" s="101"/>
    </row>
    <row r="28" spans="2:16" x14ac:dyDescent="0.35">
      <c r="B28" s="102" t="s">
        <v>41</v>
      </c>
      <c r="C28">
        <v>18</v>
      </c>
      <c r="E28" t="s">
        <v>42</v>
      </c>
      <c r="F28">
        <v>21</v>
      </c>
      <c r="L28" s="101"/>
    </row>
    <row r="29" spans="2:16" x14ac:dyDescent="0.35">
      <c r="B29" s="102" t="s">
        <v>43</v>
      </c>
      <c r="C29" s="173">
        <v>46204</v>
      </c>
      <c r="E29" t="s">
        <v>44</v>
      </c>
      <c r="F29">
        <v>0</v>
      </c>
      <c r="L29" s="101"/>
    </row>
    <row r="30" spans="2:16" x14ac:dyDescent="0.35">
      <c r="B30" s="105"/>
      <c r="L30" s="101"/>
    </row>
    <row r="31" spans="2:16" x14ac:dyDescent="0.35"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10"/>
    </row>
    <row r="32" spans="2:16" x14ac:dyDescent="0.35">
      <c r="I32" s="212">
        <v>4550567889.8091927</v>
      </c>
    </row>
    <row r="34" spans="2:5" x14ac:dyDescent="0.35">
      <c r="B34" s="6" t="s">
        <v>30</v>
      </c>
      <c r="C34" s="9">
        <v>0</v>
      </c>
    </row>
    <row r="35" spans="2:5" x14ac:dyDescent="0.35">
      <c r="B35" s="6" t="s">
        <v>45</v>
      </c>
      <c r="C35" s="8">
        <v>0.21</v>
      </c>
      <c r="E35" s="173"/>
    </row>
    <row r="36" spans="2:5" x14ac:dyDescent="0.35">
      <c r="B36" s="6" t="s">
        <v>46</v>
      </c>
      <c r="C36" s="8">
        <v>0.25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CDF7-9319-4A82-A9E7-47E9AB0D000B}">
  <sheetPr>
    <tabColor rgb="FF92D050"/>
    <outlinePr summaryBelow="0"/>
  </sheetPr>
  <dimension ref="A1:F80"/>
  <sheetViews>
    <sheetView tabSelected="1" zoomScale="85" zoomScaleNormal="85" workbookViewId="0">
      <selection activeCell="D48" sqref="D48"/>
    </sheetView>
  </sheetViews>
  <sheetFormatPr defaultRowHeight="14.5" outlineLevelRow="1" x14ac:dyDescent="0.35"/>
  <cols>
    <col min="1" max="1" width="50.90625" customWidth="1"/>
    <col min="2" max="3" width="20.36328125" customWidth="1"/>
    <col min="4" max="5" width="16.08984375" bestFit="1" customWidth="1"/>
    <col min="6" max="6" width="21.453125" customWidth="1"/>
    <col min="7" max="7" width="12.36328125" bestFit="1" customWidth="1"/>
  </cols>
  <sheetData>
    <row r="1" spans="1:5" ht="15" thickBot="1" x14ac:dyDescent="0.4"/>
    <row r="2" spans="1:5" ht="15.5" x14ac:dyDescent="0.35">
      <c r="A2" s="39" t="s">
        <v>47</v>
      </c>
      <c r="B2" s="40" t="s">
        <v>48</v>
      </c>
      <c r="C2" s="40" t="s">
        <v>49</v>
      </c>
    </row>
    <row r="3" spans="1:5" ht="15.5" x14ac:dyDescent="0.35">
      <c r="A3" s="38" t="s">
        <v>50</v>
      </c>
      <c r="B3" s="380">
        <f>B48/B5/100/B4</f>
        <v>90000</v>
      </c>
      <c r="C3" s="381"/>
    </row>
    <row r="4" spans="1:5" ht="15.5" x14ac:dyDescent="0.35">
      <c r="A4" s="38" t="s">
        <v>51</v>
      </c>
      <c r="B4" s="380">
        <f>'Dashboard все'!C17</f>
        <v>500</v>
      </c>
      <c r="C4" s="381"/>
    </row>
    <row r="5" spans="1:5" ht="15.5" x14ac:dyDescent="0.35">
      <c r="A5" s="38" t="s">
        <v>52</v>
      </c>
      <c r="B5" s="382">
        <f>'Dashboard все'!C16</f>
        <v>0.15</v>
      </c>
      <c r="C5" s="383"/>
    </row>
    <row r="6" spans="1:5" ht="15.5" x14ac:dyDescent="0.35">
      <c r="A6" s="38" t="s">
        <v>29</v>
      </c>
      <c r="B6" s="380">
        <f>'Dashboard все'!C23</f>
        <v>10</v>
      </c>
      <c r="C6" s="381"/>
    </row>
    <row r="7" spans="1:5" ht="15.5" collapsed="1" x14ac:dyDescent="0.35">
      <c r="A7" s="10" t="s">
        <v>54</v>
      </c>
      <c r="B7" s="11">
        <f>SUM(B8:B11)</f>
        <v>6901</v>
      </c>
      <c r="C7" s="11">
        <f>SUM(C8:C11)</f>
        <v>6901</v>
      </c>
    </row>
    <row r="8" spans="1:5" ht="15.5" hidden="1" outlineLevel="1" x14ac:dyDescent="0.35">
      <c r="A8" s="12" t="s">
        <v>55</v>
      </c>
      <c r="B8" s="13">
        <f>'Dashboard все'!L16</f>
        <v>0</v>
      </c>
      <c r="C8" s="13">
        <f>B8</f>
        <v>0</v>
      </c>
    </row>
    <row r="9" spans="1:5" ht="15.5" hidden="1" outlineLevel="1" x14ac:dyDescent="0.35">
      <c r="A9" s="12" t="s">
        <v>57</v>
      </c>
      <c r="B9" s="13">
        <f>'Dashboard все'!L17</f>
        <v>6232</v>
      </c>
      <c r="C9" s="13">
        <f t="shared" ref="C9:C11" si="0">B9</f>
        <v>6232</v>
      </c>
      <c r="D9" s="212"/>
      <c r="E9" s="212"/>
    </row>
    <row r="10" spans="1:5" ht="15.5" hidden="1" outlineLevel="1" x14ac:dyDescent="0.35">
      <c r="A10" s="12" t="s">
        <v>247</v>
      </c>
      <c r="B10" s="13">
        <f>'Dashboard все'!L18</f>
        <v>253</v>
      </c>
      <c r="C10" s="13">
        <f t="shared" si="0"/>
        <v>253</v>
      </c>
    </row>
    <row r="11" spans="1:5" ht="15.5" hidden="1" outlineLevel="1" x14ac:dyDescent="0.35">
      <c r="A11" s="12" t="s">
        <v>58</v>
      </c>
      <c r="B11" s="13">
        <f>'Dashboard все'!L19</f>
        <v>416</v>
      </c>
      <c r="C11" s="13">
        <f t="shared" si="0"/>
        <v>416</v>
      </c>
    </row>
    <row r="12" spans="1:5" ht="15.5" collapsed="1" x14ac:dyDescent="0.35">
      <c r="A12" s="10" t="s">
        <v>59</v>
      </c>
      <c r="B12" s="11">
        <f>SUM(B13:B16)</f>
        <v>50</v>
      </c>
      <c r="C12" s="11">
        <f>SUM(C13:C16)</f>
        <v>50</v>
      </c>
    </row>
    <row r="13" spans="1:5" ht="15.5" hidden="1" outlineLevel="1" x14ac:dyDescent="0.35">
      <c r="A13" s="12" t="s">
        <v>55</v>
      </c>
      <c r="B13" s="13">
        <f>'Dashboard все'!L23</f>
        <v>0</v>
      </c>
      <c r="C13" s="13">
        <f>B13</f>
        <v>0</v>
      </c>
    </row>
    <row r="14" spans="1:5" ht="15.5" hidden="1" outlineLevel="1" x14ac:dyDescent="0.35">
      <c r="A14" s="12" t="s">
        <v>221</v>
      </c>
      <c r="B14" s="13">
        <f>'Dashboard все'!L24</f>
        <v>22</v>
      </c>
      <c r="C14" s="13">
        <f t="shared" ref="C14:C16" si="1">B14</f>
        <v>22</v>
      </c>
    </row>
    <row r="15" spans="1:5" ht="15.5" hidden="1" outlineLevel="1" x14ac:dyDescent="0.35">
      <c r="A15" s="12" t="s">
        <v>245</v>
      </c>
      <c r="B15" s="13">
        <v>2</v>
      </c>
      <c r="C15" s="13">
        <f t="shared" si="1"/>
        <v>2</v>
      </c>
    </row>
    <row r="16" spans="1:5" ht="15.5" hidden="1" outlineLevel="1" x14ac:dyDescent="0.35">
      <c r="A16" s="12" t="s">
        <v>58</v>
      </c>
      <c r="B16" s="13">
        <f>'Dashboard все'!L26</f>
        <v>26</v>
      </c>
      <c r="C16" s="13">
        <f t="shared" si="1"/>
        <v>26</v>
      </c>
    </row>
    <row r="17" spans="1:3" ht="15.5" collapsed="1" x14ac:dyDescent="0.35">
      <c r="A17" s="10" t="s">
        <v>61</v>
      </c>
      <c r="B17" s="11">
        <f>B34/B7</f>
        <v>1552427.1844660195</v>
      </c>
      <c r="C17" s="11">
        <f>C34/C7</f>
        <v>3104.8543689320391</v>
      </c>
    </row>
    <row r="18" spans="1:3" ht="15.5" hidden="1" outlineLevel="1" x14ac:dyDescent="0.35">
      <c r="A18" s="12" t="s">
        <v>55</v>
      </c>
      <c r="B18" s="15">
        <f>'Dashboard все'!F16</f>
        <v>0</v>
      </c>
      <c r="C18" s="15">
        <f>B18/$B$4</f>
        <v>0</v>
      </c>
    </row>
    <row r="19" spans="1:3" ht="15.5" hidden="1" outlineLevel="1" x14ac:dyDescent="0.35">
      <c r="A19" s="12" t="s">
        <v>246</v>
      </c>
      <c r="B19" s="13">
        <f>'Dashboard все'!F17</f>
        <v>1600000</v>
      </c>
      <c r="C19" s="13">
        <f t="shared" ref="C19:C69" si="2">B19/$B$4</f>
        <v>3200</v>
      </c>
    </row>
    <row r="20" spans="1:3" ht="15.5" hidden="1" outlineLevel="1" x14ac:dyDescent="0.35">
      <c r="A20" s="12" t="s">
        <v>57</v>
      </c>
      <c r="B20" s="13">
        <f>'Dashboard все'!F18</f>
        <v>1700000</v>
      </c>
      <c r="C20" s="13">
        <f t="shared" si="2"/>
        <v>3400</v>
      </c>
    </row>
    <row r="21" spans="1:3" ht="15.5" hidden="1" outlineLevel="1" x14ac:dyDescent="0.35">
      <c r="A21" s="12" t="s">
        <v>58</v>
      </c>
      <c r="B21" s="13">
        <f>'Dashboard все'!F19</f>
        <v>12000000</v>
      </c>
      <c r="C21" s="13">
        <f t="shared" si="2"/>
        <v>24000</v>
      </c>
    </row>
    <row r="22" spans="1:3" ht="15.5" collapsed="1" x14ac:dyDescent="0.35">
      <c r="A22" s="16" t="s">
        <v>63</v>
      </c>
      <c r="B22" s="17">
        <f>(B41+B42+B43+B44)/(B8+B9+B10+B11)</f>
        <v>665927.82060570933</v>
      </c>
      <c r="C22" s="17">
        <f t="shared" si="2"/>
        <v>1331.8556412114187</v>
      </c>
    </row>
    <row r="23" spans="1:3" ht="15.5" hidden="1" outlineLevel="1" x14ac:dyDescent="0.35">
      <c r="A23" s="12" t="s">
        <v>55</v>
      </c>
      <c r="B23" s="20">
        <f>'Dashboard все'!I16</f>
        <v>665927.82060570933</v>
      </c>
      <c r="C23" s="20">
        <f t="shared" si="2"/>
        <v>1331.8556412114187</v>
      </c>
    </row>
    <row r="24" spans="1:3" ht="15.5" hidden="1" outlineLevel="1" x14ac:dyDescent="0.35">
      <c r="A24" s="12" t="s">
        <v>57</v>
      </c>
      <c r="B24" s="20">
        <v>0</v>
      </c>
      <c r="C24" s="20">
        <f t="shared" si="2"/>
        <v>0</v>
      </c>
    </row>
    <row r="25" spans="1:3" ht="15.5" hidden="1" outlineLevel="1" x14ac:dyDescent="0.35">
      <c r="A25" s="12" t="s">
        <v>56</v>
      </c>
      <c r="B25" s="20">
        <v>0</v>
      </c>
      <c r="C25" s="20">
        <f t="shared" si="2"/>
        <v>0</v>
      </c>
    </row>
    <row r="26" spans="1:3" ht="15.5" hidden="1" outlineLevel="1" x14ac:dyDescent="0.35">
      <c r="A26" s="12" t="s">
        <v>58</v>
      </c>
      <c r="B26" s="20">
        <v>0</v>
      </c>
      <c r="C26" s="19">
        <f t="shared" si="2"/>
        <v>0</v>
      </c>
    </row>
    <row r="27" spans="1:3" ht="31" collapsed="1" x14ac:dyDescent="0.35">
      <c r="A27" s="10" t="s">
        <v>64</v>
      </c>
      <c r="B27" s="11">
        <f>SUM(B28:B33)</f>
        <v>971665.96173018403</v>
      </c>
      <c r="C27" s="11">
        <f t="shared" si="2"/>
        <v>1943.331923460368</v>
      </c>
    </row>
    <row r="28" spans="1:3" ht="15.5" hidden="1" outlineLevel="1" x14ac:dyDescent="0.35">
      <c r="A28" s="21" t="s">
        <v>65</v>
      </c>
      <c r="B28" s="22">
        <f>B40/(B8+B9+B10+B11)</f>
        <v>665927.82060570933</v>
      </c>
      <c r="C28" s="22">
        <f t="shared" si="2"/>
        <v>1331.8556412114187</v>
      </c>
    </row>
    <row r="29" spans="1:3" ht="15.5" hidden="1" outlineLevel="1" x14ac:dyDescent="0.35">
      <c r="A29" s="21" t="s">
        <v>66</v>
      </c>
      <c r="B29" s="22">
        <f>B48/B7</f>
        <v>97811.9113172004</v>
      </c>
      <c r="C29" s="22">
        <f t="shared" si="2"/>
        <v>195.6238226344008</v>
      </c>
    </row>
    <row r="30" spans="1:3" ht="15.5" hidden="1" outlineLevel="1" x14ac:dyDescent="0.35">
      <c r="A30" s="21" t="s">
        <v>67</v>
      </c>
      <c r="B30" s="22">
        <f>B50/B7</f>
        <v>28568.720620199972</v>
      </c>
      <c r="C30" s="22">
        <f t="shared" si="2"/>
        <v>57.137441240399944</v>
      </c>
    </row>
    <row r="31" spans="1:3" ht="15.5" hidden="1" outlineLevel="1" x14ac:dyDescent="0.35">
      <c r="A31" s="21" t="s">
        <v>18</v>
      </c>
      <c r="B31" s="22">
        <f>B52/B7</f>
        <v>179357.50918707435</v>
      </c>
      <c r="C31" s="22">
        <f t="shared" si="2"/>
        <v>358.71501837414871</v>
      </c>
    </row>
    <row r="32" spans="1:3" ht="15.5" hidden="1" outlineLevel="1" x14ac:dyDescent="0.35">
      <c r="A32" s="21" t="s">
        <v>68</v>
      </c>
      <c r="B32" s="22">
        <v>0</v>
      </c>
      <c r="C32" s="22">
        <f t="shared" si="2"/>
        <v>0</v>
      </c>
    </row>
    <row r="33" spans="1:6" ht="15.5" hidden="1" outlineLevel="1" x14ac:dyDescent="0.35">
      <c r="A33" s="21" t="s">
        <v>69</v>
      </c>
      <c r="B33" s="22">
        <v>0</v>
      </c>
      <c r="C33" s="22">
        <f t="shared" si="2"/>
        <v>0</v>
      </c>
    </row>
    <row r="34" spans="1:6" ht="15.5" collapsed="1" x14ac:dyDescent="0.35">
      <c r="A34" s="33" t="s">
        <v>70</v>
      </c>
      <c r="B34" s="34">
        <f>SUM(B35:B38)</f>
        <v>10713300000</v>
      </c>
      <c r="C34" s="34">
        <f t="shared" si="2"/>
        <v>21426600</v>
      </c>
    </row>
    <row r="35" spans="1:6" ht="15.5" hidden="1" outlineLevel="1" x14ac:dyDescent="0.35">
      <c r="A35" s="12" t="s">
        <v>55</v>
      </c>
      <c r="B35" s="15">
        <f>(B8*B18)</f>
        <v>0</v>
      </c>
      <c r="C35" s="15">
        <f t="shared" si="2"/>
        <v>0</v>
      </c>
    </row>
    <row r="36" spans="1:6" ht="15.5" hidden="1" outlineLevel="1" x14ac:dyDescent="0.35">
      <c r="A36" s="12" t="s">
        <v>246</v>
      </c>
      <c r="B36" s="15">
        <f>(B9*B19)</f>
        <v>9971200000</v>
      </c>
      <c r="C36" s="15">
        <f t="shared" si="2"/>
        <v>19942400</v>
      </c>
    </row>
    <row r="37" spans="1:6" ht="15.5" hidden="1" outlineLevel="1" x14ac:dyDescent="0.35">
      <c r="A37" s="12" t="s">
        <v>57</v>
      </c>
      <c r="B37" s="15">
        <f>(B10*B20)</f>
        <v>430100000</v>
      </c>
      <c r="C37" s="15">
        <f t="shared" si="2"/>
        <v>860200</v>
      </c>
    </row>
    <row r="38" spans="1:6" ht="15.5" hidden="1" outlineLevel="1" x14ac:dyDescent="0.35">
      <c r="A38" s="12" t="s">
        <v>58</v>
      </c>
      <c r="B38" s="15">
        <f>(B16*B21)</f>
        <v>312000000</v>
      </c>
      <c r="C38" s="15">
        <f t="shared" si="2"/>
        <v>624000</v>
      </c>
    </row>
    <row r="39" spans="1:6" ht="15.5" x14ac:dyDescent="0.35">
      <c r="A39" s="23" t="s">
        <v>71</v>
      </c>
      <c r="B39" s="11">
        <f>B40+B48+B50+B52+B62+B66+B68+B70</f>
        <v>7505397010.7965498</v>
      </c>
      <c r="C39" s="11">
        <f t="shared" si="2"/>
        <v>15010794.021593099</v>
      </c>
    </row>
    <row r="40" spans="1:6" ht="15.5" collapsed="1" x14ac:dyDescent="0.35">
      <c r="A40" s="24" t="s">
        <v>72</v>
      </c>
      <c r="B40" s="25">
        <f>SUM(B41:B47)</f>
        <v>4595567890</v>
      </c>
      <c r="C40" s="25">
        <f t="shared" si="2"/>
        <v>9191135.7799999993</v>
      </c>
      <c r="F40" s="197">
        <f>B40/20</f>
        <v>229778394.5</v>
      </c>
    </row>
    <row r="41" spans="1:6" ht="15.5" hidden="1" outlineLevel="1" x14ac:dyDescent="0.35">
      <c r="A41" s="32" t="s">
        <v>224</v>
      </c>
      <c r="B41" s="15">
        <f>B7*'Dashboard все'!I16</f>
        <v>4595567890</v>
      </c>
      <c r="C41" s="15">
        <f t="shared" si="2"/>
        <v>9191135.7799999993</v>
      </c>
      <c r="D41" s="209"/>
      <c r="F41" s="197"/>
    </row>
    <row r="42" spans="1:6" ht="31" hidden="1" outlineLevel="1" x14ac:dyDescent="0.35">
      <c r="A42" s="32" t="s">
        <v>73</v>
      </c>
      <c r="B42" s="15">
        <f>B25*B7</f>
        <v>0</v>
      </c>
      <c r="C42" s="15">
        <f t="shared" si="2"/>
        <v>0</v>
      </c>
      <c r="F42" s="197"/>
    </row>
    <row r="43" spans="1:6" ht="15.5" hidden="1" outlineLevel="1" x14ac:dyDescent="0.35">
      <c r="A43" s="32" t="s">
        <v>74</v>
      </c>
      <c r="B43" s="15"/>
      <c r="C43" s="15">
        <f t="shared" si="2"/>
        <v>0</v>
      </c>
      <c r="F43" s="197"/>
    </row>
    <row r="44" spans="1:6" ht="15.5" hidden="1" outlineLevel="1" x14ac:dyDescent="0.35">
      <c r="A44" s="32" t="s">
        <v>75</v>
      </c>
      <c r="B44" s="15"/>
      <c r="C44" s="15">
        <f t="shared" si="2"/>
        <v>0</v>
      </c>
      <c r="F44" s="197"/>
    </row>
    <row r="45" spans="1:6" ht="15.5" hidden="1" outlineLevel="1" x14ac:dyDescent="0.35">
      <c r="A45" s="32" t="s">
        <v>76</v>
      </c>
      <c r="B45" s="15"/>
      <c r="C45" s="15">
        <f t="shared" si="2"/>
        <v>0</v>
      </c>
      <c r="E45" s="197"/>
      <c r="F45" s="197"/>
    </row>
    <row r="46" spans="1:6" ht="15.5" hidden="1" outlineLevel="1" x14ac:dyDescent="0.35">
      <c r="A46" s="32" t="s">
        <v>77</v>
      </c>
      <c r="B46" s="15"/>
      <c r="C46" s="15">
        <f t="shared" si="2"/>
        <v>0</v>
      </c>
      <c r="F46" s="197"/>
    </row>
    <row r="47" spans="1:6" ht="15.5" hidden="1" outlineLevel="1" x14ac:dyDescent="0.35">
      <c r="A47" s="32" t="s">
        <v>78</v>
      </c>
      <c r="B47" s="15"/>
      <c r="C47" s="15">
        <f t="shared" si="2"/>
        <v>0</v>
      </c>
      <c r="E47" s="209"/>
      <c r="F47" s="197"/>
    </row>
    <row r="48" spans="1:6" ht="15.5" collapsed="1" x14ac:dyDescent="0.35">
      <c r="A48" s="24" t="s">
        <v>79</v>
      </c>
      <c r="B48" s="25">
        <f>B49</f>
        <v>675000000</v>
      </c>
      <c r="C48" s="25">
        <f t="shared" si="2"/>
        <v>1350000</v>
      </c>
      <c r="D48" t="s">
        <v>454</v>
      </c>
      <c r="F48" s="197">
        <f>B34/24</f>
        <v>446387500</v>
      </c>
    </row>
    <row r="49" spans="1:6" ht="15.5" hidden="1" outlineLevel="1" x14ac:dyDescent="0.35">
      <c r="A49" s="32" t="s">
        <v>66</v>
      </c>
      <c r="B49" s="15">
        <f>'Dashboard все'!C19</f>
        <v>675000000</v>
      </c>
      <c r="C49" s="15">
        <f t="shared" si="2"/>
        <v>1350000</v>
      </c>
      <c r="F49" s="197"/>
    </row>
    <row r="50" spans="1:6" ht="15.5" collapsed="1" x14ac:dyDescent="0.35">
      <c r="A50" s="24" t="s">
        <v>80</v>
      </c>
      <c r="B50" s="25">
        <f>SUM(B51:B51)</f>
        <v>197152741</v>
      </c>
      <c r="C50" s="25">
        <f t="shared" si="2"/>
        <v>394305.48200000002</v>
      </c>
      <c r="D50" s="213"/>
      <c r="F50" s="197">
        <f>F48*45%</f>
        <v>200874375</v>
      </c>
    </row>
    <row r="51" spans="1:6" ht="15.5" hidden="1" outlineLevel="1" x14ac:dyDescent="0.35">
      <c r="A51" s="32" t="s">
        <v>81</v>
      </c>
      <c r="B51" s="15">
        <f>B7*'Dashboard все'!I20</f>
        <v>197152741</v>
      </c>
      <c r="C51" s="15">
        <f t="shared" si="2"/>
        <v>394305.48200000002</v>
      </c>
      <c r="F51" s="197"/>
    </row>
    <row r="52" spans="1:6" ht="15.5" collapsed="1" x14ac:dyDescent="0.35">
      <c r="A52" s="24" t="s">
        <v>82</v>
      </c>
      <c r="B52" s="25">
        <f>SUM(B53:B61)</f>
        <v>1237746170.9000001</v>
      </c>
      <c r="C52" s="25">
        <f t="shared" si="2"/>
        <v>2475492.3418000001</v>
      </c>
      <c r="D52" s="213"/>
      <c r="F52" s="197"/>
    </row>
    <row r="53" spans="1:6" ht="15.5" hidden="1" outlineLevel="1" x14ac:dyDescent="0.35">
      <c r="A53" s="32" t="s">
        <v>83</v>
      </c>
      <c r="B53" s="15">
        <f>'Dashboard все'!I17*'PnL все'!B7</f>
        <v>447216142</v>
      </c>
      <c r="C53" s="15">
        <f t="shared" si="2"/>
        <v>894432.28399999999</v>
      </c>
      <c r="D53" s="214">
        <f>B53/B41</f>
        <v>9.7314663324449338E-2</v>
      </c>
      <c r="E53" s="210"/>
      <c r="F53" s="197"/>
    </row>
    <row r="54" spans="1:6" ht="15.5" hidden="1" outlineLevel="1" x14ac:dyDescent="0.35">
      <c r="A54" s="32" t="s">
        <v>84</v>
      </c>
      <c r="B54" s="293">
        <f>B40*1%</f>
        <v>45955678.899999999</v>
      </c>
      <c r="C54" s="293">
        <f t="shared" si="2"/>
        <v>91911.357799999998</v>
      </c>
      <c r="D54" s="213"/>
      <c r="F54" s="197"/>
    </row>
    <row r="55" spans="1:6" ht="15.5" hidden="1" outlineLevel="1" x14ac:dyDescent="0.35">
      <c r="A55" s="32" t="s">
        <v>85</v>
      </c>
      <c r="B55" s="15">
        <v>0</v>
      </c>
      <c r="C55" s="15">
        <f t="shared" si="2"/>
        <v>0</v>
      </c>
      <c r="F55" s="197"/>
    </row>
    <row r="56" spans="1:6" ht="15.5" hidden="1" outlineLevel="1" x14ac:dyDescent="0.35">
      <c r="A56" s="32" t="s">
        <v>86</v>
      </c>
      <c r="B56" s="15">
        <v>0</v>
      </c>
      <c r="C56" s="15">
        <f t="shared" si="2"/>
        <v>0</v>
      </c>
      <c r="F56" s="197"/>
    </row>
    <row r="57" spans="1:6" ht="15.5" hidden="1" outlineLevel="1" x14ac:dyDescent="0.35">
      <c r="A57" s="32" t="s">
        <v>87</v>
      </c>
      <c r="B57" s="15">
        <v>0</v>
      </c>
      <c r="C57" s="15">
        <f t="shared" si="2"/>
        <v>0</v>
      </c>
      <c r="F57" s="197"/>
    </row>
    <row r="58" spans="1:6" ht="15.5" hidden="1" outlineLevel="1" x14ac:dyDescent="0.35">
      <c r="A58" s="32" t="s">
        <v>88</v>
      </c>
      <c r="B58" s="293">
        <f>B34*'Dashboard все'!I19</f>
        <v>257119200</v>
      </c>
      <c r="C58" s="293">
        <f t="shared" si="2"/>
        <v>514238.4</v>
      </c>
      <c r="D58" s="209"/>
      <c r="F58" s="197"/>
    </row>
    <row r="59" spans="1:6" ht="15.5" hidden="1" outlineLevel="1" x14ac:dyDescent="0.35">
      <c r="A59" s="32" t="s">
        <v>89</v>
      </c>
      <c r="B59" s="15">
        <v>0</v>
      </c>
      <c r="C59" s="15">
        <f t="shared" si="2"/>
        <v>0</v>
      </c>
      <c r="F59" s="197"/>
    </row>
    <row r="60" spans="1:6" ht="15.5" hidden="1" outlineLevel="1" x14ac:dyDescent="0.35">
      <c r="A60" s="32" t="s">
        <v>90</v>
      </c>
      <c r="B60" s="15">
        <f>B35*5%*30%*0</f>
        <v>0</v>
      </c>
      <c r="C60" s="15">
        <f t="shared" si="2"/>
        <v>0</v>
      </c>
      <c r="F60" s="197"/>
    </row>
    <row r="61" spans="1:6" ht="15.5" hidden="1" outlineLevel="1" x14ac:dyDescent="0.35">
      <c r="A61" s="32" t="s">
        <v>225</v>
      </c>
      <c r="B61" s="293">
        <f>B34*'Dashboard все'!I18</f>
        <v>487455150</v>
      </c>
      <c r="C61" s="293">
        <f t="shared" si="2"/>
        <v>974910.3</v>
      </c>
      <c r="F61" s="197"/>
    </row>
    <row r="62" spans="1:6" ht="15.5" collapsed="1" x14ac:dyDescent="0.35">
      <c r="A62" s="24" t="s">
        <v>92</v>
      </c>
      <c r="B62" s="25">
        <f>SUM(B63:B65)</f>
        <v>0</v>
      </c>
      <c r="C62" s="25">
        <f t="shared" si="2"/>
        <v>0</v>
      </c>
      <c r="F62" s="197"/>
    </row>
    <row r="63" spans="1:6" ht="15.5" hidden="1" outlineLevel="1" x14ac:dyDescent="0.35">
      <c r="A63" s="32" t="s">
        <v>93</v>
      </c>
      <c r="B63" s="15">
        <v>0</v>
      </c>
      <c r="C63" s="15">
        <f t="shared" si="2"/>
        <v>0</v>
      </c>
      <c r="F63" s="197"/>
    </row>
    <row r="64" spans="1:6" ht="15.5" hidden="1" outlineLevel="1" x14ac:dyDescent="0.35">
      <c r="A64" s="32" t="s">
        <v>94</v>
      </c>
      <c r="B64" s="15">
        <v>0</v>
      </c>
      <c r="C64" s="15">
        <f t="shared" si="2"/>
        <v>0</v>
      </c>
      <c r="F64" s="197"/>
    </row>
    <row r="65" spans="1:6" ht="15.5" hidden="1" outlineLevel="1" x14ac:dyDescent="0.35">
      <c r="A65" s="32" t="s">
        <v>95</v>
      </c>
      <c r="B65" s="15">
        <v>0</v>
      </c>
      <c r="C65" s="15">
        <f t="shared" si="2"/>
        <v>0</v>
      </c>
      <c r="F65" s="197"/>
    </row>
    <row r="66" spans="1:6" ht="15.5" collapsed="1" x14ac:dyDescent="0.35">
      <c r="A66" s="24" t="s">
        <v>69</v>
      </c>
      <c r="B66" s="25">
        <f>SUM(B67:B67)</f>
        <v>112218750</v>
      </c>
      <c r="C66" s="25">
        <f t="shared" si="2"/>
        <v>224437.5</v>
      </c>
      <c r="F66" s="197"/>
    </row>
    <row r="67" spans="1:6" ht="19.25" hidden="1" customHeight="1" outlineLevel="1" x14ac:dyDescent="0.35">
      <c r="A67" s="18" t="s">
        <v>69</v>
      </c>
      <c r="B67" s="13">
        <f>Credit!D8</f>
        <v>112218750</v>
      </c>
      <c r="C67" s="13">
        <f t="shared" si="2"/>
        <v>224437.5</v>
      </c>
      <c r="F67" s="197"/>
    </row>
    <row r="68" spans="1:6" ht="15.5" hidden="1" collapsed="1" x14ac:dyDescent="0.35">
      <c r="A68" s="23" t="s">
        <v>96</v>
      </c>
      <c r="B68" s="11">
        <f>SUM(B69:B69)</f>
        <v>0</v>
      </c>
      <c r="C68" s="11">
        <f t="shared" si="2"/>
        <v>0</v>
      </c>
      <c r="F68" s="197"/>
    </row>
    <row r="69" spans="1:6" ht="15.5" hidden="1" outlineLevel="1" x14ac:dyDescent="0.35">
      <c r="A69" s="26" t="s">
        <v>96</v>
      </c>
      <c r="B69" s="15"/>
      <c r="C69" s="15">
        <f t="shared" si="2"/>
        <v>0</v>
      </c>
      <c r="F69" s="197"/>
    </row>
    <row r="70" spans="1:6" ht="15.65" customHeight="1" collapsed="1" x14ac:dyDescent="0.35">
      <c r="A70" s="23" t="s">
        <v>34</v>
      </c>
      <c r="B70" s="25">
        <f>SUM(B71:B71)</f>
        <v>687711458.89655018</v>
      </c>
      <c r="C70" s="25">
        <f>B70/$B$4</f>
        <v>1375422.9177931005</v>
      </c>
      <c r="F70" s="197"/>
    </row>
    <row r="71" spans="1:6" ht="15.5" hidden="1" outlineLevel="1" x14ac:dyDescent="0.35">
      <c r="A71" s="26" t="s">
        <v>97</v>
      </c>
      <c r="B71" s="15">
        <f>IF('НДС расчет'!C8&lt;0,0,'НДС расчет'!C8)</f>
        <v>687711458.89655018</v>
      </c>
      <c r="C71" s="15">
        <f>B71/$B$4</f>
        <v>1375422.9177931005</v>
      </c>
      <c r="F71" s="197"/>
    </row>
    <row r="72" spans="1:6" ht="15.5" x14ac:dyDescent="0.35">
      <c r="A72" s="28" t="s">
        <v>98</v>
      </c>
      <c r="B72" s="11">
        <f>B34-B39</f>
        <v>3207902989.2034502</v>
      </c>
      <c r="C72" s="11">
        <f>C34-C39</f>
        <v>6415805.9784069005</v>
      </c>
      <c r="F72" s="197"/>
    </row>
    <row r="73" spans="1:6" ht="16" thickBot="1" x14ac:dyDescent="0.4">
      <c r="A73" s="29" t="s">
        <v>99</v>
      </c>
      <c r="B73" s="30">
        <f>IF((B72)&gt;0,(B72)*20%,0)</f>
        <v>641580597.84069002</v>
      </c>
      <c r="C73" s="30">
        <f>IF((C72)&gt;0,(C72)*20%,0)</f>
        <v>1283161.1956813801</v>
      </c>
      <c r="F73" s="197"/>
    </row>
    <row r="74" spans="1:6" ht="15.5" x14ac:dyDescent="0.35">
      <c r="A74" s="35" t="s">
        <v>100</v>
      </c>
      <c r="B74" s="36">
        <f>B72-B73</f>
        <v>2566322391.3627601</v>
      </c>
      <c r="C74" s="36">
        <f>C72-C73</f>
        <v>5132644.7827255204</v>
      </c>
      <c r="F74" s="197"/>
    </row>
    <row r="75" spans="1:6" ht="16" thickBot="1" x14ac:dyDescent="0.4">
      <c r="A75" s="37" t="s">
        <v>101</v>
      </c>
      <c r="B75" s="42">
        <f>B74/B34</f>
        <v>0.23954546137630423</v>
      </c>
      <c r="C75" s="42">
        <f>C74/C34</f>
        <v>0.23954546137630425</v>
      </c>
      <c r="F75" s="197"/>
    </row>
    <row r="76" spans="1:6" x14ac:dyDescent="0.35">
      <c r="F76" s="197"/>
    </row>
    <row r="77" spans="1:6" x14ac:dyDescent="0.35">
      <c r="B77" s="209"/>
      <c r="C77" s="211"/>
    </row>
    <row r="78" spans="1:6" x14ac:dyDescent="0.35">
      <c r="B78" s="206"/>
      <c r="C78" s="206"/>
    </row>
    <row r="79" spans="1:6" x14ac:dyDescent="0.35">
      <c r="B79" s="207"/>
      <c r="C79" s="207"/>
    </row>
    <row r="80" spans="1:6" x14ac:dyDescent="0.35">
      <c r="B80" s="208"/>
      <c r="C80" s="208"/>
    </row>
  </sheetData>
  <mergeCells count="4">
    <mergeCell ref="B3:C3"/>
    <mergeCell ref="B4:C4"/>
    <mergeCell ref="B5:C5"/>
    <mergeCell ref="B6: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603B-4EC1-42AC-88D7-F5F925F1E9D5}">
  <sheetPr>
    <tabColor rgb="FF92D050"/>
  </sheetPr>
  <dimension ref="B3:L36"/>
  <sheetViews>
    <sheetView showGridLines="0" topLeftCell="E1" zoomScale="80" zoomScaleNormal="80" workbookViewId="0">
      <selection activeCell="L17" sqref="L17:L19"/>
    </sheetView>
  </sheetViews>
  <sheetFormatPr defaultRowHeight="14.5" x14ac:dyDescent="0.35"/>
  <cols>
    <col min="1" max="1" width="2.6328125" customWidth="1"/>
    <col min="2" max="2" width="37.1796875" customWidth="1"/>
    <col min="3" max="3" width="17.453125" bestFit="1" customWidth="1"/>
    <col min="5" max="5" width="44.08984375" bestFit="1" customWidth="1"/>
    <col min="6" max="6" width="17.453125" bestFit="1" customWidth="1"/>
    <col min="7" max="7" width="6" customWidth="1"/>
    <col min="8" max="8" width="29.08984375" customWidth="1"/>
    <col min="9" max="9" width="17.453125" customWidth="1"/>
    <col min="10" max="10" width="12.6328125" customWidth="1"/>
    <col min="11" max="11" width="29" customWidth="1"/>
    <col min="12" max="12" width="15" customWidth="1"/>
    <col min="13" max="13" width="12.08984375" bestFit="1" customWidth="1"/>
    <col min="14" max="14" width="13.453125" customWidth="1"/>
  </cols>
  <sheetData>
    <row r="3" spans="2:12" x14ac:dyDescent="0.35">
      <c r="B3" s="1" t="s">
        <v>0</v>
      </c>
      <c r="C3" s="2"/>
    </row>
    <row r="4" spans="2:12" x14ac:dyDescent="0.35">
      <c r="B4" t="s">
        <v>1</v>
      </c>
      <c r="C4" s="5">
        <f>'PnL2-8'!B74</f>
        <v>948825500.32827687</v>
      </c>
    </row>
    <row r="5" spans="2:12" x14ac:dyDescent="0.35">
      <c r="B5" t="s">
        <v>2</v>
      </c>
      <c r="C5" s="219">
        <f>[2]PnL!B75</f>
        <v>0.18947345213778036</v>
      </c>
    </row>
    <row r="6" spans="2:12" x14ac:dyDescent="0.35">
      <c r="B6" s="3" t="s">
        <v>3</v>
      </c>
      <c r="C6" s="219">
        <f>[2]DCF!C44</f>
        <v>0</v>
      </c>
    </row>
    <row r="7" spans="2:12" x14ac:dyDescent="0.35">
      <c r="B7" s="3" t="s">
        <v>4</v>
      </c>
      <c r="C7" s="4">
        <f>[2]DCF!C47*12</f>
        <v>0.20999999999999996</v>
      </c>
    </row>
    <row r="8" spans="2:12" x14ac:dyDescent="0.35">
      <c r="B8" s="3" t="s">
        <v>5</v>
      </c>
      <c r="C8" s="4">
        <f>[2]DCF!C41</f>
        <v>1.7278267760685466</v>
      </c>
    </row>
    <row r="9" spans="2:12" x14ac:dyDescent="0.35">
      <c r="B9" s="3" t="s">
        <v>6</v>
      </c>
      <c r="C9" s="5">
        <f>[2]DCF!C42</f>
        <v>972609651.23493052</v>
      </c>
    </row>
    <row r="10" spans="2:12" x14ac:dyDescent="0.35">
      <c r="B10" s="6" t="s">
        <v>7</v>
      </c>
      <c r="C10" s="5">
        <f>[2]DCF!C37</f>
        <v>1</v>
      </c>
    </row>
    <row r="11" spans="2:12" x14ac:dyDescent="0.35">
      <c r="B11" s="6" t="s">
        <v>8</v>
      </c>
      <c r="C11" s="5">
        <f>[2]DCF!C46</f>
        <v>1</v>
      </c>
    </row>
    <row r="14" spans="2:12" x14ac:dyDescent="0.35">
      <c r="B14" s="303" t="s">
        <v>9</v>
      </c>
      <c r="C14" s="304"/>
      <c r="D14" s="97"/>
      <c r="E14" s="97"/>
      <c r="F14" s="97"/>
      <c r="G14" s="97"/>
      <c r="H14" s="97"/>
      <c r="I14" s="97"/>
      <c r="J14" s="97"/>
      <c r="K14" s="97"/>
      <c r="L14" s="98"/>
    </row>
    <row r="15" spans="2:12" x14ac:dyDescent="0.35">
      <c r="B15" s="99" t="s">
        <v>10</v>
      </c>
      <c r="C15" s="6"/>
      <c r="E15" s="95" t="s">
        <v>11</v>
      </c>
      <c r="H15" s="100" t="s">
        <v>12</v>
      </c>
      <c r="K15" s="300" t="s">
        <v>227</v>
      </c>
      <c r="L15" s="306">
        <f>SUM(L16:L19)</f>
        <v>5252</v>
      </c>
    </row>
    <row r="16" spans="2:12" ht="16" x14ac:dyDescent="0.4">
      <c r="B16" s="102" t="s">
        <v>13</v>
      </c>
      <c r="C16" s="301">
        <v>0.15</v>
      </c>
      <c r="E16" s="6" t="s">
        <v>14</v>
      </c>
      <c r="F16" s="299">
        <v>0</v>
      </c>
      <c r="G16" s="299"/>
      <c r="H16" s="6" t="s">
        <v>15</v>
      </c>
      <c r="I16" s="299">
        <f>(4550567890+45000000)/L15</f>
        <v>875012.92650418892</v>
      </c>
      <c r="K16" s="302" t="s">
        <v>60</v>
      </c>
      <c r="L16" s="305">
        <v>0</v>
      </c>
    </row>
    <row r="17" spans="2:12" ht="16" x14ac:dyDescent="0.4">
      <c r="B17" s="102" t="s">
        <v>16</v>
      </c>
      <c r="C17" s="301">
        <v>500</v>
      </c>
      <c r="E17" s="6" t="s">
        <v>17</v>
      </c>
      <c r="F17" s="299">
        <v>1600000</v>
      </c>
      <c r="G17" s="299"/>
      <c r="H17" s="6" t="s">
        <v>18</v>
      </c>
      <c r="I17" s="299">
        <f>447216142/L15</f>
        <v>85151.588347296274</v>
      </c>
      <c r="K17" s="302" t="s">
        <v>221</v>
      </c>
      <c r="L17" s="305">
        <v>4836</v>
      </c>
    </row>
    <row r="18" spans="2:12" ht="16" x14ac:dyDescent="0.4">
      <c r="B18" s="102" t="s">
        <v>19</v>
      </c>
      <c r="C18" s="318">
        <v>90000</v>
      </c>
      <c r="E18" s="6" t="s">
        <v>244</v>
      </c>
      <c r="F18" s="299"/>
      <c r="G18" s="299"/>
      <c r="H18" s="6" t="s">
        <v>21</v>
      </c>
      <c r="I18" s="307">
        <v>4.5499999999999999E-2</v>
      </c>
      <c r="K18" s="302" t="s">
        <v>245</v>
      </c>
      <c r="L18" s="305">
        <v>0</v>
      </c>
    </row>
    <row r="19" spans="2:12" ht="16" x14ac:dyDescent="0.4">
      <c r="B19" s="102" t="s">
        <v>22</v>
      </c>
      <c r="C19" s="299">
        <f>C16*100*C18*C17</f>
        <v>675000000</v>
      </c>
      <c r="E19" s="6" t="s">
        <v>23</v>
      </c>
      <c r="F19" s="299">
        <v>12000000</v>
      </c>
      <c r="G19" s="299"/>
      <c r="H19" s="6" t="s">
        <v>24</v>
      </c>
      <c r="I19" s="308">
        <v>2.4E-2</v>
      </c>
      <c r="K19" s="302" t="s">
        <v>223</v>
      </c>
      <c r="L19" s="305">
        <f>L26*16</f>
        <v>416</v>
      </c>
    </row>
    <row r="20" spans="2:12" x14ac:dyDescent="0.35">
      <c r="B20" s="105"/>
      <c r="H20" s="6" t="s">
        <v>31</v>
      </c>
      <c r="I20" s="299">
        <f>197152741/L15</f>
        <v>37538.60262757045</v>
      </c>
      <c r="L20" s="101"/>
    </row>
    <row r="21" spans="2:12" x14ac:dyDescent="0.35">
      <c r="B21" s="105"/>
      <c r="L21" s="101"/>
    </row>
    <row r="22" spans="2:12" x14ac:dyDescent="0.35">
      <c r="B22" s="99" t="s">
        <v>26</v>
      </c>
      <c r="E22" s="95" t="s">
        <v>27</v>
      </c>
      <c r="H22" s="95" t="s">
        <v>28</v>
      </c>
      <c r="K22" s="300" t="s">
        <v>228</v>
      </c>
      <c r="L22" s="306">
        <f>SUM(L23:L26)</f>
        <v>50</v>
      </c>
    </row>
    <row r="23" spans="2:12" ht="16" x14ac:dyDescent="0.4">
      <c r="B23" s="102" t="s">
        <v>29</v>
      </c>
      <c r="C23">
        <v>10</v>
      </c>
      <c r="E23" t="s">
        <v>30</v>
      </c>
      <c r="H23" s="6" t="s">
        <v>34</v>
      </c>
      <c r="I23" s="299">
        <f>[2]PnL!B70</f>
        <v>343228472.68965435</v>
      </c>
      <c r="K23" s="302" t="s">
        <v>60</v>
      </c>
      <c r="L23" s="305">
        <v>0</v>
      </c>
    </row>
    <row r="24" spans="2:12" ht="16" x14ac:dyDescent="0.4">
      <c r="B24" s="102" t="s">
        <v>32</v>
      </c>
      <c r="C24" s="197"/>
      <c r="E24" s="6" t="s">
        <v>33</v>
      </c>
      <c r="F24" s="299">
        <f>C19</f>
        <v>675000000</v>
      </c>
      <c r="G24" s="299"/>
      <c r="H24" s="6" t="s">
        <v>37</v>
      </c>
      <c r="I24" s="299">
        <f>[2]PnL!B73</f>
        <v>381296375.08206922</v>
      </c>
      <c r="K24" s="302" t="s">
        <v>221</v>
      </c>
      <c r="L24" s="305">
        <v>22</v>
      </c>
    </row>
    <row r="25" spans="2:12" ht="16" x14ac:dyDescent="0.4">
      <c r="B25" s="102" t="s">
        <v>35</v>
      </c>
      <c r="C25" s="197">
        <f>[2]PnL!B7</f>
        <v>5252</v>
      </c>
      <c r="E25" s="6" t="s">
        <v>36</v>
      </c>
      <c r="F25" s="299">
        <v>18</v>
      </c>
      <c r="G25" s="299"/>
      <c r="K25" s="302" t="s">
        <v>245</v>
      </c>
      <c r="L25" s="305">
        <v>2</v>
      </c>
    </row>
    <row r="26" spans="2:12" ht="16" x14ac:dyDescent="0.4">
      <c r="B26" s="102" t="s">
        <v>38</v>
      </c>
      <c r="C26" s="197">
        <f>C25</f>
        <v>5252</v>
      </c>
      <c r="E26" t="s">
        <v>39</v>
      </c>
      <c r="F26" s="299">
        <f>[2]PnL!B74</f>
        <v>1525185500.3282769</v>
      </c>
      <c r="G26" s="299"/>
      <c r="H26" s="299"/>
      <c r="I26" s="299"/>
      <c r="K26" s="302" t="s">
        <v>223</v>
      </c>
      <c r="L26" s="305">
        <v>26</v>
      </c>
    </row>
    <row r="27" spans="2:12" x14ac:dyDescent="0.35">
      <c r="B27" s="105"/>
      <c r="E27" t="s">
        <v>40</v>
      </c>
      <c r="F27" s="173">
        <v>46204</v>
      </c>
      <c r="G27" s="173"/>
      <c r="H27" s="173"/>
      <c r="I27" s="173"/>
      <c r="L27" s="101"/>
    </row>
    <row r="28" spans="2:12" x14ac:dyDescent="0.35">
      <c r="B28" s="102" t="s">
        <v>41</v>
      </c>
      <c r="C28">
        <v>18</v>
      </c>
      <c r="E28" t="s">
        <v>42</v>
      </c>
      <c r="F28">
        <v>21</v>
      </c>
      <c r="L28" s="101"/>
    </row>
    <row r="29" spans="2:12" x14ac:dyDescent="0.35">
      <c r="B29" s="102" t="s">
        <v>43</v>
      </c>
      <c r="C29" s="173">
        <v>46204</v>
      </c>
      <c r="E29" t="s">
        <v>44</v>
      </c>
      <c r="F29">
        <v>0</v>
      </c>
      <c r="L29" s="101"/>
    </row>
    <row r="30" spans="2:12" x14ac:dyDescent="0.35">
      <c r="B30" s="105"/>
      <c r="L30" s="101"/>
    </row>
    <row r="31" spans="2:12" x14ac:dyDescent="0.35"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10"/>
    </row>
    <row r="33" spans="2:9" x14ac:dyDescent="0.35">
      <c r="I33" s="212">
        <v>4550567889.8091927</v>
      </c>
    </row>
    <row r="34" spans="2:9" x14ac:dyDescent="0.35">
      <c r="B34" s="6" t="s">
        <v>30</v>
      </c>
      <c r="C34" s="9">
        <v>0</v>
      </c>
    </row>
    <row r="35" spans="2:9" x14ac:dyDescent="0.35">
      <c r="B35" s="6" t="s">
        <v>45</v>
      </c>
      <c r="C35" s="8">
        <v>0.21</v>
      </c>
      <c r="E35" s="173"/>
    </row>
    <row r="36" spans="2:9" x14ac:dyDescent="0.35">
      <c r="B36" s="6" t="s">
        <v>46</v>
      </c>
      <c r="C36" s="8">
        <v>0.25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ED95-67FF-473E-8623-16E803295826}">
  <sheetPr>
    <tabColor rgb="FF92D050"/>
    <outlinePr summaryBelow="0"/>
  </sheetPr>
  <dimension ref="A1:E80"/>
  <sheetViews>
    <sheetView zoomScale="95" zoomScaleNormal="110" workbookViewId="0">
      <selection activeCell="B34" sqref="B34"/>
    </sheetView>
  </sheetViews>
  <sheetFormatPr defaultRowHeight="14.5" outlineLevelRow="1" x14ac:dyDescent="0.35"/>
  <cols>
    <col min="1" max="1" width="50.90625" customWidth="1"/>
    <col min="2" max="3" width="20.36328125" customWidth="1"/>
    <col min="4" max="5" width="16.08984375" bestFit="1" customWidth="1"/>
    <col min="6" max="6" width="13.453125" bestFit="1" customWidth="1"/>
    <col min="7" max="7" width="12.36328125" bestFit="1" customWidth="1"/>
  </cols>
  <sheetData>
    <row r="1" spans="1:4" ht="15" thickBot="1" x14ac:dyDescent="0.4"/>
    <row r="2" spans="1:4" ht="15.5" x14ac:dyDescent="0.35">
      <c r="A2" s="39" t="s">
        <v>47</v>
      </c>
      <c r="B2" s="40" t="s">
        <v>48</v>
      </c>
      <c r="C2" s="40" t="s">
        <v>49</v>
      </c>
    </row>
    <row r="3" spans="1:4" ht="15.5" x14ac:dyDescent="0.35">
      <c r="A3" s="38" t="s">
        <v>50</v>
      </c>
      <c r="B3" s="380">
        <f>B48/B5/100/B4</f>
        <v>90000</v>
      </c>
      <c r="C3" s="381"/>
    </row>
    <row r="4" spans="1:4" ht="15.5" x14ac:dyDescent="0.35">
      <c r="A4" s="38" t="s">
        <v>51</v>
      </c>
      <c r="B4" s="380">
        <f>[2]Dashboard!C17</f>
        <v>500</v>
      </c>
      <c r="C4" s="381"/>
    </row>
    <row r="5" spans="1:4" ht="15.5" x14ac:dyDescent="0.35">
      <c r="A5" s="38" t="s">
        <v>52</v>
      </c>
      <c r="B5" s="382">
        <f>[2]Dashboard!C16</f>
        <v>0.15</v>
      </c>
      <c r="C5" s="383"/>
    </row>
    <row r="6" spans="1:4" ht="15.5" x14ac:dyDescent="0.35">
      <c r="A6" s="38" t="s">
        <v>29</v>
      </c>
      <c r="B6" s="380">
        <f>[2]Dashboard!C23</f>
        <v>10</v>
      </c>
      <c r="C6" s="381"/>
    </row>
    <row r="7" spans="1:4" ht="15.5" collapsed="1" x14ac:dyDescent="0.35">
      <c r="A7" s="10" t="s">
        <v>54</v>
      </c>
      <c r="B7" s="11">
        <f>SUM(B8:B11)</f>
        <v>5252</v>
      </c>
      <c r="C7" s="11">
        <f>SUM(C8:C11)</f>
        <v>5252</v>
      </c>
    </row>
    <row r="8" spans="1:4" ht="15.5" hidden="1" outlineLevel="1" x14ac:dyDescent="0.35">
      <c r="A8" s="12" t="s">
        <v>55</v>
      </c>
      <c r="B8" s="13">
        <f>[2]Dashboard!L16</f>
        <v>0</v>
      </c>
      <c r="C8" s="13">
        <f>B8</f>
        <v>0</v>
      </c>
    </row>
    <row r="9" spans="1:4" ht="15.5" hidden="1" outlineLevel="1" x14ac:dyDescent="0.35">
      <c r="A9" s="12" t="s">
        <v>57</v>
      </c>
      <c r="B9" s="13">
        <f>'Dashboard2-8'!L17</f>
        <v>4836</v>
      </c>
      <c r="C9" s="13">
        <f t="shared" ref="C9:C11" si="0">B9</f>
        <v>4836</v>
      </c>
      <c r="D9" s="214"/>
    </row>
    <row r="10" spans="1:4" ht="15.5" hidden="1" outlineLevel="1" x14ac:dyDescent="0.35">
      <c r="A10" s="12" t="s">
        <v>56</v>
      </c>
      <c r="B10" s="13">
        <f>[2]Dashboard!L18</f>
        <v>0</v>
      </c>
      <c r="C10" s="13">
        <f t="shared" si="0"/>
        <v>0</v>
      </c>
    </row>
    <row r="11" spans="1:4" ht="15.5" hidden="1" outlineLevel="1" x14ac:dyDescent="0.35">
      <c r="A11" s="12" t="s">
        <v>58</v>
      </c>
      <c r="B11" s="13">
        <f>'Dashboard2-8'!L19</f>
        <v>416</v>
      </c>
      <c r="C11" s="13">
        <f t="shared" si="0"/>
        <v>416</v>
      </c>
    </row>
    <row r="12" spans="1:4" ht="15.5" collapsed="1" x14ac:dyDescent="0.35">
      <c r="A12" s="10" t="s">
        <v>59</v>
      </c>
      <c r="B12" s="11">
        <f>SUM(B13:B16)</f>
        <v>48</v>
      </c>
      <c r="C12" s="11">
        <f>SUM(C13:C16)</f>
        <v>48</v>
      </c>
    </row>
    <row r="13" spans="1:4" ht="15.5" hidden="1" outlineLevel="1" x14ac:dyDescent="0.35">
      <c r="A13" s="12" t="s">
        <v>55</v>
      </c>
      <c r="B13" s="13">
        <f>[2]Dashboard!L23</f>
        <v>0</v>
      </c>
      <c r="C13" s="13">
        <f>B13</f>
        <v>0</v>
      </c>
    </row>
    <row r="14" spans="1:4" ht="15.5" hidden="1" outlineLevel="1" x14ac:dyDescent="0.35">
      <c r="A14" s="12" t="s">
        <v>57</v>
      </c>
      <c r="B14" s="13">
        <f>'Dashboard2-8'!L24</f>
        <v>22</v>
      </c>
      <c r="C14" s="13">
        <f t="shared" ref="C14:C16" si="1">B14</f>
        <v>22</v>
      </c>
    </row>
    <row r="15" spans="1:4" ht="15.5" hidden="1" outlineLevel="1" x14ac:dyDescent="0.35">
      <c r="A15" s="12" t="s">
        <v>56</v>
      </c>
      <c r="B15" s="13"/>
      <c r="C15" s="13">
        <f t="shared" si="1"/>
        <v>0</v>
      </c>
    </row>
    <row r="16" spans="1:4" ht="15.5" hidden="1" outlineLevel="1" x14ac:dyDescent="0.35">
      <c r="A16" s="12" t="s">
        <v>58</v>
      </c>
      <c r="B16" s="13">
        <f>'Dashboard2-8'!L26</f>
        <v>26</v>
      </c>
      <c r="C16" s="13">
        <f t="shared" si="1"/>
        <v>26</v>
      </c>
    </row>
    <row r="17" spans="1:3" ht="15.5" collapsed="1" x14ac:dyDescent="0.35">
      <c r="A17" s="10" t="s">
        <v>61</v>
      </c>
      <c r="B17" s="11">
        <f>B34/B7</f>
        <v>1532673.2673267326</v>
      </c>
      <c r="C17" s="11">
        <f>C34/C7</f>
        <v>3065.3465346534654</v>
      </c>
    </row>
    <row r="18" spans="1:3" ht="15.5" hidden="1" outlineLevel="1" x14ac:dyDescent="0.35">
      <c r="A18" s="12" t="s">
        <v>55</v>
      </c>
      <c r="B18" s="15">
        <f>[2]Dashboard!F16</f>
        <v>0</v>
      </c>
      <c r="C18" s="15">
        <f>B18/$B$4</f>
        <v>0</v>
      </c>
    </row>
    <row r="19" spans="1:3" ht="15.5" hidden="1" outlineLevel="1" x14ac:dyDescent="0.35">
      <c r="A19" s="12" t="s">
        <v>246</v>
      </c>
      <c r="B19" s="13">
        <f>'Dashboard2-8'!F17</f>
        <v>1600000</v>
      </c>
      <c r="C19" s="13">
        <f t="shared" ref="C19:C69" si="2">B19/$B$4</f>
        <v>3200</v>
      </c>
    </row>
    <row r="20" spans="1:3" ht="15.5" hidden="1" outlineLevel="1" x14ac:dyDescent="0.35">
      <c r="A20" s="12" t="s">
        <v>57</v>
      </c>
      <c r="B20" s="13">
        <f>[2]Dashboard!F18</f>
        <v>0</v>
      </c>
      <c r="C20" s="13">
        <f t="shared" si="2"/>
        <v>0</v>
      </c>
    </row>
    <row r="21" spans="1:3" ht="15.5" hidden="1" outlineLevel="1" x14ac:dyDescent="0.35">
      <c r="A21" s="12" t="s">
        <v>58</v>
      </c>
      <c r="B21" s="13">
        <f>'Dashboard2-8'!F19</f>
        <v>12000000</v>
      </c>
      <c r="C21" s="13">
        <f t="shared" si="2"/>
        <v>24000</v>
      </c>
    </row>
    <row r="22" spans="1:3" ht="15.5" collapsed="1" x14ac:dyDescent="0.35">
      <c r="A22" s="16" t="s">
        <v>63</v>
      </c>
      <c r="B22" s="17">
        <f>(B41+B42+B43+B44)/(B8+B9+B10+B11)</f>
        <v>875012.92650418892</v>
      </c>
      <c r="C22" s="17">
        <f t="shared" si="2"/>
        <v>1750.0258530083779</v>
      </c>
    </row>
    <row r="23" spans="1:3" ht="15.5" hidden="1" outlineLevel="1" x14ac:dyDescent="0.35">
      <c r="A23" s="12" t="s">
        <v>55</v>
      </c>
      <c r="B23" s="20">
        <f>'Dashboard2-8'!I16</f>
        <v>875012.92650418892</v>
      </c>
      <c r="C23" s="20">
        <f t="shared" si="2"/>
        <v>1750.0258530083779</v>
      </c>
    </row>
    <row r="24" spans="1:3" ht="15.5" hidden="1" outlineLevel="1" x14ac:dyDescent="0.35">
      <c r="A24" s="12" t="s">
        <v>57</v>
      </c>
      <c r="B24" s="20">
        <v>0</v>
      </c>
      <c r="C24" s="20">
        <f t="shared" si="2"/>
        <v>0</v>
      </c>
    </row>
    <row r="25" spans="1:3" ht="15.5" hidden="1" outlineLevel="1" x14ac:dyDescent="0.35">
      <c r="A25" s="12" t="s">
        <v>56</v>
      </c>
      <c r="B25" s="20">
        <v>0</v>
      </c>
      <c r="C25" s="20">
        <f t="shared" si="2"/>
        <v>0</v>
      </c>
    </row>
    <row r="26" spans="1:3" ht="15.5" hidden="1" outlineLevel="1" x14ac:dyDescent="0.35">
      <c r="A26" s="12" t="s">
        <v>58</v>
      </c>
      <c r="B26" s="20">
        <v>0</v>
      </c>
      <c r="C26" s="19">
        <f t="shared" si="2"/>
        <v>0</v>
      </c>
    </row>
    <row r="27" spans="1:3" ht="31" collapsed="1" x14ac:dyDescent="0.35">
      <c r="A27" s="10" t="s">
        <v>64</v>
      </c>
      <c r="B27" s="11">
        <f>SUM(B28:B33)</f>
        <v>1241496.5064546838</v>
      </c>
      <c r="C27" s="11">
        <f t="shared" si="2"/>
        <v>2482.9930129093677</v>
      </c>
    </row>
    <row r="28" spans="1:3" ht="15.5" hidden="1" outlineLevel="1" x14ac:dyDescent="0.35">
      <c r="A28" s="21" t="s">
        <v>65</v>
      </c>
      <c r="B28" s="22">
        <f>B40/(B8+B9+B10+B11)</f>
        <v>875012.92650418892</v>
      </c>
      <c r="C28" s="22">
        <f t="shared" si="2"/>
        <v>1750.0258530083779</v>
      </c>
    </row>
    <row r="29" spans="1:3" ht="15.5" hidden="1" outlineLevel="1" x14ac:dyDescent="0.35">
      <c r="A29" s="21" t="s">
        <v>66</v>
      </c>
      <c r="B29" s="22">
        <f>B48/B7</f>
        <v>128522.46763137852</v>
      </c>
      <c r="C29" s="22">
        <f t="shared" si="2"/>
        <v>257.04493526275701</v>
      </c>
    </row>
    <row r="30" spans="1:3" ht="15.5" hidden="1" outlineLevel="1" x14ac:dyDescent="0.35">
      <c r="A30" s="21" t="s">
        <v>67</v>
      </c>
      <c r="B30" s="22">
        <f>B50/B7</f>
        <v>37538.60262757045</v>
      </c>
      <c r="C30" s="22">
        <f t="shared" si="2"/>
        <v>75.077205255140896</v>
      </c>
    </row>
    <row r="31" spans="1:3" ht="15.5" hidden="1" outlineLevel="1" x14ac:dyDescent="0.35">
      <c r="A31" s="21" t="s">
        <v>18</v>
      </c>
      <c r="B31" s="22">
        <f>B52/B7</f>
        <v>200422.50969154609</v>
      </c>
      <c r="C31" s="22">
        <f t="shared" si="2"/>
        <v>400.84501938309216</v>
      </c>
    </row>
    <row r="32" spans="1:3" ht="15.5" hidden="1" outlineLevel="1" x14ac:dyDescent="0.35">
      <c r="A32" s="21" t="s">
        <v>68</v>
      </c>
      <c r="B32" s="22">
        <v>0</v>
      </c>
      <c r="C32" s="22">
        <f t="shared" si="2"/>
        <v>0</v>
      </c>
    </row>
    <row r="33" spans="1:5" ht="15.5" hidden="1" outlineLevel="1" x14ac:dyDescent="0.35">
      <c r="A33" s="21" t="s">
        <v>69</v>
      </c>
      <c r="B33" s="22">
        <v>0</v>
      </c>
      <c r="C33" s="22">
        <f t="shared" si="2"/>
        <v>0</v>
      </c>
    </row>
    <row r="34" spans="1:5" ht="15.5" collapsed="1" x14ac:dyDescent="0.35">
      <c r="A34" s="33" t="s">
        <v>70</v>
      </c>
      <c r="B34" s="34">
        <f>SUM(B35:B38)</f>
        <v>8049600000</v>
      </c>
      <c r="C34" s="34">
        <f t="shared" si="2"/>
        <v>16099200</v>
      </c>
    </row>
    <row r="35" spans="1:5" ht="15.5" hidden="1" outlineLevel="1" x14ac:dyDescent="0.35">
      <c r="A35" s="12" t="s">
        <v>55</v>
      </c>
      <c r="B35" s="15">
        <f>(B8*B18)</f>
        <v>0</v>
      </c>
      <c r="C35" s="15">
        <f t="shared" si="2"/>
        <v>0</v>
      </c>
    </row>
    <row r="36" spans="1:5" ht="15.5" hidden="1" outlineLevel="1" x14ac:dyDescent="0.35">
      <c r="A36" s="12" t="s">
        <v>246</v>
      </c>
      <c r="B36" s="15">
        <f>(B9*B19)</f>
        <v>7737600000</v>
      </c>
      <c r="C36" s="15">
        <f t="shared" si="2"/>
        <v>15475200</v>
      </c>
    </row>
    <row r="37" spans="1:5" ht="15.5" hidden="1" outlineLevel="1" x14ac:dyDescent="0.35">
      <c r="A37" s="12" t="s">
        <v>57</v>
      </c>
      <c r="B37" s="15">
        <f>(B10*B20)</f>
        <v>0</v>
      </c>
      <c r="C37" s="15">
        <f t="shared" si="2"/>
        <v>0</v>
      </c>
    </row>
    <row r="38" spans="1:5" ht="15.5" hidden="1" outlineLevel="1" x14ac:dyDescent="0.35">
      <c r="A38" s="12" t="s">
        <v>58</v>
      </c>
      <c r="B38" s="15">
        <f>(B16*B21)</f>
        <v>312000000</v>
      </c>
      <c r="C38" s="15">
        <f t="shared" si="2"/>
        <v>624000</v>
      </c>
    </row>
    <row r="39" spans="1:5" ht="15.5" x14ac:dyDescent="0.35">
      <c r="A39" s="23" t="s">
        <v>71</v>
      </c>
      <c r="B39" s="11">
        <f>B40+B48+B50+B52+B62+B66+B68+B70</f>
        <v>6863568124.589654</v>
      </c>
      <c r="C39" s="11">
        <f t="shared" si="2"/>
        <v>13727136.249179307</v>
      </c>
    </row>
    <row r="40" spans="1:5" ht="15.5" collapsed="1" x14ac:dyDescent="0.35">
      <c r="A40" s="24" t="s">
        <v>72</v>
      </c>
      <c r="B40" s="25">
        <f>SUM(B41:B47)</f>
        <v>4595567890</v>
      </c>
      <c r="C40" s="25">
        <f t="shared" si="2"/>
        <v>9191135.7799999993</v>
      </c>
    </row>
    <row r="41" spans="1:5" ht="15.5" hidden="1" outlineLevel="1" x14ac:dyDescent="0.35">
      <c r="A41" s="32" t="s">
        <v>224</v>
      </c>
      <c r="B41" s="15">
        <f>B7*B23</f>
        <v>4595567890</v>
      </c>
      <c r="C41" s="15">
        <f t="shared" si="2"/>
        <v>9191135.7799999993</v>
      </c>
      <c r="D41" s="209"/>
    </row>
    <row r="42" spans="1:5" ht="31" hidden="1" outlineLevel="1" x14ac:dyDescent="0.35">
      <c r="A42" s="32" t="s">
        <v>73</v>
      </c>
      <c r="B42" s="15">
        <f>B25*B7</f>
        <v>0</v>
      </c>
      <c r="C42" s="15">
        <f t="shared" si="2"/>
        <v>0</v>
      </c>
    </row>
    <row r="43" spans="1:5" ht="15.5" hidden="1" outlineLevel="1" x14ac:dyDescent="0.35">
      <c r="A43" s="32" t="s">
        <v>74</v>
      </c>
      <c r="B43" s="15"/>
      <c r="C43" s="15">
        <f t="shared" si="2"/>
        <v>0</v>
      </c>
    </row>
    <row r="44" spans="1:5" ht="15.5" hidden="1" outlineLevel="1" x14ac:dyDescent="0.35">
      <c r="A44" s="32" t="s">
        <v>75</v>
      </c>
      <c r="B44" s="15"/>
      <c r="C44" s="15">
        <f t="shared" si="2"/>
        <v>0</v>
      </c>
    </row>
    <row r="45" spans="1:5" ht="15.5" hidden="1" outlineLevel="1" x14ac:dyDescent="0.35">
      <c r="A45" s="32" t="s">
        <v>76</v>
      </c>
      <c r="B45" s="15"/>
      <c r="C45" s="15">
        <f t="shared" si="2"/>
        <v>0</v>
      </c>
      <c r="E45" s="197"/>
    </row>
    <row r="46" spans="1:5" ht="15.5" hidden="1" outlineLevel="1" x14ac:dyDescent="0.35">
      <c r="A46" s="32" t="s">
        <v>77</v>
      </c>
      <c r="B46" s="15"/>
      <c r="C46" s="15">
        <f t="shared" si="2"/>
        <v>0</v>
      </c>
    </row>
    <row r="47" spans="1:5" ht="15.5" hidden="1" outlineLevel="1" x14ac:dyDescent="0.35">
      <c r="A47" s="32" t="s">
        <v>78</v>
      </c>
      <c r="B47" s="15"/>
      <c r="C47" s="15">
        <f t="shared" si="2"/>
        <v>0</v>
      </c>
      <c r="E47" s="209"/>
    </row>
    <row r="48" spans="1:5" ht="15.5" collapsed="1" x14ac:dyDescent="0.35">
      <c r="A48" s="24" t="s">
        <v>79</v>
      </c>
      <c r="B48" s="25">
        <f>B49</f>
        <v>675000000</v>
      </c>
      <c r="C48" s="25">
        <f t="shared" si="2"/>
        <v>1350000</v>
      </c>
    </row>
    <row r="49" spans="1:5" ht="15.5" hidden="1" outlineLevel="1" x14ac:dyDescent="0.35">
      <c r="A49" s="32" t="s">
        <v>66</v>
      </c>
      <c r="B49" s="15">
        <f>'Dashboard2-8'!C19</f>
        <v>675000000</v>
      </c>
      <c r="C49" s="15">
        <f t="shared" si="2"/>
        <v>1350000</v>
      </c>
    </row>
    <row r="50" spans="1:5" ht="15.5" collapsed="1" x14ac:dyDescent="0.35">
      <c r="A50" s="24" t="s">
        <v>80</v>
      </c>
      <c r="B50" s="25">
        <f>SUM(B51:B51)</f>
        <v>197152741</v>
      </c>
      <c r="C50" s="25">
        <f t="shared" si="2"/>
        <v>394305.48200000002</v>
      </c>
      <c r="D50" s="213"/>
    </row>
    <row r="51" spans="1:5" ht="15.5" hidden="1" outlineLevel="1" x14ac:dyDescent="0.35">
      <c r="A51" s="32" t="s">
        <v>81</v>
      </c>
      <c r="B51" s="15">
        <f>B7*'Dashboard2-8'!I20</f>
        <v>197152741</v>
      </c>
      <c r="C51" s="15">
        <f t="shared" si="2"/>
        <v>394305.48200000002</v>
      </c>
    </row>
    <row r="52" spans="1:5" ht="15.5" collapsed="1" x14ac:dyDescent="0.35">
      <c r="A52" s="24" t="s">
        <v>82</v>
      </c>
      <c r="B52" s="25">
        <f>SUM(B53:B61)</f>
        <v>1052619020.9000001</v>
      </c>
      <c r="C52" s="25">
        <f t="shared" si="2"/>
        <v>2105238.0418000002</v>
      </c>
      <c r="D52" s="213"/>
    </row>
    <row r="53" spans="1:5" ht="15.5" hidden="1" outlineLevel="1" x14ac:dyDescent="0.35">
      <c r="A53" s="32" t="s">
        <v>83</v>
      </c>
      <c r="B53" s="15">
        <f>'Dashboard2-8'!I17*'PnL2-8'!B7</f>
        <v>447216142.00000006</v>
      </c>
      <c r="C53" s="15">
        <f t="shared" si="2"/>
        <v>894432.2840000001</v>
      </c>
      <c r="D53" s="214">
        <f>B53/B41</f>
        <v>9.7314663324449338E-2</v>
      </c>
      <c r="E53" s="210"/>
    </row>
    <row r="54" spans="1:5" ht="15.5" hidden="1" outlineLevel="1" x14ac:dyDescent="0.35">
      <c r="A54" s="32" t="s">
        <v>84</v>
      </c>
      <c r="B54" s="15">
        <f>B40*1%</f>
        <v>45955678.899999999</v>
      </c>
      <c r="C54" s="15">
        <f t="shared" si="2"/>
        <v>91911.357799999998</v>
      </c>
      <c r="D54" s="213"/>
    </row>
    <row r="55" spans="1:5" ht="15.5" hidden="1" outlineLevel="1" x14ac:dyDescent="0.35">
      <c r="A55" s="32" t="s">
        <v>85</v>
      </c>
      <c r="B55" s="15">
        <v>0</v>
      </c>
      <c r="C55" s="15">
        <f t="shared" si="2"/>
        <v>0</v>
      </c>
    </row>
    <row r="56" spans="1:5" ht="15.5" hidden="1" outlineLevel="1" x14ac:dyDescent="0.35">
      <c r="A56" s="32" t="s">
        <v>86</v>
      </c>
      <c r="B56" s="15">
        <v>0</v>
      </c>
      <c r="C56" s="15">
        <f t="shared" si="2"/>
        <v>0</v>
      </c>
    </row>
    <row r="57" spans="1:5" ht="15.5" hidden="1" outlineLevel="1" x14ac:dyDescent="0.35">
      <c r="A57" s="32" t="s">
        <v>87</v>
      </c>
      <c r="B57" s="15">
        <v>0</v>
      </c>
      <c r="C57" s="15">
        <f t="shared" si="2"/>
        <v>0</v>
      </c>
    </row>
    <row r="58" spans="1:5" ht="15.5" hidden="1" outlineLevel="1" x14ac:dyDescent="0.35">
      <c r="A58" s="32" t="s">
        <v>88</v>
      </c>
      <c r="B58" s="15">
        <f>B34*'Dashboard2-8'!I19</f>
        <v>193190400</v>
      </c>
      <c r="C58" s="15">
        <f t="shared" si="2"/>
        <v>386380.79999999999</v>
      </c>
      <c r="D58" s="209"/>
    </row>
    <row r="59" spans="1:5" ht="15.5" hidden="1" outlineLevel="1" x14ac:dyDescent="0.35">
      <c r="A59" s="32" t="s">
        <v>89</v>
      </c>
      <c r="B59" s="15">
        <v>0</v>
      </c>
      <c r="C59" s="15">
        <f t="shared" si="2"/>
        <v>0</v>
      </c>
    </row>
    <row r="60" spans="1:5" ht="15.5" hidden="1" outlineLevel="1" x14ac:dyDescent="0.35">
      <c r="A60" s="32" t="s">
        <v>90</v>
      </c>
      <c r="B60" s="15">
        <f>B35*5%*30%*0</f>
        <v>0</v>
      </c>
      <c r="C60" s="15">
        <f t="shared" si="2"/>
        <v>0</v>
      </c>
    </row>
    <row r="61" spans="1:5" ht="15.5" hidden="1" outlineLevel="1" x14ac:dyDescent="0.35">
      <c r="A61" s="32" t="s">
        <v>225</v>
      </c>
      <c r="B61" s="15">
        <f>B34*'Dashboard2-8'!I18</f>
        <v>366256800</v>
      </c>
      <c r="C61" s="15">
        <f t="shared" si="2"/>
        <v>732513.6</v>
      </c>
    </row>
    <row r="62" spans="1:5" ht="15.5" collapsed="1" x14ac:dyDescent="0.35">
      <c r="A62" s="24" t="s">
        <v>92</v>
      </c>
      <c r="B62" s="25">
        <f>SUM(B63:B65)</f>
        <v>0</v>
      </c>
      <c r="C62" s="25">
        <f t="shared" si="2"/>
        <v>0</v>
      </c>
    </row>
    <row r="63" spans="1:5" ht="15.5" hidden="1" outlineLevel="1" x14ac:dyDescent="0.35">
      <c r="A63" s="32" t="s">
        <v>93</v>
      </c>
      <c r="B63" s="15">
        <v>0</v>
      </c>
      <c r="C63" s="15">
        <f t="shared" si="2"/>
        <v>0</v>
      </c>
    </row>
    <row r="64" spans="1:5" ht="15.5" hidden="1" outlineLevel="1" x14ac:dyDescent="0.35">
      <c r="A64" s="32" t="s">
        <v>94</v>
      </c>
      <c r="B64" s="15">
        <v>0</v>
      </c>
      <c r="C64" s="15">
        <f t="shared" si="2"/>
        <v>0</v>
      </c>
    </row>
    <row r="65" spans="1:3" ht="15.5" hidden="1" outlineLevel="1" x14ac:dyDescent="0.35">
      <c r="A65" s="32" t="s">
        <v>95</v>
      </c>
      <c r="B65" s="15">
        <v>0</v>
      </c>
      <c r="C65" s="15">
        <f t="shared" si="2"/>
        <v>0</v>
      </c>
    </row>
    <row r="66" spans="1:3" ht="15.5" collapsed="1" x14ac:dyDescent="0.35">
      <c r="A66" s="24" t="s">
        <v>69</v>
      </c>
      <c r="B66" s="25">
        <f>SUM(B67:B67)</f>
        <v>0</v>
      </c>
      <c r="C66" s="25">
        <f t="shared" si="2"/>
        <v>0</v>
      </c>
    </row>
    <row r="67" spans="1:3" ht="19.25" hidden="1" customHeight="1" outlineLevel="1" x14ac:dyDescent="0.35">
      <c r="A67" s="18" t="s">
        <v>69</v>
      </c>
      <c r="B67" s="13">
        <f>[2]Credit!D8</f>
        <v>0</v>
      </c>
      <c r="C67" s="13">
        <f t="shared" si="2"/>
        <v>0</v>
      </c>
    </row>
    <row r="68" spans="1:3" ht="15.5" hidden="1" collapsed="1" x14ac:dyDescent="0.35">
      <c r="A68" s="23" t="s">
        <v>96</v>
      </c>
      <c r="B68" s="11">
        <f>SUM(B69:B69)</f>
        <v>0</v>
      </c>
      <c r="C68" s="11">
        <f t="shared" si="2"/>
        <v>0</v>
      </c>
    </row>
    <row r="69" spans="1:3" ht="15.5" hidden="1" outlineLevel="1" x14ac:dyDescent="0.35">
      <c r="A69" s="26" t="s">
        <v>96</v>
      </c>
      <c r="B69" s="15"/>
      <c r="C69" s="15">
        <f t="shared" si="2"/>
        <v>0</v>
      </c>
    </row>
    <row r="70" spans="1:3" ht="15.65" customHeight="1" collapsed="1" x14ac:dyDescent="0.35">
      <c r="A70" s="23" t="s">
        <v>34</v>
      </c>
      <c r="B70" s="25">
        <f>SUM(B71:B71)</f>
        <v>343228472.68965435</v>
      </c>
      <c r="C70" s="25">
        <f>B70/$B$4</f>
        <v>686456.94537930866</v>
      </c>
    </row>
    <row r="71" spans="1:3" ht="15.5" hidden="1" outlineLevel="1" x14ac:dyDescent="0.35">
      <c r="A71" s="26" t="s">
        <v>97</v>
      </c>
      <c r="B71" s="15">
        <f>IF('[2]НДС расчет'!C8&lt;0,0,'[2]НДС расчет'!C8)</f>
        <v>343228472.68965435</v>
      </c>
      <c r="C71" s="15">
        <f>B71/$B$4</f>
        <v>686456.94537930866</v>
      </c>
    </row>
    <row r="72" spans="1:3" ht="15.5" x14ac:dyDescent="0.35">
      <c r="A72" s="28" t="s">
        <v>98</v>
      </c>
      <c r="B72" s="11">
        <f>B34-B39</f>
        <v>1186031875.410346</v>
      </c>
      <c r="C72" s="11">
        <f>C34-C39</f>
        <v>2372063.7508206926</v>
      </c>
    </row>
    <row r="73" spans="1:3" ht="16" thickBot="1" x14ac:dyDescent="0.4">
      <c r="A73" s="29" t="s">
        <v>99</v>
      </c>
      <c r="B73" s="30">
        <f>IF((B72)&gt;0,(B72)*20%,0)</f>
        <v>237206375.08206922</v>
      </c>
      <c r="C73" s="30">
        <f>IF((C72)&gt;0,(C72)*20%,0)</f>
        <v>474412.75016413856</v>
      </c>
    </row>
    <row r="74" spans="1:3" ht="15.5" x14ac:dyDescent="0.35">
      <c r="A74" s="35" t="s">
        <v>100</v>
      </c>
      <c r="B74" s="36">
        <f>B72-B73</f>
        <v>948825500.32827687</v>
      </c>
      <c r="C74" s="36">
        <f>C72-C73</f>
        <v>1897651.000656554</v>
      </c>
    </row>
    <row r="75" spans="1:3" ht="16" thickBot="1" x14ac:dyDescent="0.4">
      <c r="A75" s="37" t="s">
        <v>101</v>
      </c>
      <c r="B75" s="42">
        <f>B74/B34</f>
        <v>0.11787237879252098</v>
      </c>
      <c r="C75" s="42">
        <f>C74/C34</f>
        <v>0.11787237879252099</v>
      </c>
    </row>
    <row r="77" spans="1:3" x14ac:dyDescent="0.35">
      <c r="B77" s="209"/>
      <c r="C77" s="211"/>
    </row>
    <row r="78" spans="1:3" x14ac:dyDescent="0.35">
      <c r="B78" s="206"/>
      <c r="C78" s="206"/>
    </row>
    <row r="79" spans="1:3" x14ac:dyDescent="0.35">
      <c r="B79" s="207"/>
      <c r="C79" s="207"/>
    </row>
    <row r="80" spans="1:3" x14ac:dyDescent="0.35">
      <c r="B80" s="208"/>
      <c r="C80" s="208"/>
    </row>
  </sheetData>
  <mergeCells count="4">
    <mergeCell ref="B3:C3"/>
    <mergeCell ref="B4:C4"/>
    <mergeCell ref="B5:C5"/>
    <mergeCell ref="B6:C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B30E-42B7-428D-B2AF-BC815ECF758D}">
  <sheetPr>
    <tabColor rgb="FFFF0000"/>
  </sheetPr>
  <dimension ref="B3:KQ55"/>
  <sheetViews>
    <sheetView topLeftCell="A2" zoomScale="90" zoomScaleNormal="90" workbookViewId="0">
      <pane xSplit="3" ySplit="5" topLeftCell="D26" activePane="bottomRight" state="frozen"/>
      <selection pane="topRight" activeCell="D2" sqref="D2"/>
      <selection pane="bottomLeft" activeCell="A7" sqref="A7"/>
      <selection pane="bottomRight" activeCell="D53" sqref="D53"/>
    </sheetView>
  </sheetViews>
  <sheetFormatPr defaultRowHeight="14.5" x14ac:dyDescent="0.35"/>
  <cols>
    <col min="2" max="2" width="61.90625" bestFit="1" customWidth="1"/>
    <col min="3" max="3" width="12.453125" bestFit="1" customWidth="1"/>
    <col min="4" max="4" width="16.1796875" customWidth="1"/>
    <col min="5" max="5" width="11.453125" bestFit="1" customWidth="1"/>
    <col min="6" max="6" width="11" bestFit="1" customWidth="1"/>
    <col min="7" max="45" width="9" bestFit="1" customWidth="1"/>
    <col min="72" max="72" width="9.08984375" bestFit="1" customWidth="1"/>
    <col min="74" max="74" width="12.90625" bestFit="1" customWidth="1"/>
  </cols>
  <sheetData>
    <row r="3" spans="2:303" x14ac:dyDescent="0.35">
      <c r="D3">
        <f>YEAR(D6)</f>
        <v>2026</v>
      </c>
      <c r="E3">
        <f t="shared" ref="E3:BP3" si="0">YEAR(E6)</f>
        <v>2026</v>
      </c>
      <c r="F3">
        <f t="shared" si="0"/>
        <v>2026</v>
      </c>
      <c r="G3">
        <f t="shared" si="0"/>
        <v>2026</v>
      </c>
      <c r="H3">
        <f t="shared" si="0"/>
        <v>2026</v>
      </c>
      <c r="I3">
        <f t="shared" si="0"/>
        <v>2026</v>
      </c>
      <c r="J3">
        <f t="shared" si="0"/>
        <v>2027</v>
      </c>
      <c r="K3">
        <f t="shared" si="0"/>
        <v>2027</v>
      </c>
      <c r="L3">
        <f t="shared" si="0"/>
        <v>2027</v>
      </c>
      <c r="M3">
        <f t="shared" si="0"/>
        <v>2027</v>
      </c>
      <c r="N3">
        <f t="shared" si="0"/>
        <v>2027</v>
      </c>
      <c r="O3">
        <f t="shared" si="0"/>
        <v>2027</v>
      </c>
      <c r="P3">
        <f t="shared" si="0"/>
        <v>2027</v>
      </c>
      <c r="Q3">
        <f t="shared" si="0"/>
        <v>2027</v>
      </c>
      <c r="R3">
        <f t="shared" si="0"/>
        <v>2027</v>
      </c>
      <c r="S3">
        <f t="shared" si="0"/>
        <v>2027</v>
      </c>
      <c r="T3">
        <f t="shared" si="0"/>
        <v>2027</v>
      </c>
      <c r="U3">
        <f t="shared" si="0"/>
        <v>2027</v>
      </c>
      <c r="V3">
        <f t="shared" si="0"/>
        <v>2028</v>
      </c>
      <c r="W3">
        <f t="shared" si="0"/>
        <v>2028</v>
      </c>
      <c r="X3">
        <f t="shared" si="0"/>
        <v>2028</v>
      </c>
      <c r="Y3">
        <f t="shared" si="0"/>
        <v>2028</v>
      </c>
      <c r="Z3">
        <f t="shared" si="0"/>
        <v>2028</v>
      </c>
      <c r="AA3">
        <f t="shared" si="0"/>
        <v>2028</v>
      </c>
      <c r="AB3">
        <f t="shared" si="0"/>
        <v>2028</v>
      </c>
      <c r="AC3">
        <f t="shared" si="0"/>
        <v>2028</v>
      </c>
      <c r="AD3">
        <f t="shared" si="0"/>
        <v>2028</v>
      </c>
      <c r="AE3">
        <f t="shared" si="0"/>
        <v>2028</v>
      </c>
      <c r="AF3">
        <f t="shared" si="0"/>
        <v>2028</v>
      </c>
      <c r="AG3">
        <f t="shared" si="0"/>
        <v>2028</v>
      </c>
      <c r="AH3">
        <f t="shared" si="0"/>
        <v>2029</v>
      </c>
      <c r="AI3">
        <f t="shared" si="0"/>
        <v>2029</v>
      </c>
      <c r="AJ3">
        <f t="shared" si="0"/>
        <v>2029</v>
      </c>
      <c r="AK3">
        <f t="shared" si="0"/>
        <v>2029</v>
      </c>
      <c r="AL3">
        <f t="shared" si="0"/>
        <v>2029</v>
      </c>
      <c r="AM3">
        <f t="shared" si="0"/>
        <v>2029</v>
      </c>
      <c r="AN3">
        <f t="shared" si="0"/>
        <v>2029</v>
      </c>
      <c r="AO3">
        <f t="shared" si="0"/>
        <v>2029</v>
      </c>
      <c r="AP3">
        <f t="shared" si="0"/>
        <v>2029</v>
      </c>
      <c r="AQ3">
        <f t="shared" si="0"/>
        <v>2029</v>
      </c>
      <c r="AR3">
        <f t="shared" si="0"/>
        <v>2029</v>
      </c>
      <c r="AS3">
        <f t="shared" si="0"/>
        <v>2029</v>
      </c>
      <c r="AT3">
        <f t="shared" si="0"/>
        <v>2030</v>
      </c>
      <c r="AU3">
        <f t="shared" si="0"/>
        <v>2030</v>
      </c>
      <c r="AV3">
        <f t="shared" si="0"/>
        <v>2030</v>
      </c>
      <c r="AW3">
        <f t="shared" si="0"/>
        <v>2030</v>
      </c>
      <c r="AX3">
        <f t="shared" si="0"/>
        <v>2030</v>
      </c>
      <c r="AY3">
        <f t="shared" si="0"/>
        <v>2030</v>
      </c>
      <c r="AZ3">
        <f t="shared" si="0"/>
        <v>2030</v>
      </c>
      <c r="BA3">
        <f t="shared" si="0"/>
        <v>2030</v>
      </c>
      <c r="BB3">
        <f t="shared" si="0"/>
        <v>2030</v>
      </c>
      <c r="BC3">
        <f t="shared" si="0"/>
        <v>2030</v>
      </c>
      <c r="BD3">
        <f t="shared" si="0"/>
        <v>2030</v>
      </c>
      <c r="BE3">
        <f t="shared" si="0"/>
        <v>2030</v>
      </c>
      <c r="BF3">
        <f t="shared" si="0"/>
        <v>2031</v>
      </c>
      <c r="BG3">
        <f t="shared" si="0"/>
        <v>2031</v>
      </c>
      <c r="BH3">
        <f t="shared" si="0"/>
        <v>2031</v>
      </c>
      <c r="BI3">
        <f t="shared" si="0"/>
        <v>2031</v>
      </c>
      <c r="BJ3">
        <f t="shared" si="0"/>
        <v>2031</v>
      </c>
      <c r="BK3">
        <f t="shared" si="0"/>
        <v>2031</v>
      </c>
      <c r="BL3">
        <f t="shared" si="0"/>
        <v>2031</v>
      </c>
      <c r="BM3">
        <f t="shared" si="0"/>
        <v>2031</v>
      </c>
      <c r="BN3">
        <f t="shared" si="0"/>
        <v>2031</v>
      </c>
      <c r="BO3">
        <f t="shared" si="0"/>
        <v>2031</v>
      </c>
      <c r="BP3">
        <f t="shared" si="0"/>
        <v>2031</v>
      </c>
      <c r="BQ3">
        <f t="shared" ref="BQ3:EB3" si="1">YEAR(BQ6)</f>
        <v>2031</v>
      </c>
      <c r="BR3">
        <f t="shared" si="1"/>
        <v>2032</v>
      </c>
      <c r="BS3">
        <f t="shared" si="1"/>
        <v>2032</v>
      </c>
      <c r="BT3">
        <f t="shared" si="1"/>
        <v>2032</v>
      </c>
      <c r="BU3">
        <f t="shared" si="1"/>
        <v>2032</v>
      </c>
      <c r="BV3">
        <f t="shared" si="1"/>
        <v>2032</v>
      </c>
      <c r="BW3">
        <f t="shared" si="1"/>
        <v>2032</v>
      </c>
      <c r="BX3">
        <f t="shared" si="1"/>
        <v>2032</v>
      </c>
      <c r="BY3">
        <f t="shared" si="1"/>
        <v>2032</v>
      </c>
      <c r="BZ3">
        <f t="shared" si="1"/>
        <v>2032</v>
      </c>
      <c r="CA3">
        <f t="shared" si="1"/>
        <v>2032</v>
      </c>
      <c r="CB3">
        <f t="shared" si="1"/>
        <v>2032</v>
      </c>
      <c r="CC3">
        <f t="shared" si="1"/>
        <v>2032</v>
      </c>
      <c r="CD3">
        <f t="shared" si="1"/>
        <v>2033</v>
      </c>
      <c r="CE3">
        <f t="shared" si="1"/>
        <v>2033</v>
      </c>
      <c r="CF3">
        <f t="shared" si="1"/>
        <v>2033</v>
      </c>
      <c r="CG3">
        <f t="shared" si="1"/>
        <v>2033</v>
      </c>
      <c r="CH3">
        <f t="shared" si="1"/>
        <v>2033</v>
      </c>
      <c r="CI3">
        <f t="shared" si="1"/>
        <v>2033</v>
      </c>
      <c r="CJ3">
        <f t="shared" si="1"/>
        <v>2033</v>
      </c>
      <c r="CK3">
        <f t="shared" si="1"/>
        <v>2033</v>
      </c>
      <c r="CL3">
        <f t="shared" si="1"/>
        <v>2033</v>
      </c>
      <c r="CM3">
        <f t="shared" si="1"/>
        <v>2033</v>
      </c>
      <c r="CN3">
        <f t="shared" si="1"/>
        <v>2033</v>
      </c>
      <c r="CO3">
        <f t="shared" si="1"/>
        <v>2033</v>
      </c>
      <c r="CP3">
        <f t="shared" si="1"/>
        <v>2034</v>
      </c>
      <c r="CQ3">
        <f t="shared" si="1"/>
        <v>2034</v>
      </c>
      <c r="CR3">
        <f t="shared" si="1"/>
        <v>2034</v>
      </c>
      <c r="CS3">
        <f t="shared" si="1"/>
        <v>2034</v>
      </c>
      <c r="CT3">
        <f t="shared" si="1"/>
        <v>2034</v>
      </c>
      <c r="CU3">
        <f t="shared" si="1"/>
        <v>2034</v>
      </c>
      <c r="CV3">
        <f t="shared" si="1"/>
        <v>2034</v>
      </c>
      <c r="CW3">
        <f t="shared" si="1"/>
        <v>2034</v>
      </c>
      <c r="CX3">
        <f t="shared" si="1"/>
        <v>2034</v>
      </c>
      <c r="CY3">
        <f t="shared" si="1"/>
        <v>2034</v>
      </c>
      <c r="CZ3">
        <f t="shared" si="1"/>
        <v>2034</v>
      </c>
      <c r="DA3">
        <f t="shared" si="1"/>
        <v>2034</v>
      </c>
      <c r="DB3">
        <f t="shared" si="1"/>
        <v>2035</v>
      </c>
      <c r="DC3">
        <f t="shared" si="1"/>
        <v>2035</v>
      </c>
      <c r="DD3">
        <f t="shared" si="1"/>
        <v>2035</v>
      </c>
      <c r="DE3">
        <f t="shared" si="1"/>
        <v>2035</v>
      </c>
      <c r="DF3">
        <f t="shared" si="1"/>
        <v>2035</v>
      </c>
      <c r="DG3">
        <f t="shared" si="1"/>
        <v>2035</v>
      </c>
      <c r="DH3">
        <f t="shared" si="1"/>
        <v>2035</v>
      </c>
      <c r="DI3">
        <f t="shared" si="1"/>
        <v>2035</v>
      </c>
      <c r="DJ3">
        <f t="shared" si="1"/>
        <v>2035</v>
      </c>
      <c r="DK3">
        <f t="shared" si="1"/>
        <v>2035</v>
      </c>
      <c r="DL3">
        <f t="shared" si="1"/>
        <v>2035</v>
      </c>
      <c r="DM3">
        <f t="shared" si="1"/>
        <v>2035</v>
      </c>
      <c r="DN3">
        <f t="shared" si="1"/>
        <v>2036</v>
      </c>
      <c r="DO3">
        <f t="shared" si="1"/>
        <v>2036</v>
      </c>
      <c r="DP3">
        <f t="shared" si="1"/>
        <v>2036</v>
      </c>
      <c r="DQ3">
        <f t="shared" si="1"/>
        <v>2036</v>
      </c>
      <c r="DR3">
        <f t="shared" si="1"/>
        <v>2036</v>
      </c>
      <c r="DS3">
        <f t="shared" si="1"/>
        <v>2036</v>
      </c>
      <c r="DT3">
        <f t="shared" si="1"/>
        <v>2036</v>
      </c>
      <c r="DU3">
        <f t="shared" si="1"/>
        <v>2036</v>
      </c>
      <c r="DV3">
        <f t="shared" si="1"/>
        <v>2036</v>
      </c>
      <c r="DW3">
        <f t="shared" si="1"/>
        <v>2036</v>
      </c>
      <c r="DX3">
        <f t="shared" si="1"/>
        <v>2036</v>
      </c>
      <c r="DY3">
        <f t="shared" si="1"/>
        <v>2036</v>
      </c>
      <c r="DZ3">
        <f t="shared" si="1"/>
        <v>2037</v>
      </c>
      <c r="EA3">
        <f t="shared" si="1"/>
        <v>2037</v>
      </c>
      <c r="EB3">
        <f t="shared" si="1"/>
        <v>2037</v>
      </c>
      <c r="EC3">
        <f t="shared" ref="EC3:GN3" si="2">YEAR(EC6)</f>
        <v>2037</v>
      </c>
      <c r="ED3">
        <f t="shared" si="2"/>
        <v>2037</v>
      </c>
      <c r="EE3">
        <f t="shared" si="2"/>
        <v>2037</v>
      </c>
      <c r="EF3">
        <f t="shared" si="2"/>
        <v>2037</v>
      </c>
      <c r="EG3">
        <f t="shared" si="2"/>
        <v>2037</v>
      </c>
      <c r="EH3">
        <f t="shared" si="2"/>
        <v>2037</v>
      </c>
      <c r="EI3">
        <f t="shared" si="2"/>
        <v>2037</v>
      </c>
      <c r="EJ3">
        <f t="shared" si="2"/>
        <v>2037</v>
      </c>
      <c r="EK3">
        <f t="shared" si="2"/>
        <v>2037</v>
      </c>
      <c r="EL3">
        <f t="shared" si="2"/>
        <v>2038</v>
      </c>
      <c r="EM3">
        <f t="shared" si="2"/>
        <v>2038</v>
      </c>
      <c r="EN3">
        <f t="shared" si="2"/>
        <v>2038</v>
      </c>
      <c r="EO3">
        <f t="shared" si="2"/>
        <v>2038</v>
      </c>
      <c r="EP3">
        <f t="shared" si="2"/>
        <v>2038</v>
      </c>
      <c r="EQ3">
        <f t="shared" si="2"/>
        <v>2038</v>
      </c>
      <c r="ER3">
        <f t="shared" si="2"/>
        <v>2038</v>
      </c>
      <c r="ES3">
        <f t="shared" si="2"/>
        <v>2038</v>
      </c>
      <c r="ET3">
        <f t="shared" si="2"/>
        <v>2038</v>
      </c>
      <c r="EU3">
        <f t="shared" si="2"/>
        <v>2038</v>
      </c>
      <c r="EV3">
        <f t="shared" si="2"/>
        <v>2038</v>
      </c>
      <c r="EW3">
        <f t="shared" si="2"/>
        <v>2038</v>
      </c>
      <c r="EX3">
        <f t="shared" si="2"/>
        <v>2039</v>
      </c>
      <c r="EY3">
        <f t="shared" si="2"/>
        <v>2039</v>
      </c>
      <c r="EZ3">
        <f t="shared" si="2"/>
        <v>2039</v>
      </c>
      <c r="FA3">
        <f t="shared" si="2"/>
        <v>2039</v>
      </c>
      <c r="FB3">
        <f t="shared" si="2"/>
        <v>2039</v>
      </c>
      <c r="FC3">
        <f t="shared" si="2"/>
        <v>2039</v>
      </c>
      <c r="FD3">
        <f t="shared" si="2"/>
        <v>2039</v>
      </c>
      <c r="FE3">
        <f t="shared" si="2"/>
        <v>2039</v>
      </c>
      <c r="FF3">
        <f t="shared" si="2"/>
        <v>2039</v>
      </c>
      <c r="FG3">
        <f t="shared" si="2"/>
        <v>2039</v>
      </c>
      <c r="FH3">
        <f t="shared" si="2"/>
        <v>2039</v>
      </c>
      <c r="FI3">
        <f t="shared" si="2"/>
        <v>2039</v>
      </c>
      <c r="FJ3">
        <f t="shared" si="2"/>
        <v>2040</v>
      </c>
      <c r="FK3">
        <f t="shared" si="2"/>
        <v>2040</v>
      </c>
      <c r="FL3">
        <f t="shared" si="2"/>
        <v>2040</v>
      </c>
      <c r="FM3">
        <f t="shared" si="2"/>
        <v>2040</v>
      </c>
      <c r="FN3">
        <f t="shared" si="2"/>
        <v>2040</v>
      </c>
      <c r="FO3">
        <f t="shared" si="2"/>
        <v>2040</v>
      </c>
      <c r="FP3">
        <f t="shared" si="2"/>
        <v>2040</v>
      </c>
      <c r="FQ3">
        <f t="shared" si="2"/>
        <v>2040</v>
      </c>
      <c r="FR3">
        <f t="shared" si="2"/>
        <v>2040</v>
      </c>
      <c r="FS3">
        <f t="shared" si="2"/>
        <v>2040</v>
      </c>
      <c r="FT3">
        <f t="shared" si="2"/>
        <v>2040</v>
      </c>
      <c r="FU3">
        <f t="shared" si="2"/>
        <v>2040</v>
      </c>
      <c r="FV3">
        <f t="shared" si="2"/>
        <v>2041</v>
      </c>
      <c r="FW3">
        <f t="shared" si="2"/>
        <v>2041</v>
      </c>
      <c r="FX3">
        <f t="shared" si="2"/>
        <v>2041</v>
      </c>
      <c r="FY3">
        <f t="shared" si="2"/>
        <v>2041</v>
      </c>
      <c r="FZ3">
        <f t="shared" si="2"/>
        <v>2041</v>
      </c>
      <c r="GA3">
        <f t="shared" si="2"/>
        <v>2041</v>
      </c>
      <c r="GB3">
        <f t="shared" si="2"/>
        <v>2041</v>
      </c>
      <c r="GC3">
        <f t="shared" si="2"/>
        <v>2041</v>
      </c>
      <c r="GD3">
        <f t="shared" si="2"/>
        <v>2041</v>
      </c>
      <c r="GE3">
        <f t="shared" si="2"/>
        <v>2041</v>
      </c>
      <c r="GF3">
        <f t="shared" si="2"/>
        <v>2041</v>
      </c>
      <c r="GG3">
        <f t="shared" si="2"/>
        <v>2041</v>
      </c>
      <c r="GH3">
        <f t="shared" si="2"/>
        <v>2042</v>
      </c>
      <c r="GI3">
        <f t="shared" si="2"/>
        <v>2042</v>
      </c>
      <c r="GJ3">
        <f t="shared" si="2"/>
        <v>2042</v>
      </c>
      <c r="GK3">
        <f t="shared" si="2"/>
        <v>2042</v>
      </c>
      <c r="GL3">
        <f t="shared" si="2"/>
        <v>2042</v>
      </c>
      <c r="GM3">
        <f t="shared" si="2"/>
        <v>2042</v>
      </c>
      <c r="GN3">
        <f t="shared" si="2"/>
        <v>2042</v>
      </c>
      <c r="GO3">
        <f t="shared" ref="GO3:IZ3" si="3">YEAR(GO6)</f>
        <v>2042</v>
      </c>
      <c r="GP3">
        <f t="shared" si="3"/>
        <v>2042</v>
      </c>
      <c r="GQ3">
        <f t="shared" si="3"/>
        <v>2042</v>
      </c>
      <c r="GR3">
        <f t="shared" si="3"/>
        <v>2042</v>
      </c>
      <c r="GS3">
        <f t="shared" si="3"/>
        <v>2042</v>
      </c>
      <c r="GT3">
        <f t="shared" si="3"/>
        <v>2043</v>
      </c>
      <c r="GU3">
        <f t="shared" si="3"/>
        <v>2043</v>
      </c>
      <c r="GV3">
        <f t="shared" si="3"/>
        <v>2043</v>
      </c>
      <c r="GW3">
        <f t="shared" si="3"/>
        <v>2043</v>
      </c>
      <c r="GX3">
        <f t="shared" si="3"/>
        <v>2043</v>
      </c>
      <c r="GY3">
        <f t="shared" si="3"/>
        <v>2043</v>
      </c>
      <c r="GZ3">
        <f t="shared" si="3"/>
        <v>2043</v>
      </c>
      <c r="HA3">
        <f t="shared" si="3"/>
        <v>2043</v>
      </c>
      <c r="HB3">
        <f t="shared" si="3"/>
        <v>2043</v>
      </c>
      <c r="HC3">
        <f t="shared" si="3"/>
        <v>2043</v>
      </c>
      <c r="HD3">
        <f t="shared" si="3"/>
        <v>2043</v>
      </c>
      <c r="HE3">
        <f t="shared" si="3"/>
        <v>2043</v>
      </c>
      <c r="HF3">
        <f t="shared" si="3"/>
        <v>2044</v>
      </c>
      <c r="HG3">
        <f t="shared" si="3"/>
        <v>2044</v>
      </c>
      <c r="HH3">
        <f t="shared" si="3"/>
        <v>2044</v>
      </c>
      <c r="HI3">
        <f t="shared" si="3"/>
        <v>2044</v>
      </c>
      <c r="HJ3">
        <f t="shared" si="3"/>
        <v>2044</v>
      </c>
      <c r="HK3">
        <f t="shared" si="3"/>
        <v>2044</v>
      </c>
      <c r="HL3">
        <f t="shared" si="3"/>
        <v>2044</v>
      </c>
      <c r="HM3">
        <f t="shared" si="3"/>
        <v>2044</v>
      </c>
      <c r="HN3">
        <f t="shared" si="3"/>
        <v>2044</v>
      </c>
      <c r="HO3">
        <f t="shared" si="3"/>
        <v>2044</v>
      </c>
      <c r="HP3">
        <f t="shared" si="3"/>
        <v>2044</v>
      </c>
      <c r="HQ3">
        <f t="shared" si="3"/>
        <v>2044</v>
      </c>
      <c r="HR3">
        <f t="shared" si="3"/>
        <v>2045</v>
      </c>
      <c r="HS3">
        <f t="shared" si="3"/>
        <v>2045</v>
      </c>
      <c r="HT3">
        <f t="shared" si="3"/>
        <v>2045</v>
      </c>
      <c r="HU3">
        <f t="shared" si="3"/>
        <v>2045</v>
      </c>
      <c r="HV3">
        <f t="shared" si="3"/>
        <v>2045</v>
      </c>
      <c r="HW3">
        <f t="shared" si="3"/>
        <v>2045</v>
      </c>
      <c r="HX3">
        <f t="shared" si="3"/>
        <v>2045</v>
      </c>
      <c r="HY3">
        <f t="shared" si="3"/>
        <v>2045</v>
      </c>
      <c r="HZ3">
        <f t="shared" si="3"/>
        <v>2045</v>
      </c>
      <c r="IA3">
        <f t="shared" si="3"/>
        <v>2045</v>
      </c>
      <c r="IB3">
        <f t="shared" si="3"/>
        <v>2045</v>
      </c>
      <c r="IC3">
        <f t="shared" si="3"/>
        <v>2045</v>
      </c>
      <c r="ID3">
        <f t="shared" si="3"/>
        <v>2046</v>
      </c>
      <c r="IE3">
        <f t="shared" si="3"/>
        <v>2046</v>
      </c>
      <c r="IF3">
        <f t="shared" si="3"/>
        <v>2046</v>
      </c>
      <c r="IG3">
        <f t="shared" si="3"/>
        <v>2046</v>
      </c>
      <c r="IH3">
        <f t="shared" si="3"/>
        <v>2046</v>
      </c>
      <c r="II3">
        <f t="shared" si="3"/>
        <v>2046</v>
      </c>
      <c r="IJ3">
        <f t="shared" si="3"/>
        <v>2046</v>
      </c>
      <c r="IK3">
        <f t="shared" si="3"/>
        <v>2046</v>
      </c>
      <c r="IL3">
        <f t="shared" si="3"/>
        <v>2046</v>
      </c>
      <c r="IM3">
        <f t="shared" si="3"/>
        <v>2046</v>
      </c>
      <c r="IN3">
        <f t="shared" si="3"/>
        <v>2046</v>
      </c>
      <c r="IO3">
        <f t="shared" si="3"/>
        <v>2046</v>
      </c>
      <c r="IP3">
        <f t="shared" si="3"/>
        <v>2047</v>
      </c>
      <c r="IQ3">
        <f t="shared" si="3"/>
        <v>2047</v>
      </c>
      <c r="IR3">
        <f t="shared" si="3"/>
        <v>2047</v>
      </c>
      <c r="IS3">
        <f t="shared" si="3"/>
        <v>2047</v>
      </c>
      <c r="IT3">
        <f t="shared" si="3"/>
        <v>2047</v>
      </c>
      <c r="IU3">
        <f t="shared" si="3"/>
        <v>2047</v>
      </c>
      <c r="IV3">
        <f t="shared" si="3"/>
        <v>2047</v>
      </c>
      <c r="IW3">
        <f t="shared" si="3"/>
        <v>2047</v>
      </c>
      <c r="IX3">
        <f t="shared" si="3"/>
        <v>2047</v>
      </c>
      <c r="IY3">
        <f t="shared" si="3"/>
        <v>2047</v>
      </c>
      <c r="IZ3">
        <f t="shared" si="3"/>
        <v>2047</v>
      </c>
      <c r="JA3">
        <f t="shared" ref="JA3:KQ3" si="4">YEAR(JA6)</f>
        <v>2047</v>
      </c>
      <c r="JB3">
        <f t="shared" si="4"/>
        <v>2048</v>
      </c>
      <c r="JC3">
        <f t="shared" si="4"/>
        <v>2048</v>
      </c>
      <c r="JD3">
        <f t="shared" si="4"/>
        <v>2048</v>
      </c>
      <c r="JE3">
        <f t="shared" si="4"/>
        <v>2048</v>
      </c>
      <c r="JF3">
        <f t="shared" si="4"/>
        <v>2048</v>
      </c>
      <c r="JG3">
        <f t="shared" si="4"/>
        <v>2048</v>
      </c>
      <c r="JH3">
        <f t="shared" si="4"/>
        <v>2048</v>
      </c>
      <c r="JI3">
        <f t="shared" si="4"/>
        <v>2048</v>
      </c>
      <c r="JJ3">
        <f t="shared" si="4"/>
        <v>2048</v>
      </c>
      <c r="JK3">
        <f t="shared" si="4"/>
        <v>2048</v>
      </c>
      <c r="JL3">
        <f t="shared" si="4"/>
        <v>2048</v>
      </c>
      <c r="JM3">
        <f t="shared" si="4"/>
        <v>2048</v>
      </c>
      <c r="JN3">
        <f t="shared" si="4"/>
        <v>2049</v>
      </c>
      <c r="JO3">
        <f t="shared" si="4"/>
        <v>2049</v>
      </c>
      <c r="JP3">
        <f t="shared" si="4"/>
        <v>2049</v>
      </c>
      <c r="JQ3">
        <f t="shared" si="4"/>
        <v>2049</v>
      </c>
      <c r="JR3">
        <f t="shared" si="4"/>
        <v>2049</v>
      </c>
      <c r="JS3">
        <f t="shared" si="4"/>
        <v>2049</v>
      </c>
      <c r="JT3">
        <f t="shared" si="4"/>
        <v>2049</v>
      </c>
      <c r="JU3">
        <f t="shared" si="4"/>
        <v>2049</v>
      </c>
      <c r="JV3">
        <f t="shared" si="4"/>
        <v>2049</v>
      </c>
      <c r="JW3">
        <f t="shared" si="4"/>
        <v>2049</v>
      </c>
      <c r="JX3">
        <f t="shared" si="4"/>
        <v>2049</v>
      </c>
      <c r="JY3">
        <f t="shared" si="4"/>
        <v>2049</v>
      </c>
      <c r="JZ3">
        <f t="shared" si="4"/>
        <v>2050</v>
      </c>
      <c r="KA3">
        <f t="shared" si="4"/>
        <v>2050</v>
      </c>
      <c r="KB3">
        <f t="shared" si="4"/>
        <v>2050</v>
      </c>
      <c r="KC3">
        <f t="shared" si="4"/>
        <v>2050</v>
      </c>
      <c r="KD3">
        <f t="shared" si="4"/>
        <v>2050</v>
      </c>
      <c r="KE3">
        <f t="shared" si="4"/>
        <v>2050</v>
      </c>
      <c r="KF3">
        <f t="shared" si="4"/>
        <v>2050</v>
      </c>
      <c r="KG3">
        <f t="shared" si="4"/>
        <v>2050</v>
      </c>
      <c r="KH3">
        <f t="shared" si="4"/>
        <v>2050</v>
      </c>
      <c r="KI3">
        <f t="shared" si="4"/>
        <v>2050</v>
      </c>
      <c r="KJ3">
        <f t="shared" si="4"/>
        <v>2050</v>
      </c>
      <c r="KK3">
        <f t="shared" si="4"/>
        <v>2050</v>
      </c>
      <c r="KL3">
        <f t="shared" si="4"/>
        <v>2051</v>
      </c>
      <c r="KM3">
        <f t="shared" si="4"/>
        <v>2051</v>
      </c>
      <c r="KN3">
        <f t="shared" si="4"/>
        <v>2051</v>
      </c>
      <c r="KO3">
        <f t="shared" si="4"/>
        <v>2051</v>
      </c>
      <c r="KP3">
        <f t="shared" si="4"/>
        <v>2051</v>
      </c>
      <c r="KQ3">
        <f t="shared" si="4"/>
        <v>2051</v>
      </c>
    </row>
    <row r="4" spans="2:303" x14ac:dyDescent="0.35">
      <c r="D4">
        <v>1</v>
      </c>
      <c r="E4">
        <f>D4+1</f>
        <v>2</v>
      </c>
      <c r="F4">
        <f t="shared" ref="F4:BQ4" si="5">E4+1</f>
        <v>3</v>
      </c>
      <c r="G4">
        <f t="shared" si="5"/>
        <v>4</v>
      </c>
      <c r="H4">
        <f t="shared" si="5"/>
        <v>5</v>
      </c>
      <c r="I4">
        <f t="shared" si="5"/>
        <v>6</v>
      </c>
      <c r="J4">
        <f t="shared" si="5"/>
        <v>7</v>
      </c>
      <c r="K4">
        <f t="shared" si="5"/>
        <v>8</v>
      </c>
      <c r="L4">
        <f t="shared" si="5"/>
        <v>9</v>
      </c>
      <c r="M4">
        <f t="shared" si="5"/>
        <v>10</v>
      </c>
      <c r="N4">
        <f t="shared" si="5"/>
        <v>11</v>
      </c>
      <c r="O4">
        <f t="shared" si="5"/>
        <v>12</v>
      </c>
      <c r="P4">
        <f t="shared" si="5"/>
        <v>13</v>
      </c>
      <c r="Q4">
        <f t="shared" si="5"/>
        <v>14</v>
      </c>
      <c r="R4">
        <f t="shared" si="5"/>
        <v>15</v>
      </c>
      <c r="S4">
        <f t="shared" si="5"/>
        <v>16</v>
      </c>
      <c r="T4">
        <f t="shared" si="5"/>
        <v>17</v>
      </c>
      <c r="U4">
        <f t="shared" si="5"/>
        <v>18</v>
      </c>
      <c r="V4">
        <f t="shared" si="5"/>
        <v>19</v>
      </c>
      <c r="W4">
        <f t="shared" si="5"/>
        <v>20</v>
      </c>
      <c r="X4">
        <f t="shared" si="5"/>
        <v>21</v>
      </c>
      <c r="Y4">
        <f t="shared" si="5"/>
        <v>22</v>
      </c>
      <c r="Z4">
        <f t="shared" si="5"/>
        <v>23</v>
      </c>
      <c r="AA4">
        <f t="shared" si="5"/>
        <v>24</v>
      </c>
      <c r="AB4">
        <f t="shared" si="5"/>
        <v>25</v>
      </c>
      <c r="AC4">
        <f t="shared" si="5"/>
        <v>26</v>
      </c>
      <c r="AD4">
        <f t="shared" si="5"/>
        <v>27</v>
      </c>
      <c r="AE4">
        <f t="shared" si="5"/>
        <v>28</v>
      </c>
      <c r="AF4">
        <f t="shared" si="5"/>
        <v>29</v>
      </c>
      <c r="AG4">
        <f t="shared" si="5"/>
        <v>30</v>
      </c>
      <c r="AH4">
        <f t="shared" si="5"/>
        <v>31</v>
      </c>
      <c r="AI4">
        <f t="shared" si="5"/>
        <v>32</v>
      </c>
      <c r="AJ4">
        <f t="shared" si="5"/>
        <v>33</v>
      </c>
      <c r="AK4">
        <f t="shared" si="5"/>
        <v>34</v>
      </c>
      <c r="AL4">
        <f t="shared" si="5"/>
        <v>35</v>
      </c>
      <c r="AM4">
        <f t="shared" si="5"/>
        <v>36</v>
      </c>
      <c r="AN4">
        <f t="shared" si="5"/>
        <v>37</v>
      </c>
      <c r="AO4">
        <f t="shared" si="5"/>
        <v>38</v>
      </c>
      <c r="AP4">
        <f t="shared" si="5"/>
        <v>39</v>
      </c>
      <c r="AQ4">
        <f t="shared" si="5"/>
        <v>40</v>
      </c>
      <c r="AR4">
        <f t="shared" si="5"/>
        <v>41</v>
      </c>
      <c r="AS4">
        <f t="shared" si="5"/>
        <v>42</v>
      </c>
      <c r="AT4">
        <f t="shared" si="5"/>
        <v>43</v>
      </c>
      <c r="AU4">
        <f t="shared" si="5"/>
        <v>44</v>
      </c>
      <c r="AV4">
        <f t="shared" si="5"/>
        <v>45</v>
      </c>
      <c r="AW4">
        <f t="shared" si="5"/>
        <v>46</v>
      </c>
      <c r="AX4">
        <f t="shared" si="5"/>
        <v>47</v>
      </c>
      <c r="AY4">
        <f t="shared" si="5"/>
        <v>48</v>
      </c>
      <c r="AZ4">
        <f t="shared" si="5"/>
        <v>49</v>
      </c>
      <c r="BA4">
        <f t="shared" si="5"/>
        <v>50</v>
      </c>
      <c r="BB4">
        <f t="shared" si="5"/>
        <v>51</v>
      </c>
      <c r="BC4">
        <f t="shared" si="5"/>
        <v>52</v>
      </c>
      <c r="BD4">
        <f t="shared" si="5"/>
        <v>53</v>
      </c>
      <c r="BE4">
        <f t="shared" si="5"/>
        <v>54</v>
      </c>
      <c r="BF4">
        <f t="shared" si="5"/>
        <v>55</v>
      </c>
      <c r="BG4">
        <f t="shared" si="5"/>
        <v>56</v>
      </c>
      <c r="BH4">
        <f t="shared" si="5"/>
        <v>57</v>
      </c>
      <c r="BI4">
        <f t="shared" si="5"/>
        <v>58</v>
      </c>
      <c r="BJ4">
        <f t="shared" si="5"/>
        <v>59</v>
      </c>
      <c r="BK4">
        <f t="shared" si="5"/>
        <v>60</v>
      </c>
      <c r="BL4">
        <f t="shared" si="5"/>
        <v>61</v>
      </c>
      <c r="BM4">
        <f t="shared" si="5"/>
        <v>62</v>
      </c>
      <c r="BN4">
        <f t="shared" si="5"/>
        <v>63</v>
      </c>
      <c r="BO4">
        <f t="shared" si="5"/>
        <v>64</v>
      </c>
      <c r="BP4">
        <f t="shared" si="5"/>
        <v>65</v>
      </c>
      <c r="BQ4">
        <f t="shared" si="5"/>
        <v>66</v>
      </c>
      <c r="BR4">
        <f t="shared" ref="BR4:EC4" si="6">BQ4+1</f>
        <v>67</v>
      </c>
      <c r="BS4">
        <f t="shared" si="6"/>
        <v>68</v>
      </c>
      <c r="BT4">
        <f t="shared" si="6"/>
        <v>69</v>
      </c>
      <c r="BU4">
        <f t="shared" si="6"/>
        <v>70</v>
      </c>
      <c r="BV4">
        <f t="shared" si="6"/>
        <v>71</v>
      </c>
      <c r="BW4">
        <f t="shared" si="6"/>
        <v>72</v>
      </c>
      <c r="BX4">
        <f t="shared" si="6"/>
        <v>73</v>
      </c>
      <c r="BY4">
        <f t="shared" si="6"/>
        <v>74</v>
      </c>
      <c r="BZ4">
        <f t="shared" si="6"/>
        <v>75</v>
      </c>
      <c r="CA4">
        <f t="shared" si="6"/>
        <v>76</v>
      </c>
      <c r="CB4">
        <f t="shared" si="6"/>
        <v>77</v>
      </c>
      <c r="CC4">
        <f t="shared" si="6"/>
        <v>78</v>
      </c>
      <c r="CD4">
        <f t="shared" si="6"/>
        <v>79</v>
      </c>
      <c r="CE4">
        <f t="shared" si="6"/>
        <v>80</v>
      </c>
      <c r="CF4">
        <f t="shared" si="6"/>
        <v>81</v>
      </c>
      <c r="CG4">
        <f t="shared" si="6"/>
        <v>82</v>
      </c>
      <c r="CH4">
        <f t="shared" si="6"/>
        <v>83</v>
      </c>
      <c r="CI4">
        <f t="shared" si="6"/>
        <v>84</v>
      </c>
      <c r="CJ4">
        <f t="shared" si="6"/>
        <v>85</v>
      </c>
      <c r="CK4">
        <f t="shared" si="6"/>
        <v>86</v>
      </c>
      <c r="CL4">
        <f t="shared" si="6"/>
        <v>87</v>
      </c>
      <c r="CM4">
        <f t="shared" si="6"/>
        <v>88</v>
      </c>
      <c r="CN4">
        <f t="shared" si="6"/>
        <v>89</v>
      </c>
      <c r="CO4">
        <f t="shared" si="6"/>
        <v>90</v>
      </c>
      <c r="CP4">
        <f t="shared" si="6"/>
        <v>91</v>
      </c>
      <c r="CQ4">
        <f t="shared" si="6"/>
        <v>92</v>
      </c>
      <c r="CR4">
        <f t="shared" si="6"/>
        <v>93</v>
      </c>
      <c r="CS4">
        <f t="shared" si="6"/>
        <v>94</v>
      </c>
      <c r="CT4">
        <f t="shared" si="6"/>
        <v>95</v>
      </c>
      <c r="CU4">
        <f t="shared" si="6"/>
        <v>96</v>
      </c>
      <c r="CV4">
        <f t="shared" si="6"/>
        <v>97</v>
      </c>
      <c r="CW4">
        <f t="shared" si="6"/>
        <v>98</v>
      </c>
      <c r="CX4">
        <f t="shared" si="6"/>
        <v>99</v>
      </c>
      <c r="CY4">
        <f t="shared" si="6"/>
        <v>100</v>
      </c>
      <c r="CZ4">
        <f t="shared" si="6"/>
        <v>101</v>
      </c>
      <c r="DA4">
        <f t="shared" si="6"/>
        <v>102</v>
      </c>
      <c r="DB4">
        <f t="shared" si="6"/>
        <v>103</v>
      </c>
      <c r="DC4">
        <f t="shared" si="6"/>
        <v>104</v>
      </c>
      <c r="DD4">
        <f t="shared" si="6"/>
        <v>105</v>
      </c>
      <c r="DE4">
        <f t="shared" si="6"/>
        <v>106</v>
      </c>
      <c r="DF4">
        <f t="shared" si="6"/>
        <v>107</v>
      </c>
      <c r="DG4">
        <f t="shared" si="6"/>
        <v>108</v>
      </c>
      <c r="DH4">
        <f t="shared" si="6"/>
        <v>109</v>
      </c>
      <c r="DI4">
        <f t="shared" si="6"/>
        <v>110</v>
      </c>
      <c r="DJ4">
        <f t="shared" si="6"/>
        <v>111</v>
      </c>
      <c r="DK4">
        <f t="shared" si="6"/>
        <v>112</v>
      </c>
      <c r="DL4">
        <f t="shared" si="6"/>
        <v>113</v>
      </c>
      <c r="DM4">
        <f t="shared" si="6"/>
        <v>114</v>
      </c>
      <c r="DN4">
        <f t="shared" si="6"/>
        <v>115</v>
      </c>
      <c r="DO4">
        <f t="shared" si="6"/>
        <v>116</v>
      </c>
      <c r="DP4">
        <f t="shared" si="6"/>
        <v>117</v>
      </c>
      <c r="DQ4">
        <f t="shared" si="6"/>
        <v>118</v>
      </c>
      <c r="DR4">
        <f t="shared" si="6"/>
        <v>119</v>
      </c>
      <c r="DS4">
        <f t="shared" si="6"/>
        <v>120</v>
      </c>
      <c r="DT4">
        <f t="shared" si="6"/>
        <v>121</v>
      </c>
      <c r="DU4">
        <f t="shared" si="6"/>
        <v>122</v>
      </c>
      <c r="DV4">
        <f t="shared" si="6"/>
        <v>123</v>
      </c>
      <c r="DW4">
        <f t="shared" si="6"/>
        <v>124</v>
      </c>
      <c r="DX4">
        <f t="shared" si="6"/>
        <v>125</v>
      </c>
      <c r="DY4">
        <f t="shared" si="6"/>
        <v>126</v>
      </c>
      <c r="DZ4">
        <f t="shared" si="6"/>
        <v>127</v>
      </c>
      <c r="EA4">
        <f t="shared" si="6"/>
        <v>128</v>
      </c>
      <c r="EB4">
        <f t="shared" si="6"/>
        <v>129</v>
      </c>
      <c r="EC4">
        <f t="shared" si="6"/>
        <v>130</v>
      </c>
      <c r="ED4">
        <f t="shared" ref="ED4:GO4" si="7">EC4+1</f>
        <v>131</v>
      </c>
      <c r="EE4">
        <f t="shared" si="7"/>
        <v>132</v>
      </c>
      <c r="EF4">
        <f t="shared" si="7"/>
        <v>133</v>
      </c>
      <c r="EG4">
        <f t="shared" si="7"/>
        <v>134</v>
      </c>
      <c r="EH4">
        <f t="shared" si="7"/>
        <v>135</v>
      </c>
      <c r="EI4">
        <f t="shared" si="7"/>
        <v>136</v>
      </c>
      <c r="EJ4">
        <f t="shared" si="7"/>
        <v>137</v>
      </c>
      <c r="EK4">
        <f t="shared" si="7"/>
        <v>138</v>
      </c>
      <c r="EL4">
        <f t="shared" si="7"/>
        <v>139</v>
      </c>
      <c r="EM4">
        <f t="shared" si="7"/>
        <v>140</v>
      </c>
      <c r="EN4">
        <f t="shared" si="7"/>
        <v>141</v>
      </c>
      <c r="EO4">
        <f t="shared" si="7"/>
        <v>142</v>
      </c>
      <c r="EP4">
        <f t="shared" si="7"/>
        <v>143</v>
      </c>
      <c r="EQ4">
        <f t="shared" si="7"/>
        <v>144</v>
      </c>
      <c r="ER4">
        <f t="shared" si="7"/>
        <v>145</v>
      </c>
      <c r="ES4">
        <f t="shared" si="7"/>
        <v>146</v>
      </c>
      <c r="ET4">
        <f t="shared" si="7"/>
        <v>147</v>
      </c>
      <c r="EU4">
        <f t="shared" si="7"/>
        <v>148</v>
      </c>
      <c r="EV4">
        <f t="shared" si="7"/>
        <v>149</v>
      </c>
      <c r="EW4">
        <f t="shared" si="7"/>
        <v>150</v>
      </c>
      <c r="EX4">
        <f t="shared" si="7"/>
        <v>151</v>
      </c>
      <c r="EY4">
        <f t="shared" si="7"/>
        <v>152</v>
      </c>
      <c r="EZ4">
        <f t="shared" si="7"/>
        <v>153</v>
      </c>
      <c r="FA4">
        <f t="shared" si="7"/>
        <v>154</v>
      </c>
      <c r="FB4">
        <f t="shared" si="7"/>
        <v>155</v>
      </c>
      <c r="FC4">
        <f t="shared" si="7"/>
        <v>156</v>
      </c>
      <c r="FD4">
        <f t="shared" si="7"/>
        <v>157</v>
      </c>
      <c r="FE4">
        <f t="shared" si="7"/>
        <v>158</v>
      </c>
      <c r="FF4">
        <f t="shared" si="7"/>
        <v>159</v>
      </c>
      <c r="FG4">
        <f t="shared" si="7"/>
        <v>160</v>
      </c>
      <c r="FH4">
        <f t="shared" si="7"/>
        <v>161</v>
      </c>
      <c r="FI4">
        <f t="shared" si="7"/>
        <v>162</v>
      </c>
      <c r="FJ4">
        <f t="shared" si="7"/>
        <v>163</v>
      </c>
      <c r="FK4">
        <f t="shared" si="7"/>
        <v>164</v>
      </c>
      <c r="FL4">
        <f t="shared" si="7"/>
        <v>165</v>
      </c>
      <c r="FM4">
        <f t="shared" si="7"/>
        <v>166</v>
      </c>
      <c r="FN4">
        <f t="shared" si="7"/>
        <v>167</v>
      </c>
      <c r="FO4">
        <f t="shared" si="7"/>
        <v>168</v>
      </c>
      <c r="FP4">
        <f t="shared" si="7"/>
        <v>169</v>
      </c>
      <c r="FQ4">
        <f t="shared" si="7"/>
        <v>170</v>
      </c>
      <c r="FR4">
        <f t="shared" si="7"/>
        <v>171</v>
      </c>
      <c r="FS4">
        <f t="shared" si="7"/>
        <v>172</v>
      </c>
      <c r="FT4">
        <f t="shared" si="7"/>
        <v>173</v>
      </c>
      <c r="FU4">
        <f t="shared" si="7"/>
        <v>174</v>
      </c>
      <c r="FV4">
        <f t="shared" si="7"/>
        <v>175</v>
      </c>
      <c r="FW4">
        <f t="shared" si="7"/>
        <v>176</v>
      </c>
      <c r="FX4">
        <f t="shared" si="7"/>
        <v>177</v>
      </c>
      <c r="FY4">
        <f t="shared" si="7"/>
        <v>178</v>
      </c>
      <c r="FZ4">
        <f t="shared" si="7"/>
        <v>179</v>
      </c>
      <c r="GA4">
        <f t="shared" si="7"/>
        <v>180</v>
      </c>
      <c r="GB4">
        <f t="shared" si="7"/>
        <v>181</v>
      </c>
      <c r="GC4">
        <f t="shared" si="7"/>
        <v>182</v>
      </c>
      <c r="GD4">
        <f t="shared" si="7"/>
        <v>183</v>
      </c>
      <c r="GE4">
        <f t="shared" si="7"/>
        <v>184</v>
      </c>
      <c r="GF4">
        <f t="shared" si="7"/>
        <v>185</v>
      </c>
      <c r="GG4">
        <f t="shared" si="7"/>
        <v>186</v>
      </c>
      <c r="GH4">
        <f t="shared" si="7"/>
        <v>187</v>
      </c>
      <c r="GI4">
        <f t="shared" si="7"/>
        <v>188</v>
      </c>
      <c r="GJ4">
        <f t="shared" si="7"/>
        <v>189</v>
      </c>
      <c r="GK4">
        <f t="shared" si="7"/>
        <v>190</v>
      </c>
      <c r="GL4">
        <f t="shared" si="7"/>
        <v>191</v>
      </c>
      <c r="GM4">
        <f t="shared" si="7"/>
        <v>192</v>
      </c>
      <c r="GN4">
        <f t="shared" si="7"/>
        <v>193</v>
      </c>
      <c r="GO4">
        <f t="shared" si="7"/>
        <v>194</v>
      </c>
      <c r="GP4">
        <f t="shared" ref="GP4:JA4" si="8">GO4+1</f>
        <v>195</v>
      </c>
      <c r="GQ4">
        <f t="shared" si="8"/>
        <v>196</v>
      </c>
      <c r="GR4">
        <f t="shared" si="8"/>
        <v>197</v>
      </c>
      <c r="GS4">
        <f t="shared" si="8"/>
        <v>198</v>
      </c>
      <c r="GT4">
        <f t="shared" si="8"/>
        <v>199</v>
      </c>
      <c r="GU4">
        <f t="shared" si="8"/>
        <v>200</v>
      </c>
      <c r="GV4">
        <f t="shared" si="8"/>
        <v>201</v>
      </c>
      <c r="GW4">
        <f t="shared" si="8"/>
        <v>202</v>
      </c>
      <c r="GX4">
        <f t="shared" si="8"/>
        <v>203</v>
      </c>
      <c r="GY4">
        <f t="shared" si="8"/>
        <v>204</v>
      </c>
      <c r="GZ4">
        <f t="shared" si="8"/>
        <v>205</v>
      </c>
      <c r="HA4">
        <f t="shared" si="8"/>
        <v>206</v>
      </c>
      <c r="HB4">
        <f t="shared" si="8"/>
        <v>207</v>
      </c>
      <c r="HC4">
        <f t="shared" si="8"/>
        <v>208</v>
      </c>
      <c r="HD4">
        <f t="shared" si="8"/>
        <v>209</v>
      </c>
      <c r="HE4">
        <f t="shared" si="8"/>
        <v>210</v>
      </c>
      <c r="HF4">
        <f t="shared" si="8"/>
        <v>211</v>
      </c>
      <c r="HG4">
        <f t="shared" si="8"/>
        <v>212</v>
      </c>
      <c r="HH4">
        <f t="shared" si="8"/>
        <v>213</v>
      </c>
      <c r="HI4">
        <f t="shared" si="8"/>
        <v>214</v>
      </c>
      <c r="HJ4">
        <f t="shared" si="8"/>
        <v>215</v>
      </c>
      <c r="HK4">
        <f t="shared" si="8"/>
        <v>216</v>
      </c>
      <c r="HL4">
        <f t="shared" si="8"/>
        <v>217</v>
      </c>
      <c r="HM4">
        <f t="shared" si="8"/>
        <v>218</v>
      </c>
      <c r="HN4">
        <f t="shared" si="8"/>
        <v>219</v>
      </c>
      <c r="HO4">
        <f t="shared" si="8"/>
        <v>220</v>
      </c>
      <c r="HP4">
        <f t="shared" si="8"/>
        <v>221</v>
      </c>
      <c r="HQ4">
        <f t="shared" si="8"/>
        <v>222</v>
      </c>
      <c r="HR4">
        <f t="shared" si="8"/>
        <v>223</v>
      </c>
      <c r="HS4">
        <f t="shared" si="8"/>
        <v>224</v>
      </c>
      <c r="HT4">
        <f t="shared" si="8"/>
        <v>225</v>
      </c>
      <c r="HU4">
        <f t="shared" si="8"/>
        <v>226</v>
      </c>
      <c r="HV4">
        <f t="shared" si="8"/>
        <v>227</v>
      </c>
      <c r="HW4">
        <f t="shared" si="8"/>
        <v>228</v>
      </c>
      <c r="HX4">
        <f t="shared" si="8"/>
        <v>229</v>
      </c>
      <c r="HY4">
        <f t="shared" si="8"/>
        <v>230</v>
      </c>
      <c r="HZ4">
        <f t="shared" si="8"/>
        <v>231</v>
      </c>
      <c r="IA4">
        <f t="shared" si="8"/>
        <v>232</v>
      </c>
      <c r="IB4">
        <f t="shared" si="8"/>
        <v>233</v>
      </c>
      <c r="IC4">
        <f t="shared" si="8"/>
        <v>234</v>
      </c>
      <c r="ID4">
        <f t="shared" si="8"/>
        <v>235</v>
      </c>
      <c r="IE4">
        <f t="shared" si="8"/>
        <v>236</v>
      </c>
      <c r="IF4">
        <f t="shared" si="8"/>
        <v>237</v>
      </c>
      <c r="IG4">
        <f t="shared" si="8"/>
        <v>238</v>
      </c>
      <c r="IH4">
        <f t="shared" si="8"/>
        <v>239</v>
      </c>
      <c r="II4">
        <f t="shared" si="8"/>
        <v>240</v>
      </c>
      <c r="IJ4">
        <f t="shared" si="8"/>
        <v>241</v>
      </c>
      <c r="IK4">
        <f t="shared" si="8"/>
        <v>242</v>
      </c>
      <c r="IL4">
        <f t="shared" si="8"/>
        <v>243</v>
      </c>
      <c r="IM4">
        <f t="shared" si="8"/>
        <v>244</v>
      </c>
      <c r="IN4">
        <f t="shared" si="8"/>
        <v>245</v>
      </c>
      <c r="IO4">
        <f t="shared" si="8"/>
        <v>246</v>
      </c>
      <c r="IP4">
        <f t="shared" si="8"/>
        <v>247</v>
      </c>
      <c r="IQ4">
        <f t="shared" si="8"/>
        <v>248</v>
      </c>
      <c r="IR4">
        <f t="shared" si="8"/>
        <v>249</v>
      </c>
      <c r="IS4">
        <f t="shared" si="8"/>
        <v>250</v>
      </c>
      <c r="IT4">
        <f t="shared" si="8"/>
        <v>251</v>
      </c>
      <c r="IU4">
        <f t="shared" si="8"/>
        <v>252</v>
      </c>
      <c r="IV4">
        <f t="shared" si="8"/>
        <v>253</v>
      </c>
      <c r="IW4">
        <f t="shared" si="8"/>
        <v>254</v>
      </c>
      <c r="IX4">
        <f t="shared" si="8"/>
        <v>255</v>
      </c>
      <c r="IY4">
        <f t="shared" si="8"/>
        <v>256</v>
      </c>
      <c r="IZ4">
        <f t="shared" si="8"/>
        <v>257</v>
      </c>
      <c r="JA4">
        <f t="shared" si="8"/>
        <v>258</v>
      </c>
      <c r="JB4">
        <f t="shared" ref="JB4:KQ4" si="9">JA4+1</f>
        <v>259</v>
      </c>
      <c r="JC4">
        <f t="shared" si="9"/>
        <v>260</v>
      </c>
      <c r="JD4">
        <f t="shared" si="9"/>
        <v>261</v>
      </c>
      <c r="JE4">
        <f t="shared" si="9"/>
        <v>262</v>
      </c>
      <c r="JF4">
        <f t="shared" si="9"/>
        <v>263</v>
      </c>
      <c r="JG4">
        <f t="shared" si="9"/>
        <v>264</v>
      </c>
      <c r="JH4">
        <f t="shared" si="9"/>
        <v>265</v>
      </c>
      <c r="JI4">
        <f t="shared" si="9"/>
        <v>266</v>
      </c>
      <c r="JJ4">
        <f t="shared" si="9"/>
        <v>267</v>
      </c>
      <c r="JK4">
        <f t="shared" si="9"/>
        <v>268</v>
      </c>
      <c r="JL4">
        <f t="shared" si="9"/>
        <v>269</v>
      </c>
      <c r="JM4">
        <f t="shared" si="9"/>
        <v>270</v>
      </c>
      <c r="JN4">
        <f t="shared" si="9"/>
        <v>271</v>
      </c>
      <c r="JO4">
        <f t="shared" si="9"/>
        <v>272</v>
      </c>
      <c r="JP4">
        <f t="shared" si="9"/>
        <v>273</v>
      </c>
      <c r="JQ4">
        <f t="shared" si="9"/>
        <v>274</v>
      </c>
      <c r="JR4">
        <f t="shared" si="9"/>
        <v>275</v>
      </c>
      <c r="JS4">
        <f t="shared" si="9"/>
        <v>276</v>
      </c>
      <c r="JT4">
        <f t="shared" si="9"/>
        <v>277</v>
      </c>
      <c r="JU4">
        <f t="shared" si="9"/>
        <v>278</v>
      </c>
      <c r="JV4">
        <f t="shared" si="9"/>
        <v>279</v>
      </c>
      <c r="JW4">
        <f t="shared" si="9"/>
        <v>280</v>
      </c>
      <c r="JX4">
        <f t="shared" si="9"/>
        <v>281</v>
      </c>
      <c r="JY4">
        <f t="shared" si="9"/>
        <v>282</v>
      </c>
      <c r="JZ4">
        <f t="shared" si="9"/>
        <v>283</v>
      </c>
      <c r="KA4">
        <f t="shared" si="9"/>
        <v>284</v>
      </c>
      <c r="KB4">
        <f t="shared" si="9"/>
        <v>285</v>
      </c>
      <c r="KC4">
        <f t="shared" si="9"/>
        <v>286</v>
      </c>
      <c r="KD4">
        <f t="shared" si="9"/>
        <v>287</v>
      </c>
      <c r="KE4">
        <f t="shared" si="9"/>
        <v>288</v>
      </c>
      <c r="KF4">
        <f t="shared" si="9"/>
        <v>289</v>
      </c>
      <c r="KG4">
        <f t="shared" si="9"/>
        <v>290</v>
      </c>
      <c r="KH4">
        <f t="shared" si="9"/>
        <v>291</v>
      </c>
      <c r="KI4">
        <f t="shared" si="9"/>
        <v>292</v>
      </c>
      <c r="KJ4">
        <f t="shared" si="9"/>
        <v>293</v>
      </c>
      <c r="KK4">
        <f t="shared" si="9"/>
        <v>294</v>
      </c>
      <c r="KL4">
        <f t="shared" si="9"/>
        <v>295</v>
      </c>
      <c r="KM4">
        <f t="shared" si="9"/>
        <v>296</v>
      </c>
      <c r="KN4">
        <f t="shared" si="9"/>
        <v>297</v>
      </c>
      <c r="KO4">
        <f t="shared" si="9"/>
        <v>298</v>
      </c>
      <c r="KP4">
        <f t="shared" si="9"/>
        <v>299</v>
      </c>
      <c r="KQ4">
        <f t="shared" si="9"/>
        <v>300</v>
      </c>
    </row>
    <row r="5" spans="2:303" x14ac:dyDescent="0.35">
      <c r="B5" s="115"/>
      <c r="C5" s="116"/>
      <c r="D5" s="174">
        <f>MONTH(D6)</f>
        <v>7</v>
      </c>
      <c r="E5" s="174">
        <f t="shared" ref="E5:BP5" si="10">MONTH(E6)</f>
        <v>8</v>
      </c>
      <c r="F5" s="174">
        <f t="shared" si="10"/>
        <v>9</v>
      </c>
      <c r="G5" s="174">
        <f t="shared" si="10"/>
        <v>10</v>
      </c>
      <c r="H5" s="174">
        <f t="shared" si="10"/>
        <v>11</v>
      </c>
      <c r="I5" s="174">
        <f t="shared" si="10"/>
        <v>12</v>
      </c>
      <c r="J5" s="174">
        <f t="shared" si="10"/>
        <v>1</v>
      </c>
      <c r="K5" s="174">
        <f t="shared" si="10"/>
        <v>2</v>
      </c>
      <c r="L5" s="174">
        <f t="shared" si="10"/>
        <v>3</v>
      </c>
      <c r="M5" s="174">
        <f t="shared" si="10"/>
        <v>4</v>
      </c>
      <c r="N5" s="174">
        <f t="shared" si="10"/>
        <v>5</v>
      </c>
      <c r="O5" s="174">
        <f t="shared" si="10"/>
        <v>6</v>
      </c>
      <c r="P5" s="174">
        <f t="shared" si="10"/>
        <v>7</v>
      </c>
      <c r="Q5" s="174">
        <f t="shared" si="10"/>
        <v>8</v>
      </c>
      <c r="R5" s="174">
        <f t="shared" si="10"/>
        <v>9</v>
      </c>
      <c r="S5" s="174">
        <f t="shared" si="10"/>
        <v>10</v>
      </c>
      <c r="T5" s="174">
        <f t="shared" si="10"/>
        <v>11</v>
      </c>
      <c r="U5" s="174">
        <f t="shared" si="10"/>
        <v>12</v>
      </c>
      <c r="V5" s="174">
        <f t="shared" si="10"/>
        <v>1</v>
      </c>
      <c r="W5" s="174">
        <f t="shared" si="10"/>
        <v>2</v>
      </c>
      <c r="X5" s="174">
        <f t="shared" si="10"/>
        <v>3</v>
      </c>
      <c r="Y5" s="174">
        <f t="shared" si="10"/>
        <v>4</v>
      </c>
      <c r="Z5" s="174">
        <f t="shared" si="10"/>
        <v>5</v>
      </c>
      <c r="AA5" s="174">
        <f t="shared" si="10"/>
        <v>6</v>
      </c>
      <c r="AB5" s="174">
        <f t="shared" si="10"/>
        <v>7</v>
      </c>
      <c r="AC5" s="174">
        <f t="shared" si="10"/>
        <v>8</v>
      </c>
      <c r="AD5" s="174">
        <f t="shared" si="10"/>
        <v>9</v>
      </c>
      <c r="AE5" s="174">
        <f t="shared" si="10"/>
        <v>10</v>
      </c>
      <c r="AF5" s="174">
        <f t="shared" si="10"/>
        <v>11</v>
      </c>
      <c r="AG5" s="174">
        <f t="shared" si="10"/>
        <v>12</v>
      </c>
      <c r="AH5" s="174">
        <f t="shared" si="10"/>
        <v>1</v>
      </c>
      <c r="AI5" s="174">
        <f t="shared" si="10"/>
        <v>2</v>
      </c>
      <c r="AJ5" s="174">
        <f t="shared" si="10"/>
        <v>3</v>
      </c>
      <c r="AK5" s="174">
        <f t="shared" si="10"/>
        <v>4</v>
      </c>
      <c r="AL5" s="174">
        <f t="shared" si="10"/>
        <v>5</v>
      </c>
      <c r="AM5" s="174">
        <f t="shared" si="10"/>
        <v>6</v>
      </c>
      <c r="AN5" s="174">
        <f t="shared" si="10"/>
        <v>7</v>
      </c>
      <c r="AO5" s="174">
        <f t="shared" si="10"/>
        <v>8</v>
      </c>
      <c r="AP5" s="174">
        <f t="shared" si="10"/>
        <v>9</v>
      </c>
      <c r="AQ5" s="174">
        <f t="shared" si="10"/>
        <v>10</v>
      </c>
      <c r="AR5" s="174">
        <f t="shared" si="10"/>
        <v>11</v>
      </c>
      <c r="AS5" s="174">
        <f t="shared" si="10"/>
        <v>12</v>
      </c>
      <c r="AT5" s="174">
        <f t="shared" si="10"/>
        <v>1</v>
      </c>
      <c r="AU5" s="174">
        <f t="shared" si="10"/>
        <v>2</v>
      </c>
      <c r="AV5" s="174">
        <f t="shared" si="10"/>
        <v>3</v>
      </c>
      <c r="AW5" s="174">
        <f t="shared" si="10"/>
        <v>4</v>
      </c>
      <c r="AX5" s="174">
        <f t="shared" si="10"/>
        <v>5</v>
      </c>
      <c r="AY5" s="174">
        <f t="shared" si="10"/>
        <v>6</v>
      </c>
      <c r="AZ5" s="174">
        <f t="shared" si="10"/>
        <v>7</v>
      </c>
      <c r="BA5" s="174">
        <f t="shared" si="10"/>
        <v>8</v>
      </c>
      <c r="BB5" s="174">
        <f t="shared" si="10"/>
        <v>9</v>
      </c>
      <c r="BC5" s="174">
        <f t="shared" si="10"/>
        <v>10</v>
      </c>
      <c r="BD5" s="174">
        <f t="shared" si="10"/>
        <v>11</v>
      </c>
      <c r="BE5" s="174">
        <f t="shared" si="10"/>
        <v>12</v>
      </c>
      <c r="BF5" s="174">
        <f t="shared" si="10"/>
        <v>1</v>
      </c>
      <c r="BG5" s="174">
        <f t="shared" si="10"/>
        <v>2</v>
      </c>
      <c r="BH5" s="174">
        <f t="shared" si="10"/>
        <v>3</v>
      </c>
      <c r="BI5" s="174">
        <f t="shared" si="10"/>
        <v>4</v>
      </c>
      <c r="BJ5" s="174">
        <f t="shared" si="10"/>
        <v>5</v>
      </c>
      <c r="BK5" s="174">
        <f t="shared" si="10"/>
        <v>6</v>
      </c>
      <c r="BL5" s="174">
        <f t="shared" si="10"/>
        <v>7</v>
      </c>
      <c r="BM5" s="174">
        <f t="shared" si="10"/>
        <v>8</v>
      </c>
      <c r="BN5" s="174">
        <f t="shared" si="10"/>
        <v>9</v>
      </c>
      <c r="BO5" s="174">
        <f t="shared" si="10"/>
        <v>10</v>
      </c>
      <c r="BP5" s="174">
        <f t="shared" si="10"/>
        <v>11</v>
      </c>
      <c r="BQ5" s="174">
        <f t="shared" ref="BQ5:EB5" si="11">MONTH(BQ6)</f>
        <v>12</v>
      </c>
      <c r="BR5" s="174">
        <f t="shared" si="11"/>
        <v>1</v>
      </c>
      <c r="BS5" s="174">
        <f t="shared" si="11"/>
        <v>2</v>
      </c>
      <c r="BT5" s="174">
        <f t="shared" si="11"/>
        <v>3</v>
      </c>
      <c r="BU5" s="174">
        <f t="shared" si="11"/>
        <v>4</v>
      </c>
      <c r="BV5" s="174">
        <f t="shared" si="11"/>
        <v>5</v>
      </c>
      <c r="BW5" s="174">
        <f t="shared" si="11"/>
        <v>6</v>
      </c>
      <c r="BX5" s="174">
        <f t="shared" si="11"/>
        <v>7</v>
      </c>
      <c r="BY5" s="174">
        <f t="shared" si="11"/>
        <v>8</v>
      </c>
      <c r="BZ5" s="174">
        <f t="shared" si="11"/>
        <v>9</v>
      </c>
      <c r="CA5" s="174">
        <f t="shared" si="11"/>
        <v>10</v>
      </c>
      <c r="CB5" s="174">
        <f t="shared" si="11"/>
        <v>11</v>
      </c>
      <c r="CC5" s="174">
        <f t="shared" si="11"/>
        <v>12</v>
      </c>
      <c r="CD5" s="174">
        <f t="shared" si="11"/>
        <v>1</v>
      </c>
      <c r="CE5" s="174">
        <f t="shared" si="11"/>
        <v>2</v>
      </c>
      <c r="CF5" s="174">
        <f t="shared" si="11"/>
        <v>3</v>
      </c>
      <c r="CG5" s="174">
        <f t="shared" si="11"/>
        <v>4</v>
      </c>
      <c r="CH5" s="174">
        <f t="shared" si="11"/>
        <v>5</v>
      </c>
      <c r="CI5" s="174">
        <f t="shared" si="11"/>
        <v>6</v>
      </c>
      <c r="CJ5" s="174">
        <f t="shared" si="11"/>
        <v>7</v>
      </c>
      <c r="CK5" s="174">
        <f t="shared" si="11"/>
        <v>8</v>
      </c>
      <c r="CL5" s="174">
        <f t="shared" si="11"/>
        <v>9</v>
      </c>
      <c r="CM5" s="174">
        <f t="shared" si="11"/>
        <v>10</v>
      </c>
      <c r="CN5" s="174">
        <f t="shared" si="11"/>
        <v>11</v>
      </c>
      <c r="CO5" s="174">
        <f t="shared" si="11"/>
        <v>12</v>
      </c>
      <c r="CP5" s="174">
        <f t="shared" si="11"/>
        <v>1</v>
      </c>
      <c r="CQ5" s="174">
        <f t="shared" si="11"/>
        <v>2</v>
      </c>
      <c r="CR5" s="174">
        <f t="shared" si="11"/>
        <v>3</v>
      </c>
      <c r="CS5" s="174">
        <f t="shared" si="11"/>
        <v>4</v>
      </c>
      <c r="CT5" s="174">
        <f t="shared" si="11"/>
        <v>5</v>
      </c>
      <c r="CU5" s="174">
        <f t="shared" si="11"/>
        <v>6</v>
      </c>
      <c r="CV5" s="174">
        <f t="shared" si="11"/>
        <v>7</v>
      </c>
      <c r="CW5" s="174">
        <f t="shared" si="11"/>
        <v>8</v>
      </c>
      <c r="CX5" s="174">
        <f t="shared" si="11"/>
        <v>9</v>
      </c>
      <c r="CY5" s="174">
        <f t="shared" si="11"/>
        <v>10</v>
      </c>
      <c r="CZ5" s="174">
        <f t="shared" si="11"/>
        <v>11</v>
      </c>
      <c r="DA5" s="174">
        <f t="shared" si="11"/>
        <v>12</v>
      </c>
      <c r="DB5" s="174">
        <f t="shared" si="11"/>
        <v>1</v>
      </c>
      <c r="DC5" s="174">
        <f t="shared" si="11"/>
        <v>2</v>
      </c>
      <c r="DD5" s="174">
        <f t="shared" si="11"/>
        <v>3</v>
      </c>
      <c r="DE5" s="174">
        <f t="shared" si="11"/>
        <v>4</v>
      </c>
      <c r="DF5" s="174">
        <f t="shared" si="11"/>
        <v>5</v>
      </c>
      <c r="DG5" s="174">
        <f t="shared" si="11"/>
        <v>6</v>
      </c>
      <c r="DH5" s="174">
        <f t="shared" si="11"/>
        <v>7</v>
      </c>
      <c r="DI5" s="174">
        <f t="shared" si="11"/>
        <v>8</v>
      </c>
      <c r="DJ5" s="174">
        <f t="shared" si="11"/>
        <v>9</v>
      </c>
      <c r="DK5" s="174">
        <f t="shared" si="11"/>
        <v>10</v>
      </c>
      <c r="DL5" s="174">
        <f t="shared" si="11"/>
        <v>11</v>
      </c>
      <c r="DM5" s="174">
        <f t="shared" si="11"/>
        <v>12</v>
      </c>
      <c r="DN5" s="174">
        <f t="shared" si="11"/>
        <v>1</v>
      </c>
      <c r="DO5" s="174">
        <f t="shared" si="11"/>
        <v>2</v>
      </c>
      <c r="DP5" s="174">
        <f t="shared" si="11"/>
        <v>3</v>
      </c>
      <c r="DQ5" s="174">
        <f t="shared" si="11"/>
        <v>4</v>
      </c>
      <c r="DR5" s="174">
        <f t="shared" si="11"/>
        <v>5</v>
      </c>
      <c r="DS5" s="174">
        <f t="shared" si="11"/>
        <v>6</v>
      </c>
      <c r="DT5" s="174">
        <f t="shared" si="11"/>
        <v>7</v>
      </c>
      <c r="DU5" s="174">
        <f t="shared" si="11"/>
        <v>8</v>
      </c>
      <c r="DV5" s="174">
        <f t="shared" si="11"/>
        <v>9</v>
      </c>
      <c r="DW5" s="174">
        <f t="shared" si="11"/>
        <v>10</v>
      </c>
      <c r="DX5" s="174">
        <f t="shared" si="11"/>
        <v>11</v>
      </c>
      <c r="DY5" s="174">
        <f t="shared" si="11"/>
        <v>12</v>
      </c>
      <c r="DZ5" s="174">
        <f t="shared" si="11"/>
        <v>1</v>
      </c>
      <c r="EA5" s="174">
        <f t="shared" si="11"/>
        <v>2</v>
      </c>
      <c r="EB5" s="174">
        <f t="shared" si="11"/>
        <v>3</v>
      </c>
      <c r="EC5" s="174">
        <f t="shared" ref="EC5:GN5" si="12">MONTH(EC6)</f>
        <v>4</v>
      </c>
      <c r="ED5" s="174">
        <f t="shared" si="12"/>
        <v>5</v>
      </c>
      <c r="EE5" s="174">
        <f t="shared" si="12"/>
        <v>6</v>
      </c>
      <c r="EF5" s="174">
        <f t="shared" si="12"/>
        <v>7</v>
      </c>
      <c r="EG5" s="174">
        <f t="shared" si="12"/>
        <v>8</v>
      </c>
      <c r="EH5" s="174">
        <f t="shared" si="12"/>
        <v>9</v>
      </c>
      <c r="EI5" s="174">
        <f t="shared" si="12"/>
        <v>10</v>
      </c>
      <c r="EJ5" s="174">
        <f t="shared" si="12"/>
        <v>11</v>
      </c>
      <c r="EK5" s="174">
        <f t="shared" si="12"/>
        <v>12</v>
      </c>
      <c r="EL5" s="174">
        <f t="shared" si="12"/>
        <v>1</v>
      </c>
      <c r="EM5" s="174">
        <f t="shared" si="12"/>
        <v>2</v>
      </c>
      <c r="EN5" s="174">
        <f t="shared" si="12"/>
        <v>3</v>
      </c>
      <c r="EO5" s="174">
        <f t="shared" si="12"/>
        <v>4</v>
      </c>
      <c r="EP5" s="174">
        <f t="shared" si="12"/>
        <v>5</v>
      </c>
      <c r="EQ5" s="174">
        <f t="shared" si="12"/>
        <v>6</v>
      </c>
      <c r="ER5" s="174">
        <f t="shared" si="12"/>
        <v>7</v>
      </c>
      <c r="ES5" s="174">
        <f t="shared" si="12"/>
        <v>8</v>
      </c>
      <c r="ET5" s="174">
        <f t="shared" si="12"/>
        <v>9</v>
      </c>
      <c r="EU5" s="174">
        <f t="shared" si="12"/>
        <v>10</v>
      </c>
      <c r="EV5" s="174">
        <f t="shared" si="12"/>
        <v>11</v>
      </c>
      <c r="EW5" s="174">
        <f t="shared" si="12"/>
        <v>12</v>
      </c>
      <c r="EX5" s="174">
        <f t="shared" si="12"/>
        <v>1</v>
      </c>
      <c r="EY5" s="174">
        <f t="shared" si="12"/>
        <v>2</v>
      </c>
      <c r="EZ5" s="174">
        <f t="shared" si="12"/>
        <v>3</v>
      </c>
      <c r="FA5" s="174">
        <f t="shared" si="12"/>
        <v>4</v>
      </c>
      <c r="FB5" s="174">
        <f t="shared" si="12"/>
        <v>5</v>
      </c>
      <c r="FC5" s="174">
        <f t="shared" si="12"/>
        <v>6</v>
      </c>
      <c r="FD5" s="174">
        <f t="shared" si="12"/>
        <v>7</v>
      </c>
      <c r="FE5" s="174">
        <f t="shared" si="12"/>
        <v>8</v>
      </c>
      <c r="FF5" s="174">
        <f t="shared" si="12"/>
        <v>9</v>
      </c>
      <c r="FG5" s="174">
        <f t="shared" si="12"/>
        <v>10</v>
      </c>
      <c r="FH5" s="174">
        <f t="shared" si="12"/>
        <v>11</v>
      </c>
      <c r="FI5" s="174">
        <f t="shared" si="12"/>
        <v>12</v>
      </c>
      <c r="FJ5" s="174">
        <f t="shared" si="12"/>
        <v>1</v>
      </c>
      <c r="FK5" s="174">
        <f t="shared" si="12"/>
        <v>2</v>
      </c>
      <c r="FL5" s="174">
        <f t="shared" si="12"/>
        <v>3</v>
      </c>
      <c r="FM5" s="174">
        <f t="shared" si="12"/>
        <v>4</v>
      </c>
      <c r="FN5" s="174">
        <f t="shared" si="12"/>
        <v>5</v>
      </c>
      <c r="FO5" s="174">
        <f t="shared" si="12"/>
        <v>6</v>
      </c>
      <c r="FP5" s="174">
        <f t="shared" si="12"/>
        <v>7</v>
      </c>
      <c r="FQ5" s="174">
        <f t="shared" si="12"/>
        <v>8</v>
      </c>
      <c r="FR5" s="174">
        <f t="shared" si="12"/>
        <v>9</v>
      </c>
      <c r="FS5" s="174">
        <f t="shared" si="12"/>
        <v>10</v>
      </c>
      <c r="FT5" s="174">
        <f t="shared" si="12"/>
        <v>11</v>
      </c>
      <c r="FU5" s="174">
        <f t="shared" si="12"/>
        <v>12</v>
      </c>
      <c r="FV5" s="174">
        <f t="shared" si="12"/>
        <v>1</v>
      </c>
      <c r="FW5" s="174">
        <f t="shared" si="12"/>
        <v>2</v>
      </c>
      <c r="FX5" s="174">
        <f t="shared" si="12"/>
        <v>3</v>
      </c>
      <c r="FY5" s="174">
        <f t="shared" si="12"/>
        <v>4</v>
      </c>
      <c r="FZ5" s="174">
        <f t="shared" si="12"/>
        <v>5</v>
      </c>
      <c r="GA5" s="174">
        <f t="shared" si="12"/>
        <v>6</v>
      </c>
      <c r="GB5" s="174">
        <f t="shared" si="12"/>
        <v>7</v>
      </c>
      <c r="GC5" s="174">
        <f t="shared" si="12"/>
        <v>8</v>
      </c>
      <c r="GD5" s="174">
        <f t="shared" si="12"/>
        <v>9</v>
      </c>
      <c r="GE5" s="174">
        <f t="shared" si="12"/>
        <v>10</v>
      </c>
      <c r="GF5" s="174">
        <f t="shared" si="12"/>
        <v>11</v>
      </c>
      <c r="GG5" s="174">
        <f t="shared" si="12"/>
        <v>12</v>
      </c>
      <c r="GH5" s="174">
        <f t="shared" si="12"/>
        <v>1</v>
      </c>
      <c r="GI5" s="174">
        <f t="shared" si="12"/>
        <v>2</v>
      </c>
      <c r="GJ5" s="174">
        <f t="shared" si="12"/>
        <v>3</v>
      </c>
      <c r="GK5" s="174">
        <f t="shared" si="12"/>
        <v>4</v>
      </c>
      <c r="GL5" s="174">
        <f t="shared" si="12"/>
        <v>5</v>
      </c>
      <c r="GM5" s="174">
        <f t="shared" si="12"/>
        <v>6</v>
      </c>
      <c r="GN5" s="174">
        <f t="shared" si="12"/>
        <v>7</v>
      </c>
      <c r="GO5" s="174">
        <f t="shared" ref="GO5:IZ5" si="13">MONTH(GO6)</f>
        <v>8</v>
      </c>
      <c r="GP5" s="174">
        <f t="shared" si="13"/>
        <v>9</v>
      </c>
      <c r="GQ5" s="174">
        <f t="shared" si="13"/>
        <v>10</v>
      </c>
      <c r="GR5" s="174">
        <f t="shared" si="13"/>
        <v>11</v>
      </c>
      <c r="GS5" s="174">
        <f t="shared" si="13"/>
        <v>12</v>
      </c>
      <c r="GT5" s="174">
        <f t="shared" si="13"/>
        <v>1</v>
      </c>
      <c r="GU5" s="174">
        <f t="shared" si="13"/>
        <v>2</v>
      </c>
      <c r="GV5" s="174">
        <f t="shared" si="13"/>
        <v>3</v>
      </c>
      <c r="GW5" s="174">
        <f t="shared" si="13"/>
        <v>4</v>
      </c>
      <c r="GX5" s="174">
        <f t="shared" si="13"/>
        <v>5</v>
      </c>
      <c r="GY5" s="174">
        <f t="shared" si="13"/>
        <v>6</v>
      </c>
      <c r="GZ5" s="174">
        <f t="shared" si="13"/>
        <v>7</v>
      </c>
      <c r="HA5" s="174">
        <f t="shared" si="13"/>
        <v>8</v>
      </c>
      <c r="HB5" s="174">
        <f t="shared" si="13"/>
        <v>9</v>
      </c>
      <c r="HC5" s="174">
        <f t="shared" si="13"/>
        <v>10</v>
      </c>
      <c r="HD5" s="174">
        <f t="shared" si="13"/>
        <v>11</v>
      </c>
      <c r="HE5" s="174">
        <f t="shared" si="13"/>
        <v>12</v>
      </c>
      <c r="HF5" s="174">
        <f t="shared" si="13"/>
        <v>1</v>
      </c>
      <c r="HG5" s="174">
        <f t="shared" si="13"/>
        <v>2</v>
      </c>
      <c r="HH5" s="174">
        <f t="shared" si="13"/>
        <v>3</v>
      </c>
      <c r="HI5" s="174">
        <f t="shared" si="13"/>
        <v>4</v>
      </c>
      <c r="HJ5" s="174">
        <f t="shared" si="13"/>
        <v>5</v>
      </c>
      <c r="HK5" s="174">
        <f t="shared" si="13"/>
        <v>6</v>
      </c>
      <c r="HL5" s="174">
        <f t="shared" si="13"/>
        <v>7</v>
      </c>
      <c r="HM5" s="174">
        <f t="shared" si="13"/>
        <v>8</v>
      </c>
      <c r="HN5" s="174">
        <f t="shared" si="13"/>
        <v>9</v>
      </c>
      <c r="HO5" s="174">
        <f t="shared" si="13"/>
        <v>10</v>
      </c>
      <c r="HP5" s="174">
        <f t="shared" si="13"/>
        <v>11</v>
      </c>
      <c r="HQ5" s="174">
        <f t="shared" si="13"/>
        <v>12</v>
      </c>
      <c r="HR5" s="174">
        <f t="shared" si="13"/>
        <v>1</v>
      </c>
      <c r="HS5" s="174">
        <f t="shared" si="13"/>
        <v>2</v>
      </c>
      <c r="HT5" s="174">
        <f t="shared" si="13"/>
        <v>3</v>
      </c>
      <c r="HU5" s="174">
        <f t="shared" si="13"/>
        <v>4</v>
      </c>
      <c r="HV5" s="174">
        <f t="shared" si="13"/>
        <v>5</v>
      </c>
      <c r="HW5" s="174">
        <f t="shared" si="13"/>
        <v>6</v>
      </c>
      <c r="HX5" s="174">
        <f t="shared" si="13"/>
        <v>7</v>
      </c>
      <c r="HY5" s="174">
        <f t="shared" si="13"/>
        <v>8</v>
      </c>
      <c r="HZ5" s="174">
        <f t="shared" si="13"/>
        <v>9</v>
      </c>
      <c r="IA5" s="174">
        <f t="shared" si="13"/>
        <v>10</v>
      </c>
      <c r="IB5" s="174">
        <f t="shared" si="13"/>
        <v>11</v>
      </c>
      <c r="IC5" s="174">
        <f t="shared" si="13"/>
        <v>12</v>
      </c>
      <c r="ID5" s="174">
        <f t="shared" si="13"/>
        <v>1</v>
      </c>
      <c r="IE5" s="174">
        <f t="shared" si="13"/>
        <v>2</v>
      </c>
      <c r="IF5" s="174">
        <f t="shared" si="13"/>
        <v>3</v>
      </c>
      <c r="IG5" s="174">
        <f t="shared" si="13"/>
        <v>4</v>
      </c>
      <c r="IH5" s="174">
        <f t="shared" si="13"/>
        <v>5</v>
      </c>
      <c r="II5" s="174">
        <f t="shared" si="13"/>
        <v>6</v>
      </c>
      <c r="IJ5" s="174">
        <f t="shared" si="13"/>
        <v>7</v>
      </c>
      <c r="IK5" s="174">
        <f t="shared" si="13"/>
        <v>8</v>
      </c>
      <c r="IL5" s="174">
        <f t="shared" si="13"/>
        <v>9</v>
      </c>
      <c r="IM5" s="174">
        <f t="shared" si="13"/>
        <v>10</v>
      </c>
      <c r="IN5" s="174">
        <f t="shared" si="13"/>
        <v>11</v>
      </c>
      <c r="IO5" s="174">
        <f t="shared" si="13"/>
        <v>12</v>
      </c>
      <c r="IP5" s="174">
        <f t="shared" si="13"/>
        <v>1</v>
      </c>
      <c r="IQ5" s="174">
        <f t="shared" si="13"/>
        <v>2</v>
      </c>
      <c r="IR5" s="174">
        <f t="shared" si="13"/>
        <v>3</v>
      </c>
      <c r="IS5" s="174">
        <f t="shared" si="13"/>
        <v>4</v>
      </c>
      <c r="IT5" s="174">
        <f t="shared" si="13"/>
        <v>5</v>
      </c>
      <c r="IU5" s="174">
        <f t="shared" si="13"/>
        <v>6</v>
      </c>
      <c r="IV5" s="174">
        <f t="shared" si="13"/>
        <v>7</v>
      </c>
      <c r="IW5" s="174">
        <f t="shared" si="13"/>
        <v>8</v>
      </c>
      <c r="IX5" s="174">
        <f t="shared" si="13"/>
        <v>9</v>
      </c>
      <c r="IY5" s="174">
        <f t="shared" si="13"/>
        <v>10</v>
      </c>
      <c r="IZ5" s="174">
        <f t="shared" si="13"/>
        <v>11</v>
      </c>
      <c r="JA5" s="174">
        <f t="shared" ref="JA5:KQ5" si="14">MONTH(JA6)</f>
        <v>12</v>
      </c>
      <c r="JB5" s="174">
        <f t="shared" si="14"/>
        <v>1</v>
      </c>
      <c r="JC5" s="174">
        <f t="shared" si="14"/>
        <v>2</v>
      </c>
      <c r="JD5" s="174">
        <f t="shared" si="14"/>
        <v>3</v>
      </c>
      <c r="JE5" s="174">
        <f t="shared" si="14"/>
        <v>4</v>
      </c>
      <c r="JF5" s="174">
        <f t="shared" si="14"/>
        <v>5</v>
      </c>
      <c r="JG5" s="174">
        <f t="shared" si="14"/>
        <v>6</v>
      </c>
      <c r="JH5" s="174">
        <f t="shared" si="14"/>
        <v>7</v>
      </c>
      <c r="JI5" s="174">
        <f t="shared" si="14"/>
        <v>8</v>
      </c>
      <c r="JJ5" s="174">
        <f t="shared" si="14"/>
        <v>9</v>
      </c>
      <c r="JK5" s="174">
        <f t="shared" si="14"/>
        <v>10</v>
      </c>
      <c r="JL5" s="174">
        <f t="shared" si="14"/>
        <v>11</v>
      </c>
      <c r="JM5" s="174">
        <f t="shared" si="14"/>
        <v>12</v>
      </c>
      <c r="JN5" s="174">
        <f t="shared" si="14"/>
        <v>1</v>
      </c>
      <c r="JO5" s="174">
        <f t="shared" si="14"/>
        <v>2</v>
      </c>
      <c r="JP5" s="174">
        <f t="shared" si="14"/>
        <v>3</v>
      </c>
      <c r="JQ5" s="174">
        <f t="shared" si="14"/>
        <v>4</v>
      </c>
      <c r="JR5" s="174">
        <f t="shared" si="14"/>
        <v>5</v>
      </c>
      <c r="JS5" s="174">
        <f t="shared" si="14"/>
        <v>6</v>
      </c>
      <c r="JT5" s="174">
        <f t="shared" si="14"/>
        <v>7</v>
      </c>
      <c r="JU5" s="174">
        <f t="shared" si="14"/>
        <v>8</v>
      </c>
      <c r="JV5" s="174">
        <f t="shared" si="14"/>
        <v>9</v>
      </c>
      <c r="JW5" s="174">
        <f t="shared" si="14"/>
        <v>10</v>
      </c>
      <c r="JX5" s="174">
        <f t="shared" si="14"/>
        <v>11</v>
      </c>
      <c r="JY5" s="174">
        <f t="shared" si="14"/>
        <v>12</v>
      </c>
      <c r="JZ5" s="174">
        <f t="shared" si="14"/>
        <v>1</v>
      </c>
      <c r="KA5" s="174">
        <f t="shared" si="14"/>
        <v>2</v>
      </c>
      <c r="KB5" s="174">
        <f t="shared" si="14"/>
        <v>3</v>
      </c>
      <c r="KC5" s="174">
        <f t="shared" si="14"/>
        <v>4</v>
      </c>
      <c r="KD5" s="174">
        <f t="shared" si="14"/>
        <v>5</v>
      </c>
      <c r="KE5" s="174">
        <f t="shared" si="14"/>
        <v>6</v>
      </c>
      <c r="KF5" s="174">
        <f t="shared" si="14"/>
        <v>7</v>
      </c>
      <c r="KG5" s="174">
        <f t="shared" si="14"/>
        <v>8</v>
      </c>
      <c r="KH5" s="174">
        <f t="shared" si="14"/>
        <v>9</v>
      </c>
      <c r="KI5" s="174">
        <f t="shared" si="14"/>
        <v>10</v>
      </c>
      <c r="KJ5" s="174">
        <f t="shared" si="14"/>
        <v>11</v>
      </c>
      <c r="KK5" s="174">
        <f t="shared" si="14"/>
        <v>12</v>
      </c>
      <c r="KL5" s="174">
        <f t="shared" si="14"/>
        <v>1</v>
      </c>
      <c r="KM5" s="174">
        <f t="shared" si="14"/>
        <v>2</v>
      </c>
      <c r="KN5" s="174">
        <f t="shared" si="14"/>
        <v>3</v>
      </c>
      <c r="KO5" s="174">
        <f t="shared" si="14"/>
        <v>4</v>
      </c>
      <c r="KP5" s="174">
        <f t="shared" si="14"/>
        <v>5</v>
      </c>
      <c r="KQ5" s="174">
        <f t="shared" si="14"/>
        <v>6</v>
      </c>
    </row>
    <row r="6" spans="2:303" x14ac:dyDescent="0.35">
      <c r="B6" s="117" t="s">
        <v>102</v>
      </c>
      <c r="C6" s="118" t="s">
        <v>103</v>
      </c>
      <c r="D6" s="119">
        <f>'Dashboard все'!C29</f>
        <v>46204</v>
      </c>
      <c r="E6" s="119">
        <f>EDATE(D6,1)</f>
        <v>46235</v>
      </c>
      <c r="F6" s="119">
        <f t="shared" ref="F6:BQ6" si="15">EDATE(E6,1)</f>
        <v>46266</v>
      </c>
      <c r="G6" s="119">
        <f>EDATE(F6,1)</f>
        <v>46296</v>
      </c>
      <c r="H6" s="119">
        <f>EDATE(G6,1)</f>
        <v>46327</v>
      </c>
      <c r="I6" s="119">
        <f>EDATE(H6,1)</f>
        <v>46357</v>
      </c>
      <c r="J6" s="119">
        <f>EDATE(I6,1)</f>
        <v>46388</v>
      </c>
      <c r="K6" s="119">
        <f t="shared" si="15"/>
        <v>46419</v>
      </c>
      <c r="L6" s="119">
        <f>EDATE(K6,1)</f>
        <v>46447</v>
      </c>
      <c r="M6" s="119">
        <f>EDATE(L6,1)</f>
        <v>46478</v>
      </c>
      <c r="N6" s="119">
        <f t="shared" si="15"/>
        <v>46508</v>
      </c>
      <c r="O6" s="119">
        <f t="shared" si="15"/>
        <v>46539</v>
      </c>
      <c r="P6" s="119">
        <f t="shared" si="15"/>
        <v>46569</v>
      </c>
      <c r="Q6" s="119">
        <f t="shared" si="15"/>
        <v>46600</v>
      </c>
      <c r="R6" s="119">
        <f t="shared" si="15"/>
        <v>46631</v>
      </c>
      <c r="S6" s="119">
        <f t="shared" si="15"/>
        <v>46661</v>
      </c>
      <c r="T6" s="119">
        <f t="shared" si="15"/>
        <v>46692</v>
      </c>
      <c r="U6" s="119">
        <f t="shared" si="15"/>
        <v>46722</v>
      </c>
      <c r="V6" s="119">
        <f t="shared" si="15"/>
        <v>46753</v>
      </c>
      <c r="W6" s="119">
        <f t="shared" si="15"/>
        <v>46784</v>
      </c>
      <c r="X6" s="119">
        <f t="shared" si="15"/>
        <v>46813</v>
      </c>
      <c r="Y6" s="119">
        <f t="shared" si="15"/>
        <v>46844</v>
      </c>
      <c r="Z6" s="119">
        <f t="shared" si="15"/>
        <v>46874</v>
      </c>
      <c r="AA6" s="119">
        <f t="shared" si="15"/>
        <v>46905</v>
      </c>
      <c r="AB6" s="119">
        <f t="shared" si="15"/>
        <v>46935</v>
      </c>
      <c r="AC6" s="119">
        <f t="shared" si="15"/>
        <v>46966</v>
      </c>
      <c r="AD6" s="119">
        <f t="shared" si="15"/>
        <v>46997</v>
      </c>
      <c r="AE6" s="119">
        <f t="shared" si="15"/>
        <v>47027</v>
      </c>
      <c r="AF6" s="119">
        <f t="shared" si="15"/>
        <v>47058</v>
      </c>
      <c r="AG6" s="119">
        <f t="shared" si="15"/>
        <v>47088</v>
      </c>
      <c r="AH6" s="119">
        <f t="shared" si="15"/>
        <v>47119</v>
      </c>
      <c r="AI6" s="119">
        <f t="shared" si="15"/>
        <v>47150</v>
      </c>
      <c r="AJ6" s="119">
        <f t="shared" si="15"/>
        <v>47178</v>
      </c>
      <c r="AK6" s="119">
        <f t="shared" si="15"/>
        <v>47209</v>
      </c>
      <c r="AL6" s="119">
        <f t="shared" si="15"/>
        <v>47239</v>
      </c>
      <c r="AM6" s="119">
        <f t="shared" si="15"/>
        <v>47270</v>
      </c>
      <c r="AN6" s="119">
        <f t="shared" si="15"/>
        <v>47300</v>
      </c>
      <c r="AO6" s="119">
        <f t="shared" si="15"/>
        <v>47331</v>
      </c>
      <c r="AP6" s="119">
        <f t="shared" si="15"/>
        <v>47362</v>
      </c>
      <c r="AQ6" s="119">
        <f t="shared" si="15"/>
        <v>47392</v>
      </c>
      <c r="AR6" s="119">
        <f t="shared" si="15"/>
        <v>47423</v>
      </c>
      <c r="AS6" s="119">
        <f t="shared" si="15"/>
        <v>47453</v>
      </c>
      <c r="AT6" s="119">
        <f t="shared" si="15"/>
        <v>47484</v>
      </c>
      <c r="AU6" s="119">
        <f t="shared" si="15"/>
        <v>47515</v>
      </c>
      <c r="AV6" s="119">
        <f t="shared" si="15"/>
        <v>47543</v>
      </c>
      <c r="AW6" s="119">
        <f t="shared" si="15"/>
        <v>47574</v>
      </c>
      <c r="AX6" s="119">
        <f t="shared" si="15"/>
        <v>47604</v>
      </c>
      <c r="AY6" s="119">
        <f t="shared" si="15"/>
        <v>47635</v>
      </c>
      <c r="AZ6" s="119">
        <f t="shared" si="15"/>
        <v>47665</v>
      </c>
      <c r="BA6" s="119">
        <f t="shared" si="15"/>
        <v>47696</v>
      </c>
      <c r="BB6" s="119">
        <f t="shared" si="15"/>
        <v>47727</v>
      </c>
      <c r="BC6" s="119">
        <f t="shared" si="15"/>
        <v>47757</v>
      </c>
      <c r="BD6" s="119">
        <f t="shared" si="15"/>
        <v>47788</v>
      </c>
      <c r="BE6" s="119">
        <f t="shared" si="15"/>
        <v>47818</v>
      </c>
      <c r="BF6" s="119">
        <f t="shared" si="15"/>
        <v>47849</v>
      </c>
      <c r="BG6" s="119">
        <f t="shared" si="15"/>
        <v>47880</v>
      </c>
      <c r="BH6" s="119">
        <f t="shared" si="15"/>
        <v>47908</v>
      </c>
      <c r="BI6" s="119">
        <f t="shared" si="15"/>
        <v>47939</v>
      </c>
      <c r="BJ6" s="119">
        <f t="shared" si="15"/>
        <v>47969</v>
      </c>
      <c r="BK6" s="119">
        <f t="shared" si="15"/>
        <v>48000</v>
      </c>
      <c r="BL6" s="119">
        <f t="shared" si="15"/>
        <v>48030</v>
      </c>
      <c r="BM6" s="119">
        <f t="shared" si="15"/>
        <v>48061</v>
      </c>
      <c r="BN6" s="119">
        <f t="shared" si="15"/>
        <v>48092</v>
      </c>
      <c r="BO6" s="119">
        <f t="shared" si="15"/>
        <v>48122</v>
      </c>
      <c r="BP6" s="119">
        <f t="shared" si="15"/>
        <v>48153</v>
      </c>
      <c r="BQ6" s="119">
        <f t="shared" si="15"/>
        <v>48183</v>
      </c>
      <c r="BR6" s="119">
        <f t="shared" ref="BR6:EC6" si="16">EDATE(BQ6,1)</f>
        <v>48214</v>
      </c>
      <c r="BS6" s="119">
        <f t="shared" si="16"/>
        <v>48245</v>
      </c>
      <c r="BT6" s="119">
        <f t="shared" si="16"/>
        <v>48274</v>
      </c>
      <c r="BU6" s="119">
        <f t="shared" si="16"/>
        <v>48305</v>
      </c>
      <c r="BV6" s="119">
        <f t="shared" si="16"/>
        <v>48335</v>
      </c>
      <c r="BW6" s="119">
        <f t="shared" si="16"/>
        <v>48366</v>
      </c>
      <c r="BX6" s="119">
        <f t="shared" si="16"/>
        <v>48396</v>
      </c>
      <c r="BY6" s="119">
        <f t="shared" si="16"/>
        <v>48427</v>
      </c>
      <c r="BZ6" s="119">
        <f t="shared" si="16"/>
        <v>48458</v>
      </c>
      <c r="CA6" s="119">
        <f t="shared" si="16"/>
        <v>48488</v>
      </c>
      <c r="CB6" s="119">
        <f t="shared" si="16"/>
        <v>48519</v>
      </c>
      <c r="CC6" s="119">
        <f t="shared" si="16"/>
        <v>48549</v>
      </c>
      <c r="CD6" s="119">
        <f t="shared" si="16"/>
        <v>48580</v>
      </c>
      <c r="CE6" s="119">
        <f t="shared" si="16"/>
        <v>48611</v>
      </c>
      <c r="CF6" s="119">
        <f t="shared" si="16"/>
        <v>48639</v>
      </c>
      <c r="CG6" s="119">
        <f t="shared" si="16"/>
        <v>48670</v>
      </c>
      <c r="CH6" s="119">
        <f t="shared" si="16"/>
        <v>48700</v>
      </c>
      <c r="CI6" s="119">
        <f t="shared" si="16"/>
        <v>48731</v>
      </c>
      <c r="CJ6" s="119">
        <f t="shared" si="16"/>
        <v>48761</v>
      </c>
      <c r="CK6" s="119">
        <f t="shared" si="16"/>
        <v>48792</v>
      </c>
      <c r="CL6" s="119">
        <f t="shared" si="16"/>
        <v>48823</v>
      </c>
      <c r="CM6" s="119">
        <f t="shared" si="16"/>
        <v>48853</v>
      </c>
      <c r="CN6" s="119">
        <f t="shared" si="16"/>
        <v>48884</v>
      </c>
      <c r="CO6" s="119">
        <f t="shared" si="16"/>
        <v>48914</v>
      </c>
      <c r="CP6" s="119">
        <f t="shared" si="16"/>
        <v>48945</v>
      </c>
      <c r="CQ6" s="119">
        <f t="shared" si="16"/>
        <v>48976</v>
      </c>
      <c r="CR6" s="119">
        <f t="shared" si="16"/>
        <v>49004</v>
      </c>
      <c r="CS6" s="119">
        <f t="shared" si="16"/>
        <v>49035</v>
      </c>
      <c r="CT6" s="119">
        <f t="shared" si="16"/>
        <v>49065</v>
      </c>
      <c r="CU6" s="119">
        <f t="shared" si="16"/>
        <v>49096</v>
      </c>
      <c r="CV6" s="119">
        <f t="shared" si="16"/>
        <v>49126</v>
      </c>
      <c r="CW6" s="119">
        <f t="shared" si="16"/>
        <v>49157</v>
      </c>
      <c r="CX6" s="119">
        <f t="shared" si="16"/>
        <v>49188</v>
      </c>
      <c r="CY6" s="119">
        <f t="shared" si="16"/>
        <v>49218</v>
      </c>
      <c r="CZ6" s="119">
        <f t="shared" si="16"/>
        <v>49249</v>
      </c>
      <c r="DA6" s="119">
        <f t="shared" si="16"/>
        <v>49279</v>
      </c>
      <c r="DB6" s="119">
        <f t="shared" si="16"/>
        <v>49310</v>
      </c>
      <c r="DC6" s="119">
        <f t="shared" si="16"/>
        <v>49341</v>
      </c>
      <c r="DD6" s="119">
        <f t="shared" si="16"/>
        <v>49369</v>
      </c>
      <c r="DE6" s="119">
        <f t="shared" si="16"/>
        <v>49400</v>
      </c>
      <c r="DF6" s="119">
        <f t="shared" si="16"/>
        <v>49430</v>
      </c>
      <c r="DG6" s="119">
        <f t="shared" si="16"/>
        <v>49461</v>
      </c>
      <c r="DH6" s="119">
        <f t="shared" si="16"/>
        <v>49491</v>
      </c>
      <c r="DI6" s="119">
        <f t="shared" si="16"/>
        <v>49522</v>
      </c>
      <c r="DJ6" s="119">
        <f t="shared" si="16"/>
        <v>49553</v>
      </c>
      <c r="DK6" s="119">
        <f t="shared" si="16"/>
        <v>49583</v>
      </c>
      <c r="DL6" s="119">
        <f t="shared" si="16"/>
        <v>49614</v>
      </c>
      <c r="DM6" s="119">
        <f t="shared" si="16"/>
        <v>49644</v>
      </c>
      <c r="DN6" s="119">
        <f t="shared" si="16"/>
        <v>49675</v>
      </c>
      <c r="DO6" s="119">
        <f t="shared" si="16"/>
        <v>49706</v>
      </c>
      <c r="DP6" s="119">
        <f t="shared" si="16"/>
        <v>49735</v>
      </c>
      <c r="DQ6" s="119">
        <f t="shared" si="16"/>
        <v>49766</v>
      </c>
      <c r="DR6" s="119">
        <f t="shared" si="16"/>
        <v>49796</v>
      </c>
      <c r="DS6" s="119">
        <f t="shared" si="16"/>
        <v>49827</v>
      </c>
      <c r="DT6" s="119">
        <f t="shared" si="16"/>
        <v>49857</v>
      </c>
      <c r="DU6" s="119">
        <f t="shared" si="16"/>
        <v>49888</v>
      </c>
      <c r="DV6" s="119">
        <f t="shared" si="16"/>
        <v>49919</v>
      </c>
      <c r="DW6" s="119">
        <f t="shared" si="16"/>
        <v>49949</v>
      </c>
      <c r="DX6" s="119">
        <f t="shared" si="16"/>
        <v>49980</v>
      </c>
      <c r="DY6" s="119">
        <f t="shared" si="16"/>
        <v>50010</v>
      </c>
      <c r="DZ6" s="119">
        <f t="shared" si="16"/>
        <v>50041</v>
      </c>
      <c r="EA6" s="119">
        <f t="shared" si="16"/>
        <v>50072</v>
      </c>
      <c r="EB6" s="119">
        <f t="shared" si="16"/>
        <v>50100</v>
      </c>
      <c r="EC6" s="119">
        <f t="shared" si="16"/>
        <v>50131</v>
      </c>
      <c r="ED6" s="119">
        <f t="shared" ref="ED6:GO6" si="17">EDATE(EC6,1)</f>
        <v>50161</v>
      </c>
      <c r="EE6" s="119">
        <f t="shared" si="17"/>
        <v>50192</v>
      </c>
      <c r="EF6" s="119">
        <f t="shared" si="17"/>
        <v>50222</v>
      </c>
      <c r="EG6" s="119">
        <f t="shared" si="17"/>
        <v>50253</v>
      </c>
      <c r="EH6" s="119">
        <f t="shared" si="17"/>
        <v>50284</v>
      </c>
      <c r="EI6" s="119">
        <f t="shared" si="17"/>
        <v>50314</v>
      </c>
      <c r="EJ6" s="119">
        <f t="shared" si="17"/>
        <v>50345</v>
      </c>
      <c r="EK6" s="119">
        <f t="shared" si="17"/>
        <v>50375</v>
      </c>
      <c r="EL6" s="119">
        <f t="shared" si="17"/>
        <v>50406</v>
      </c>
      <c r="EM6" s="119">
        <f t="shared" si="17"/>
        <v>50437</v>
      </c>
      <c r="EN6" s="119">
        <f t="shared" si="17"/>
        <v>50465</v>
      </c>
      <c r="EO6" s="119">
        <f t="shared" si="17"/>
        <v>50496</v>
      </c>
      <c r="EP6" s="119">
        <f t="shared" si="17"/>
        <v>50526</v>
      </c>
      <c r="EQ6" s="119">
        <f t="shared" si="17"/>
        <v>50557</v>
      </c>
      <c r="ER6" s="119">
        <f t="shared" si="17"/>
        <v>50587</v>
      </c>
      <c r="ES6" s="119">
        <f t="shared" si="17"/>
        <v>50618</v>
      </c>
      <c r="ET6" s="119">
        <f t="shared" si="17"/>
        <v>50649</v>
      </c>
      <c r="EU6" s="119">
        <f t="shared" si="17"/>
        <v>50679</v>
      </c>
      <c r="EV6" s="119">
        <f t="shared" si="17"/>
        <v>50710</v>
      </c>
      <c r="EW6" s="119">
        <f t="shared" si="17"/>
        <v>50740</v>
      </c>
      <c r="EX6" s="119">
        <f t="shared" si="17"/>
        <v>50771</v>
      </c>
      <c r="EY6" s="119">
        <f t="shared" si="17"/>
        <v>50802</v>
      </c>
      <c r="EZ6" s="119">
        <f t="shared" si="17"/>
        <v>50830</v>
      </c>
      <c r="FA6" s="119">
        <f t="shared" si="17"/>
        <v>50861</v>
      </c>
      <c r="FB6" s="119">
        <f t="shared" si="17"/>
        <v>50891</v>
      </c>
      <c r="FC6" s="119">
        <f t="shared" si="17"/>
        <v>50922</v>
      </c>
      <c r="FD6" s="119">
        <f t="shared" si="17"/>
        <v>50952</v>
      </c>
      <c r="FE6" s="119">
        <f t="shared" si="17"/>
        <v>50983</v>
      </c>
      <c r="FF6" s="119">
        <f t="shared" si="17"/>
        <v>51014</v>
      </c>
      <c r="FG6" s="119">
        <f t="shared" si="17"/>
        <v>51044</v>
      </c>
      <c r="FH6" s="119">
        <f t="shared" si="17"/>
        <v>51075</v>
      </c>
      <c r="FI6" s="119">
        <f t="shared" si="17"/>
        <v>51105</v>
      </c>
      <c r="FJ6" s="119">
        <f t="shared" si="17"/>
        <v>51136</v>
      </c>
      <c r="FK6" s="119">
        <f t="shared" si="17"/>
        <v>51167</v>
      </c>
      <c r="FL6" s="119">
        <f t="shared" si="17"/>
        <v>51196</v>
      </c>
      <c r="FM6" s="119">
        <f t="shared" si="17"/>
        <v>51227</v>
      </c>
      <c r="FN6" s="119">
        <f t="shared" si="17"/>
        <v>51257</v>
      </c>
      <c r="FO6" s="119">
        <f t="shared" si="17"/>
        <v>51288</v>
      </c>
      <c r="FP6" s="119">
        <f t="shared" si="17"/>
        <v>51318</v>
      </c>
      <c r="FQ6" s="119">
        <f t="shared" si="17"/>
        <v>51349</v>
      </c>
      <c r="FR6" s="119">
        <f t="shared" si="17"/>
        <v>51380</v>
      </c>
      <c r="FS6" s="119">
        <f t="shared" si="17"/>
        <v>51410</v>
      </c>
      <c r="FT6" s="119">
        <f t="shared" si="17"/>
        <v>51441</v>
      </c>
      <c r="FU6" s="119">
        <f t="shared" si="17"/>
        <v>51471</v>
      </c>
      <c r="FV6" s="119">
        <f t="shared" si="17"/>
        <v>51502</v>
      </c>
      <c r="FW6" s="119">
        <f t="shared" si="17"/>
        <v>51533</v>
      </c>
      <c r="FX6" s="119">
        <f t="shared" si="17"/>
        <v>51561</v>
      </c>
      <c r="FY6" s="119">
        <f t="shared" si="17"/>
        <v>51592</v>
      </c>
      <c r="FZ6" s="119">
        <f t="shared" si="17"/>
        <v>51622</v>
      </c>
      <c r="GA6" s="119">
        <f t="shared" si="17"/>
        <v>51653</v>
      </c>
      <c r="GB6" s="119">
        <f t="shared" si="17"/>
        <v>51683</v>
      </c>
      <c r="GC6" s="119">
        <f t="shared" si="17"/>
        <v>51714</v>
      </c>
      <c r="GD6" s="119">
        <f t="shared" si="17"/>
        <v>51745</v>
      </c>
      <c r="GE6" s="119">
        <f t="shared" si="17"/>
        <v>51775</v>
      </c>
      <c r="GF6" s="119">
        <f t="shared" si="17"/>
        <v>51806</v>
      </c>
      <c r="GG6" s="119">
        <f t="shared" si="17"/>
        <v>51836</v>
      </c>
      <c r="GH6" s="119">
        <f t="shared" si="17"/>
        <v>51867</v>
      </c>
      <c r="GI6" s="119">
        <f t="shared" si="17"/>
        <v>51898</v>
      </c>
      <c r="GJ6" s="119">
        <f t="shared" si="17"/>
        <v>51926</v>
      </c>
      <c r="GK6" s="119">
        <f t="shared" si="17"/>
        <v>51957</v>
      </c>
      <c r="GL6" s="119">
        <f t="shared" si="17"/>
        <v>51987</v>
      </c>
      <c r="GM6" s="119">
        <f t="shared" si="17"/>
        <v>52018</v>
      </c>
      <c r="GN6" s="119">
        <f t="shared" si="17"/>
        <v>52048</v>
      </c>
      <c r="GO6" s="119">
        <f t="shared" si="17"/>
        <v>52079</v>
      </c>
      <c r="GP6" s="119">
        <f t="shared" ref="GP6:JA6" si="18">EDATE(GO6,1)</f>
        <v>52110</v>
      </c>
      <c r="GQ6" s="119">
        <f t="shared" si="18"/>
        <v>52140</v>
      </c>
      <c r="GR6" s="119">
        <f t="shared" si="18"/>
        <v>52171</v>
      </c>
      <c r="GS6" s="119">
        <f t="shared" si="18"/>
        <v>52201</v>
      </c>
      <c r="GT6" s="119">
        <f t="shared" si="18"/>
        <v>52232</v>
      </c>
      <c r="GU6" s="119">
        <f t="shared" si="18"/>
        <v>52263</v>
      </c>
      <c r="GV6" s="119">
        <f t="shared" si="18"/>
        <v>52291</v>
      </c>
      <c r="GW6" s="119">
        <f t="shared" si="18"/>
        <v>52322</v>
      </c>
      <c r="GX6" s="119">
        <f t="shared" si="18"/>
        <v>52352</v>
      </c>
      <c r="GY6" s="119">
        <f t="shared" si="18"/>
        <v>52383</v>
      </c>
      <c r="GZ6" s="119">
        <f t="shared" si="18"/>
        <v>52413</v>
      </c>
      <c r="HA6" s="119">
        <f t="shared" si="18"/>
        <v>52444</v>
      </c>
      <c r="HB6" s="119">
        <f t="shared" si="18"/>
        <v>52475</v>
      </c>
      <c r="HC6" s="119">
        <f t="shared" si="18"/>
        <v>52505</v>
      </c>
      <c r="HD6" s="119">
        <f t="shared" si="18"/>
        <v>52536</v>
      </c>
      <c r="HE6" s="119">
        <f t="shared" si="18"/>
        <v>52566</v>
      </c>
      <c r="HF6" s="119">
        <f t="shared" si="18"/>
        <v>52597</v>
      </c>
      <c r="HG6" s="119">
        <f t="shared" si="18"/>
        <v>52628</v>
      </c>
      <c r="HH6" s="119">
        <f t="shared" si="18"/>
        <v>52657</v>
      </c>
      <c r="HI6" s="119">
        <f t="shared" si="18"/>
        <v>52688</v>
      </c>
      <c r="HJ6" s="119">
        <f t="shared" si="18"/>
        <v>52718</v>
      </c>
      <c r="HK6" s="119">
        <f t="shared" si="18"/>
        <v>52749</v>
      </c>
      <c r="HL6" s="119">
        <f t="shared" si="18"/>
        <v>52779</v>
      </c>
      <c r="HM6" s="119">
        <f t="shared" si="18"/>
        <v>52810</v>
      </c>
      <c r="HN6" s="119">
        <f t="shared" si="18"/>
        <v>52841</v>
      </c>
      <c r="HO6" s="119">
        <f t="shared" si="18"/>
        <v>52871</v>
      </c>
      <c r="HP6" s="119">
        <f t="shared" si="18"/>
        <v>52902</v>
      </c>
      <c r="HQ6" s="119">
        <f t="shared" si="18"/>
        <v>52932</v>
      </c>
      <c r="HR6" s="119">
        <f t="shared" si="18"/>
        <v>52963</v>
      </c>
      <c r="HS6" s="119">
        <f t="shared" si="18"/>
        <v>52994</v>
      </c>
      <c r="HT6" s="119">
        <f t="shared" si="18"/>
        <v>53022</v>
      </c>
      <c r="HU6" s="119">
        <f t="shared" si="18"/>
        <v>53053</v>
      </c>
      <c r="HV6" s="119">
        <f t="shared" si="18"/>
        <v>53083</v>
      </c>
      <c r="HW6" s="119">
        <f t="shared" si="18"/>
        <v>53114</v>
      </c>
      <c r="HX6" s="119">
        <f t="shared" si="18"/>
        <v>53144</v>
      </c>
      <c r="HY6" s="119">
        <f t="shared" si="18"/>
        <v>53175</v>
      </c>
      <c r="HZ6" s="119">
        <f t="shared" si="18"/>
        <v>53206</v>
      </c>
      <c r="IA6" s="119">
        <f t="shared" si="18"/>
        <v>53236</v>
      </c>
      <c r="IB6" s="119">
        <f t="shared" si="18"/>
        <v>53267</v>
      </c>
      <c r="IC6" s="119">
        <f t="shared" si="18"/>
        <v>53297</v>
      </c>
      <c r="ID6" s="119">
        <f t="shared" si="18"/>
        <v>53328</v>
      </c>
      <c r="IE6" s="119">
        <f t="shared" si="18"/>
        <v>53359</v>
      </c>
      <c r="IF6" s="119">
        <f t="shared" si="18"/>
        <v>53387</v>
      </c>
      <c r="IG6" s="119">
        <f t="shared" si="18"/>
        <v>53418</v>
      </c>
      <c r="IH6" s="119">
        <f t="shared" si="18"/>
        <v>53448</v>
      </c>
      <c r="II6" s="119">
        <f t="shared" si="18"/>
        <v>53479</v>
      </c>
      <c r="IJ6" s="119">
        <f t="shared" si="18"/>
        <v>53509</v>
      </c>
      <c r="IK6" s="119">
        <f t="shared" si="18"/>
        <v>53540</v>
      </c>
      <c r="IL6" s="119">
        <f t="shared" si="18"/>
        <v>53571</v>
      </c>
      <c r="IM6" s="119">
        <f t="shared" si="18"/>
        <v>53601</v>
      </c>
      <c r="IN6" s="119">
        <f t="shared" si="18"/>
        <v>53632</v>
      </c>
      <c r="IO6" s="119">
        <f t="shared" si="18"/>
        <v>53662</v>
      </c>
      <c r="IP6" s="119">
        <f t="shared" si="18"/>
        <v>53693</v>
      </c>
      <c r="IQ6" s="119">
        <f t="shared" si="18"/>
        <v>53724</v>
      </c>
      <c r="IR6" s="119">
        <f t="shared" si="18"/>
        <v>53752</v>
      </c>
      <c r="IS6" s="119">
        <f t="shared" si="18"/>
        <v>53783</v>
      </c>
      <c r="IT6" s="119">
        <f t="shared" si="18"/>
        <v>53813</v>
      </c>
      <c r="IU6" s="119">
        <f t="shared" si="18"/>
        <v>53844</v>
      </c>
      <c r="IV6" s="119">
        <f t="shared" si="18"/>
        <v>53874</v>
      </c>
      <c r="IW6" s="119">
        <f t="shared" si="18"/>
        <v>53905</v>
      </c>
      <c r="IX6" s="119">
        <f t="shared" si="18"/>
        <v>53936</v>
      </c>
      <c r="IY6" s="119">
        <f t="shared" si="18"/>
        <v>53966</v>
      </c>
      <c r="IZ6" s="119">
        <f t="shared" si="18"/>
        <v>53997</v>
      </c>
      <c r="JA6" s="119">
        <f t="shared" si="18"/>
        <v>54027</v>
      </c>
      <c r="JB6" s="119">
        <f t="shared" ref="JB6:KQ6" si="19">EDATE(JA6,1)</f>
        <v>54058</v>
      </c>
      <c r="JC6" s="119">
        <f t="shared" si="19"/>
        <v>54089</v>
      </c>
      <c r="JD6" s="119">
        <f t="shared" si="19"/>
        <v>54118</v>
      </c>
      <c r="JE6" s="119">
        <f t="shared" si="19"/>
        <v>54149</v>
      </c>
      <c r="JF6" s="119">
        <f t="shared" si="19"/>
        <v>54179</v>
      </c>
      <c r="JG6" s="119">
        <f t="shared" si="19"/>
        <v>54210</v>
      </c>
      <c r="JH6" s="119">
        <f t="shared" si="19"/>
        <v>54240</v>
      </c>
      <c r="JI6" s="119">
        <f t="shared" si="19"/>
        <v>54271</v>
      </c>
      <c r="JJ6" s="119">
        <f t="shared" si="19"/>
        <v>54302</v>
      </c>
      <c r="JK6" s="119">
        <f t="shared" si="19"/>
        <v>54332</v>
      </c>
      <c r="JL6" s="119">
        <f t="shared" si="19"/>
        <v>54363</v>
      </c>
      <c r="JM6" s="119">
        <f t="shared" si="19"/>
        <v>54393</v>
      </c>
      <c r="JN6" s="119">
        <f t="shared" si="19"/>
        <v>54424</v>
      </c>
      <c r="JO6" s="119">
        <f t="shared" si="19"/>
        <v>54455</v>
      </c>
      <c r="JP6" s="119">
        <f t="shared" si="19"/>
        <v>54483</v>
      </c>
      <c r="JQ6" s="119">
        <f t="shared" si="19"/>
        <v>54514</v>
      </c>
      <c r="JR6" s="119">
        <f t="shared" si="19"/>
        <v>54544</v>
      </c>
      <c r="JS6" s="119">
        <f t="shared" si="19"/>
        <v>54575</v>
      </c>
      <c r="JT6" s="119">
        <f t="shared" si="19"/>
        <v>54605</v>
      </c>
      <c r="JU6" s="119">
        <f t="shared" si="19"/>
        <v>54636</v>
      </c>
      <c r="JV6" s="119">
        <f t="shared" si="19"/>
        <v>54667</v>
      </c>
      <c r="JW6" s="119">
        <f t="shared" si="19"/>
        <v>54697</v>
      </c>
      <c r="JX6" s="119">
        <f t="shared" si="19"/>
        <v>54728</v>
      </c>
      <c r="JY6" s="119">
        <f t="shared" si="19"/>
        <v>54758</v>
      </c>
      <c r="JZ6" s="119">
        <f t="shared" si="19"/>
        <v>54789</v>
      </c>
      <c r="KA6" s="119">
        <f t="shared" si="19"/>
        <v>54820</v>
      </c>
      <c r="KB6" s="119">
        <f t="shared" si="19"/>
        <v>54848</v>
      </c>
      <c r="KC6" s="119">
        <f t="shared" si="19"/>
        <v>54879</v>
      </c>
      <c r="KD6" s="119">
        <f t="shared" si="19"/>
        <v>54909</v>
      </c>
      <c r="KE6" s="119">
        <f t="shared" si="19"/>
        <v>54940</v>
      </c>
      <c r="KF6" s="119">
        <f t="shared" si="19"/>
        <v>54970</v>
      </c>
      <c r="KG6" s="119">
        <f t="shared" si="19"/>
        <v>55001</v>
      </c>
      <c r="KH6" s="119">
        <f t="shared" si="19"/>
        <v>55032</v>
      </c>
      <c r="KI6" s="119">
        <f t="shared" si="19"/>
        <v>55062</v>
      </c>
      <c r="KJ6" s="119">
        <f t="shared" si="19"/>
        <v>55093</v>
      </c>
      <c r="KK6" s="119">
        <f t="shared" si="19"/>
        <v>55123</v>
      </c>
      <c r="KL6" s="119">
        <f t="shared" si="19"/>
        <v>55154</v>
      </c>
      <c r="KM6" s="119">
        <f t="shared" si="19"/>
        <v>55185</v>
      </c>
      <c r="KN6" s="119">
        <f t="shared" si="19"/>
        <v>55213</v>
      </c>
      <c r="KO6" s="119">
        <f t="shared" si="19"/>
        <v>55244</v>
      </c>
      <c r="KP6" s="119">
        <f t="shared" si="19"/>
        <v>55274</v>
      </c>
      <c r="KQ6" s="119">
        <f t="shared" si="19"/>
        <v>55305</v>
      </c>
    </row>
    <row r="7" spans="2:303" x14ac:dyDescent="0.35">
      <c r="B7" s="120" t="s">
        <v>104</v>
      </c>
      <c r="C7" s="121">
        <f t="shared" ref="C7:C12" si="20">SUM(D7:KQ7)</f>
        <v>10713300000</v>
      </c>
      <c r="D7" s="122">
        <f>SUM(D8:D8)</f>
        <v>321399000</v>
      </c>
      <c r="E7" s="122">
        <f t="shared" ref="E7:BP7" si="21">SUM(E8:E8)</f>
        <v>321399000</v>
      </c>
      <c r="F7" s="122">
        <f t="shared" si="21"/>
        <v>321399000</v>
      </c>
      <c r="G7" s="122">
        <f t="shared" si="21"/>
        <v>321399000</v>
      </c>
      <c r="H7" s="122">
        <f t="shared" si="21"/>
        <v>332112300</v>
      </c>
      <c r="I7" s="122">
        <f t="shared" si="21"/>
        <v>332112300</v>
      </c>
      <c r="J7" s="122">
        <f t="shared" si="21"/>
        <v>332112300</v>
      </c>
      <c r="K7" s="122">
        <f t="shared" si="21"/>
        <v>332112300</v>
      </c>
      <c r="L7" s="122">
        <f t="shared" si="21"/>
        <v>342825600</v>
      </c>
      <c r="M7" s="122">
        <f t="shared" si="21"/>
        <v>342825600</v>
      </c>
      <c r="N7" s="122">
        <f t="shared" si="21"/>
        <v>342825600</v>
      </c>
      <c r="O7" s="122">
        <f t="shared" si="21"/>
        <v>342825600</v>
      </c>
      <c r="P7" s="122">
        <f t="shared" si="21"/>
        <v>342825600</v>
      </c>
      <c r="Q7" s="122">
        <f t="shared" si="21"/>
        <v>353538900</v>
      </c>
      <c r="R7" s="122">
        <f t="shared" si="21"/>
        <v>353538900</v>
      </c>
      <c r="S7" s="122">
        <f t="shared" si="21"/>
        <v>353538900</v>
      </c>
      <c r="T7" s="122">
        <f t="shared" si="21"/>
        <v>353538900</v>
      </c>
      <c r="U7" s="122">
        <f t="shared" si="21"/>
        <v>353538900</v>
      </c>
      <c r="V7" s="122">
        <f t="shared" si="21"/>
        <v>769572049.99999988</v>
      </c>
      <c r="W7" s="122">
        <f t="shared" si="21"/>
        <v>769572049.99999988</v>
      </c>
      <c r="X7" s="122">
        <f t="shared" si="21"/>
        <v>769572049.99999988</v>
      </c>
      <c r="Y7" s="122">
        <f t="shared" si="21"/>
        <v>769572049.99999988</v>
      </c>
      <c r="Z7" s="122">
        <f t="shared" si="21"/>
        <v>769572049.99999988</v>
      </c>
      <c r="AA7" s="122">
        <f t="shared" si="21"/>
        <v>769572049.99999988</v>
      </c>
      <c r="AB7" s="122">
        <f t="shared" si="21"/>
        <v>0</v>
      </c>
      <c r="AC7" s="122">
        <f t="shared" si="21"/>
        <v>0</v>
      </c>
      <c r="AD7" s="122">
        <f t="shared" si="21"/>
        <v>0</v>
      </c>
      <c r="AE7" s="122">
        <f t="shared" si="21"/>
        <v>0</v>
      </c>
      <c r="AF7" s="122">
        <f t="shared" si="21"/>
        <v>0</v>
      </c>
      <c r="AG7" s="122">
        <f t="shared" si="21"/>
        <v>0</v>
      </c>
      <c r="AH7" s="122">
        <f t="shared" si="21"/>
        <v>0</v>
      </c>
      <c r="AI7" s="122">
        <f t="shared" si="21"/>
        <v>0</v>
      </c>
      <c r="AJ7" s="122">
        <f t="shared" si="21"/>
        <v>0</v>
      </c>
      <c r="AK7" s="122">
        <f t="shared" si="21"/>
        <v>0</v>
      </c>
      <c r="AL7" s="122">
        <f t="shared" si="21"/>
        <v>0</v>
      </c>
      <c r="AM7" s="122">
        <f t="shared" si="21"/>
        <v>0</v>
      </c>
      <c r="AN7" s="122">
        <f t="shared" si="21"/>
        <v>0</v>
      </c>
      <c r="AO7" s="122">
        <f t="shared" si="21"/>
        <v>0</v>
      </c>
      <c r="AP7" s="122">
        <f t="shared" si="21"/>
        <v>0</v>
      </c>
      <c r="AQ7" s="122">
        <f t="shared" si="21"/>
        <v>0</v>
      </c>
      <c r="AR7" s="122">
        <f t="shared" si="21"/>
        <v>0</v>
      </c>
      <c r="AS7" s="122">
        <f t="shared" si="21"/>
        <v>0</v>
      </c>
      <c r="AT7" s="122">
        <f t="shared" si="21"/>
        <v>0</v>
      </c>
      <c r="AU7" s="122">
        <f t="shared" si="21"/>
        <v>0</v>
      </c>
      <c r="AV7" s="122">
        <f t="shared" si="21"/>
        <v>0</v>
      </c>
      <c r="AW7" s="122">
        <f t="shared" si="21"/>
        <v>0</v>
      </c>
      <c r="AX7" s="122">
        <f t="shared" si="21"/>
        <v>0</v>
      </c>
      <c r="AY7" s="122">
        <f t="shared" si="21"/>
        <v>0</v>
      </c>
      <c r="AZ7" s="122">
        <f t="shared" si="21"/>
        <v>0</v>
      </c>
      <c r="BA7" s="122">
        <f t="shared" si="21"/>
        <v>0</v>
      </c>
      <c r="BB7" s="122">
        <f t="shared" si="21"/>
        <v>0</v>
      </c>
      <c r="BC7" s="122">
        <f t="shared" si="21"/>
        <v>0</v>
      </c>
      <c r="BD7" s="122">
        <f t="shared" si="21"/>
        <v>0</v>
      </c>
      <c r="BE7" s="122">
        <f t="shared" si="21"/>
        <v>0</v>
      </c>
      <c r="BF7" s="122">
        <f t="shared" si="21"/>
        <v>0</v>
      </c>
      <c r="BG7" s="122">
        <f t="shared" si="21"/>
        <v>0</v>
      </c>
      <c r="BH7" s="122">
        <f t="shared" si="21"/>
        <v>0</v>
      </c>
      <c r="BI7" s="122">
        <f t="shared" si="21"/>
        <v>0</v>
      </c>
      <c r="BJ7" s="122">
        <f t="shared" si="21"/>
        <v>0</v>
      </c>
      <c r="BK7" s="122">
        <f t="shared" si="21"/>
        <v>0</v>
      </c>
      <c r="BL7" s="122">
        <f t="shared" si="21"/>
        <v>0</v>
      </c>
      <c r="BM7" s="122">
        <f t="shared" si="21"/>
        <v>0</v>
      </c>
      <c r="BN7" s="122">
        <f t="shared" si="21"/>
        <v>0</v>
      </c>
      <c r="BO7" s="122">
        <f t="shared" si="21"/>
        <v>0</v>
      </c>
      <c r="BP7" s="122">
        <f t="shared" si="21"/>
        <v>0</v>
      </c>
      <c r="BQ7" s="122">
        <f t="shared" ref="BQ7:EB7" si="22">SUM(BQ8:BQ8)</f>
        <v>0</v>
      </c>
      <c r="BR7" s="122">
        <f t="shared" si="22"/>
        <v>0</v>
      </c>
      <c r="BS7" s="122">
        <f t="shared" si="22"/>
        <v>0</v>
      </c>
      <c r="BT7" s="122">
        <f t="shared" si="22"/>
        <v>0</v>
      </c>
      <c r="BU7" s="122">
        <f t="shared" si="22"/>
        <v>0</v>
      </c>
      <c r="BV7" s="122">
        <f t="shared" si="22"/>
        <v>0</v>
      </c>
      <c r="BW7" s="122">
        <f t="shared" si="22"/>
        <v>0</v>
      </c>
      <c r="BX7" s="122">
        <f t="shared" si="22"/>
        <v>0</v>
      </c>
      <c r="BY7" s="122">
        <f t="shared" si="22"/>
        <v>0</v>
      </c>
      <c r="BZ7" s="122">
        <f t="shared" si="22"/>
        <v>0</v>
      </c>
      <c r="CA7" s="122">
        <f t="shared" si="22"/>
        <v>0</v>
      </c>
      <c r="CB7" s="122">
        <f t="shared" si="22"/>
        <v>0</v>
      </c>
      <c r="CC7" s="122">
        <f t="shared" si="22"/>
        <v>0</v>
      </c>
      <c r="CD7" s="122">
        <f t="shared" si="22"/>
        <v>0</v>
      </c>
      <c r="CE7" s="122">
        <f t="shared" si="22"/>
        <v>0</v>
      </c>
      <c r="CF7" s="122">
        <f t="shared" si="22"/>
        <v>0</v>
      </c>
      <c r="CG7" s="122">
        <f t="shared" si="22"/>
        <v>0</v>
      </c>
      <c r="CH7" s="122">
        <f t="shared" si="22"/>
        <v>0</v>
      </c>
      <c r="CI7" s="122">
        <f t="shared" si="22"/>
        <v>0</v>
      </c>
      <c r="CJ7" s="122">
        <f t="shared" si="22"/>
        <v>0</v>
      </c>
      <c r="CK7" s="122">
        <f t="shared" si="22"/>
        <v>0</v>
      </c>
      <c r="CL7" s="122">
        <f t="shared" si="22"/>
        <v>0</v>
      </c>
      <c r="CM7" s="122">
        <f t="shared" si="22"/>
        <v>0</v>
      </c>
      <c r="CN7" s="122">
        <f t="shared" si="22"/>
        <v>0</v>
      </c>
      <c r="CO7" s="122">
        <f t="shared" si="22"/>
        <v>0</v>
      </c>
      <c r="CP7" s="122">
        <f t="shared" si="22"/>
        <v>0</v>
      </c>
      <c r="CQ7" s="122">
        <f t="shared" si="22"/>
        <v>0</v>
      </c>
      <c r="CR7" s="122">
        <f t="shared" si="22"/>
        <v>0</v>
      </c>
      <c r="CS7" s="122">
        <f t="shared" si="22"/>
        <v>0</v>
      </c>
      <c r="CT7" s="122">
        <f t="shared" si="22"/>
        <v>0</v>
      </c>
      <c r="CU7" s="122">
        <f t="shared" si="22"/>
        <v>0</v>
      </c>
      <c r="CV7" s="122">
        <f t="shared" si="22"/>
        <v>0</v>
      </c>
      <c r="CW7" s="122">
        <f t="shared" si="22"/>
        <v>0</v>
      </c>
      <c r="CX7" s="122">
        <f t="shared" si="22"/>
        <v>0</v>
      </c>
      <c r="CY7" s="122">
        <f t="shared" si="22"/>
        <v>0</v>
      </c>
      <c r="CZ7" s="122">
        <f t="shared" si="22"/>
        <v>0</v>
      </c>
      <c r="DA7" s="122">
        <f t="shared" si="22"/>
        <v>0</v>
      </c>
      <c r="DB7" s="122">
        <f t="shared" si="22"/>
        <v>0</v>
      </c>
      <c r="DC7" s="122">
        <f t="shared" si="22"/>
        <v>0</v>
      </c>
      <c r="DD7" s="122">
        <f t="shared" si="22"/>
        <v>0</v>
      </c>
      <c r="DE7" s="122">
        <f t="shared" si="22"/>
        <v>0</v>
      </c>
      <c r="DF7" s="122">
        <f t="shared" si="22"/>
        <v>0</v>
      </c>
      <c r="DG7" s="122">
        <f t="shared" si="22"/>
        <v>0</v>
      </c>
      <c r="DH7" s="122">
        <f t="shared" si="22"/>
        <v>0</v>
      </c>
      <c r="DI7" s="122">
        <f t="shared" si="22"/>
        <v>0</v>
      </c>
      <c r="DJ7" s="122">
        <f t="shared" si="22"/>
        <v>0</v>
      </c>
      <c r="DK7" s="122">
        <f t="shared" si="22"/>
        <v>0</v>
      </c>
      <c r="DL7" s="122">
        <f t="shared" si="22"/>
        <v>0</v>
      </c>
      <c r="DM7" s="122">
        <f t="shared" si="22"/>
        <v>0</v>
      </c>
      <c r="DN7" s="122">
        <f t="shared" si="22"/>
        <v>0</v>
      </c>
      <c r="DO7" s="122">
        <f t="shared" si="22"/>
        <v>0</v>
      </c>
      <c r="DP7" s="122">
        <f t="shared" si="22"/>
        <v>0</v>
      </c>
      <c r="DQ7" s="122">
        <f t="shared" si="22"/>
        <v>0</v>
      </c>
      <c r="DR7" s="122">
        <f t="shared" si="22"/>
        <v>0</v>
      </c>
      <c r="DS7" s="122">
        <f t="shared" si="22"/>
        <v>0</v>
      </c>
      <c r="DT7" s="122">
        <f t="shared" si="22"/>
        <v>0</v>
      </c>
      <c r="DU7" s="122">
        <f t="shared" si="22"/>
        <v>0</v>
      </c>
      <c r="DV7" s="122">
        <f t="shared" si="22"/>
        <v>0</v>
      </c>
      <c r="DW7" s="122">
        <f t="shared" si="22"/>
        <v>0</v>
      </c>
      <c r="DX7" s="122">
        <f t="shared" si="22"/>
        <v>0</v>
      </c>
      <c r="DY7" s="122">
        <f t="shared" si="22"/>
        <v>0</v>
      </c>
      <c r="DZ7" s="122">
        <f t="shared" si="22"/>
        <v>0</v>
      </c>
      <c r="EA7" s="122">
        <f t="shared" si="22"/>
        <v>0</v>
      </c>
      <c r="EB7" s="122">
        <f t="shared" si="22"/>
        <v>0</v>
      </c>
      <c r="EC7" s="122">
        <f t="shared" ref="EC7:GN7" si="23">SUM(EC8:EC8)</f>
        <v>0</v>
      </c>
      <c r="ED7" s="122">
        <f t="shared" si="23"/>
        <v>0</v>
      </c>
      <c r="EE7" s="122">
        <f t="shared" si="23"/>
        <v>0</v>
      </c>
      <c r="EF7" s="122">
        <f t="shared" si="23"/>
        <v>0</v>
      </c>
      <c r="EG7" s="122">
        <f t="shared" si="23"/>
        <v>0</v>
      </c>
      <c r="EH7" s="122">
        <f t="shared" si="23"/>
        <v>0</v>
      </c>
      <c r="EI7" s="122">
        <f t="shared" si="23"/>
        <v>0</v>
      </c>
      <c r="EJ7" s="122">
        <f t="shared" si="23"/>
        <v>0</v>
      </c>
      <c r="EK7" s="122">
        <f t="shared" si="23"/>
        <v>0</v>
      </c>
      <c r="EL7" s="122">
        <f t="shared" si="23"/>
        <v>0</v>
      </c>
      <c r="EM7" s="122">
        <f t="shared" si="23"/>
        <v>0</v>
      </c>
      <c r="EN7" s="122">
        <f t="shared" si="23"/>
        <v>0</v>
      </c>
      <c r="EO7" s="122">
        <f t="shared" si="23"/>
        <v>0</v>
      </c>
      <c r="EP7" s="122">
        <f t="shared" si="23"/>
        <v>0</v>
      </c>
      <c r="EQ7" s="122">
        <f t="shared" si="23"/>
        <v>0</v>
      </c>
      <c r="ER7" s="122">
        <f t="shared" si="23"/>
        <v>0</v>
      </c>
      <c r="ES7" s="122">
        <f t="shared" si="23"/>
        <v>0</v>
      </c>
      <c r="ET7" s="122">
        <f t="shared" si="23"/>
        <v>0</v>
      </c>
      <c r="EU7" s="122">
        <f t="shared" si="23"/>
        <v>0</v>
      </c>
      <c r="EV7" s="122">
        <f t="shared" si="23"/>
        <v>0</v>
      </c>
      <c r="EW7" s="122">
        <f t="shared" si="23"/>
        <v>0</v>
      </c>
      <c r="EX7" s="122">
        <f t="shared" si="23"/>
        <v>0</v>
      </c>
      <c r="EY7" s="122">
        <f t="shared" si="23"/>
        <v>0</v>
      </c>
      <c r="EZ7" s="122">
        <f t="shared" si="23"/>
        <v>0</v>
      </c>
      <c r="FA7" s="122">
        <f t="shared" si="23"/>
        <v>0</v>
      </c>
      <c r="FB7" s="122">
        <f t="shared" si="23"/>
        <v>0</v>
      </c>
      <c r="FC7" s="122">
        <f t="shared" si="23"/>
        <v>0</v>
      </c>
      <c r="FD7" s="122">
        <f t="shared" si="23"/>
        <v>0</v>
      </c>
      <c r="FE7" s="122">
        <f t="shared" si="23"/>
        <v>0</v>
      </c>
      <c r="FF7" s="122">
        <f t="shared" si="23"/>
        <v>0</v>
      </c>
      <c r="FG7" s="122">
        <f t="shared" si="23"/>
        <v>0</v>
      </c>
      <c r="FH7" s="122">
        <f t="shared" si="23"/>
        <v>0</v>
      </c>
      <c r="FI7" s="122">
        <f t="shared" si="23"/>
        <v>0</v>
      </c>
      <c r="FJ7" s="122">
        <f t="shared" si="23"/>
        <v>0</v>
      </c>
      <c r="FK7" s="122">
        <f t="shared" si="23"/>
        <v>0</v>
      </c>
      <c r="FL7" s="122">
        <f t="shared" si="23"/>
        <v>0</v>
      </c>
      <c r="FM7" s="122">
        <f t="shared" si="23"/>
        <v>0</v>
      </c>
      <c r="FN7" s="122">
        <f t="shared" si="23"/>
        <v>0</v>
      </c>
      <c r="FO7" s="122">
        <f t="shared" si="23"/>
        <v>0</v>
      </c>
      <c r="FP7" s="122">
        <f t="shared" si="23"/>
        <v>0</v>
      </c>
      <c r="FQ7" s="122">
        <f t="shared" si="23"/>
        <v>0</v>
      </c>
      <c r="FR7" s="122">
        <f t="shared" si="23"/>
        <v>0</v>
      </c>
      <c r="FS7" s="122">
        <f t="shared" si="23"/>
        <v>0</v>
      </c>
      <c r="FT7" s="122">
        <f t="shared" si="23"/>
        <v>0</v>
      </c>
      <c r="FU7" s="122">
        <f t="shared" si="23"/>
        <v>0</v>
      </c>
      <c r="FV7" s="122">
        <f t="shared" si="23"/>
        <v>0</v>
      </c>
      <c r="FW7" s="122">
        <f t="shared" si="23"/>
        <v>0</v>
      </c>
      <c r="FX7" s="122">
        <f t="shared" si="23"/>
        <v>0</v>
      </c>
      <c r="FY7" s="122">
        <f t="shared" si="23"/>
        <v>0</v>
      </c>
      <c r="FZ7" s="122">
        <f t="shared" si="23"/>
        <v>0</v>
      </c>
      <c r="GA7" s="122">
        <f t="shared" si="23"/>
        <v>0</v>
      </c>
      <c r="GB7" s="122">
        <f t="shared" si="23"/>
        <v>0</v>
      </c>
      <c r="GC7" s="122">
        <f t="shared" si="23"/>
        <v>0</v>
      </c>
      <c r="GD7" s="122">
        <f t="shared" si="23"/>
        <v>0</v>
      </c>
      <c r="GE7" s="122">
        <f t="shared" si="23"/>
        <v>0</v>
      </c>
      <c r="GF7" s="122">
        <f t="shared" si="23"/>
        <v>0</v>
      </c>
      <c r="GG7" s="122">
        <f t="shared" si="23"/>
        <v>0</v>
      </c>
      <c r="GH7" s="122">
        <f t="shared" si="23"/>
        <v>0</v>
      </c>
      <c r="GI7" s="122">
        <f t="shared" si="23"/>
        <v>0</v>
      </c>
      <c r="GJ7" s="122">
        <f t="shared" si="23"/>
        <v>0</v>
      </c>
      <c r="GK7" s="122">
        <f t="shared" si="23"/>
        <v>0</v>
      </c>
      <c r="GL7" s="122">
        <f t="shared" si="23"/>
        <v>0</v>
      </c>
      <c r="GM7" s="122">
        <f t="shared" si="23"/>
        <v>0</v>
      </c>
      <c r="GN7" s="122">
        <f t="shared" si="23"/>
        <v>0</v>
      </c>
      <c r="GO7" s="122">
        <f t="shared" ref="GO7:IZ7" si="24">SUM(GO8:GO8)</f>
        <v>0</v>
      </c>
      <c r="GP7" s="122">
        <f t="shared" si="24"/>
        <v>0</v>
      </c>
      <c r="GQ7" s="122">
        <f t="shared" si="24"/>
        <v>0</v>
      </c>
      <c r="GR7" s="122">
        <f t="shared" si="24"/>
        <v>0</v>
      </c>
      <c r="GS7" s="122">
        <f t="shared" si="24"/>
        <v>0</v>
      </c>
      <c r="GT7" s="122">
        <f t="shared" si="24"/>
        <v>0</v>
      </c>
      <c r="GU7" s="122">
        <f t="shared" si="24"/>
        <v>0</v>
      </c>
      <c r="GV7" s="122">
        <f t="shared" si="24"/>
        <v>0</v>
      </c>
      <c r="GW7" s="122">
        <f t="shared" si="24"/>
        <v>0</v>
      </c>
      <c r="GX7" s="122">
        <f t="shared" si="24"/>
        <v>0</v>
      </c>
      <c r="GY7" s="122">
        <f t="shared" si="24"/>
        <v>0</v>
      </c>
      <c r="GZ7" s="122">
        <f t="shared" si="24"/>
        <v>0</v>
      </c>
      <c r="HA7" s="122">
        <f t="shared" si="24"/>
        <v>0</v>
      </c>
      <c r="HB7" s="122">
        <f t="shared" si="24"/>
        <v>0</v>
      </c>
      <c r="HC7" s="122">
        <f t="shared" si="24"/>
        <v>0</v>
      </c>
      <c r="HD7" s="122">
        <f t="shared" si="24"/>
        <v>0</v>
      </c>
      <c r="HE7" s="122">
        <f t="shared" si="24"/>
        <v>0</v>
      </c>
      <c r="HF7" s="122">
        <f t="shared" si="24"/>
        <v>0</v>
      </c>
      <c r="HG7" s="122">
        <f t="shared" si="24"/>
        <v>0</v>
      </c>
      <c r="HH7" s="122">
        <f t="shared" si="24"/>
        <v>0</v>
      </c>
      <c r="HI7" s="122">
        <f t="shared" si="24"/>
        <v>0</v>
      </c>
      <c r="HJ7" s="122">
        <f t="shared" si="24"/>
        <v>0</v>
      </c>
      <c r="HK7" s="122">
        <f t="shared" si="24"/>
        <v>0</v>
      </c>
      <c r="HL7" s="122">
        <f t="shared" si="24"/>
        <v>0</v>
      </c>
      <c r="HM7" s="122">
        <f t="shared" si="24"/>
        <v>0</v>
      </c>
      <c r="HN7" s="122">
        <f t="shared" si="24"/>
        <v>0</v>
      </c>
      <c r="HO7" s="122">
        <f t="shared" si="24"/>
        <v>0</v>
      </c>
      <c r="HP7" s="122">
        <f t="shared" si="24"/>
        <v>0</v>
      </c>
      <c r="HQ7" s="122">
        <f t="shared" si="24"/>
        <v>0</v>
      </c>
      <c r="HR7" s="122">
        <f t="shared" si="24"/>
        <v>0</v>
      </c>
      <c r="HS7" s="122">
        <f t="shared" si="24"/>
        <v>0</v>
      </c>
      <c r="HT7" s="122">
        <f t="shared" si="24"/>
        <v>0</v>
      </c>
      <c r="HU7" s="122">
        <f t="shared" si="24"/>
        <v>0</v>
      </c>
      <c r="HV7" s="122">
        <f t="shared" si="24"/>
        <v>0</v>
      </c>
      <c r="HW7" s="122">
        <f t="shared" si="24"/>
        <v>0</v>
      </c>
      <c r="HX7" s="122">
        <f t="shared" si="24"/>
        <v>0</v>
      </c>
      <c r="HY7" s="122">
        <f t="shared" si="24"/>
        <v>0</v>
      </c>
      <c r="HZ7" s="122">
        <f t="shared" si="24"/>
        <v>0</v>
      </c>
      <c r="IA7" s="122">
        <f t="shared" si="24"/>
        <v>0</v>
      </c>
      <c r="IB7" s="122">
        <f t="shared" si="24"/>
        <v>0</v>
      </c>
      <c r="IC7" s="122">
        <f t="shared" si="24"/>
        <v>0</v>
      </c>
      <c r="ID7" s="122">
        <f t="shared" si="24"/>
        <v>0</v>
      </c>
      <c r="IE7" s="122">
        <f t="shared" si="24"/>
        <v>0</v>
      </c>
      <c r="IF7" s="122">
        <f t="shared" si="24"/>
        <v>0</v>
      </c>
      <c r="IG7" s="122">
        <f t="shared" si="24"/>
        <v>0</v>
      </c>
      <c r="IH7" s="122">
        <f t="shared" si="24"/>
        <v>0</v>
      </c>
      <c r="II7" s="122">
        <f t="shared" si="24"/>
        <v>0</v>
      </c>
      <c r="IJ7" s="122">
        <f t="shared" si="24"/>
        <v>0</v>
      </c>
      <c r="IK7" s="122">
        <f t="shared" si="24"/>
        <v>0</v>
      </c>
      <c r="IL7" s="122">
        <f t="shared" si="24"/>
        <v>0</v>
      </c>
      <c r="IM7" s="122">
        <f t="shared" si="24"/>
        <v>0</v>
      </c>
      <c r="IN7" s="122">
        <f t="shared" si="24"/>
        <v>0</v>
      </c>
      <c r="IO7" s="122">
        <f t="shared" si="24"/>
        <v>0</v>
      </c>
      <c r="IP7" s="122">
        <f t="shared" si="24"/>
        <v>0</v>
      </c>
      <c r="IQ7" s="122">
        <f t="shared" si="24"/>
        <v>0</v>
      </c>
      <c r="IR7" s="122">
        <f t="shared" si="24"/>
        <v>0</v>
      </c>
      <c r="IS7" s="122">
        <f t="shared" si="24"/>
        <v>0</v>
      </c>
      <c r="IT7" s="122">
        <f t="shared" si="24"/>
        <v>0</v>
      </c>
      <c r="IU7" s="122">
        <f t="shared" si="24"/>
        <v>0</v>
      </c>
      <c r="IV7" s="122">
        <f t="shared" si="24"/>
        <v>0</v>
      </c>
      <c r="IW7" s="122">
        <f t="shared" si="24"/>
        <v>0</v>
      </c>
      <c r="IX7" s="122">
        <f t="shared" si="24"/>
        <v>0</v>
      </c>
      <c r="IY7" s="122">
        <f t="shared" si="24"/>
        <v>0</v>
      </c>
      <c r="IZ7" s="122">
        <f t="shared" si="24"/>
        <v>0</v>
      </c>
      <c r="JA7" s="122">
        <f t="shared" ref="JA7:KQ7" si="25">SUM(JA8:JA8)</f>
        <v>0</v>
      </c>
      <c r="JB7" s="122">
        <f t="shared" si="25"/>
        <v>0</v>
      </c>
      <c r="JC7" s="122">
        <f t="shared" si="25"/>
        <v>0</v>
      </c>
      <c r="JD7" s="122">
        <f t="shared" si="25"/>
        <v>0</v>
      </c>
      <c r="JE7" s="122">
        <f t="shared" si="25"/>
        <v>0</v>
      </c>
      <c r="JF7" s="122">
        <f t="shared" si="25"/>
        <v>0</v>
      </c>
      <c r="JG7" s="122">
        <f t="shared" si="25"/>
        <v>0</v>
      </c>
      <c r="JH7" s="122">
        <f t="shared" si="25"/>
        <v>0</v>
      </c>
      <c r="JI7" s="122">
        <f t="shared" si="25"/>
        <v>0</v>
      </c>
      <c r="JJ7" s="122">
        <f t="shared" si="25"/>
        <v>0</v>
      </c>
      <c r="JK7" s="122">
        <f t="shared" si="25"/>
        <v>0</v>
      </c>
      <c r="JL7" s="122">
        <f t="shared" si="25"/>
        <v>0</v>
      </c>
      <c r="JM7" s="122">
        <f t="shared" si="25"/>
        <v>0</v>
      </c>
      <c r="JN7" s="122">
        <f t="shared" si="25"/>
        <v>0</v>
      </c>
      <c r="JO7" s="122">
        <f t="shared" si="25"/>
        <v>0</v>
      </c>
      <c r="JP7" s="122">
        <f t="shared" si="25"/>
        <v>0</v>
      </c>
      <c r="JQ7" s="122">
        <f t="shared" si="25"/>
        <v>0</v>
      </c>
      <c r="JR7" s="122">
        <f t="shared" si="25"/>
        <v>0</v>
      </c>
      <c r="JS7" s="122">
        <f t="shared" si="25"/>
        <v>0</v>
      </c>
      <c r="JT7" s="122">
        <f t="shared" si="25"/>
        <v>0</v>
      </c>
      <c r="JU7" s="122">
        <f t="shared" si="25"/>
        <v>0</v>
      </c>
      <c r="JV7" s="122">
        <f t="shared" si="25"/>
        <v>0</v>
      </c>
      <c r="JW7" s="122">
        <f t="shared" si="25"/>
        <v>0</v>
      </c>
      <c r="JX7" s="122">
        <f t="shared" si="25"/>
        <v>0</v>
      </c>
      <c r="JY7" s="122">
        <f t="shared" si="25"/>
        <v>0</v>
      </c>
      <c r="JZ7" s="122">
        <f t="shared" si="25"/>
        <v>0</v>
      </c>
      <c r="KA7" s="122">
        <f t="shared" si="25"/>
        <v>0</v>
      </c>
      <c r="KB7" s="122">
        <f t="shared" si="25"/>
        <v>0</v>
      </c>
      <c r="KC7" s="122">
        <f t="shared" si="25"/>
        <v>0</v>
      </c>
      <c r="KD7" s="122">
        <f t="shared" si="25"/>
        <v>0</v>
      </c>
      <c r="KE7" s="122">
        <f t="shared" si="25"/>
        <v>0</v>
      </c>
      <c r="KF7" s="122">
        <f t="shared" si="25"/>
        <v>0</v>
      </c>
      <c r="KG7" s="122">
        <f t="shared" si="25"/>
        <v>0</v>
      </c>
      <c r="KH7" s="122">
        <f t="shared" si="25"/>
        <v>0</v>
      </c>
      <c r="KI7" s="122">
        <f t="shared" si="25"/>
        <v>0</v>
      </c>
      <c r="KJ7" s="122">
        <f t="shared" si="25"/>
        <v>0</v>
      </c>
      <c r="KK7" s="122">
        <f t="shared" si="25"/>
        <v>0</v>
      </c>
      <c r="KL7" s="122">
        <f t="shared" si="25"/>
        <v>0</v>
      </c>
      <c r="KM7" s="122">
        <f t="shared" si="25"/>
        <v>0</v>
      </c>
      <c r="KN7" s="122">
        <f t="shared" si="25"/>
        <v>0</v>
      </c>
      <c r="KO7" s="122">
        <f t="shared" si="25"/>
        <v>0</v>
      </c>
      <c r="KP7" s="122">
        <f t="shared" si="25"/>
        <v>0</v>
      </c>
      <c r="KQ7" s="122">
        <f t="shared" si="25"/>
        <v>0</v>
      </c>
    </row>
    <row r="8" spans="2:303" x14ac:dyDescent="0.35">
      <c r="B8" s="126" t="s">
        <v>105</v>
      </c>
      <c r="C8" s="123">
        <f t="shared" si="20"/>
        <v>10713300000</v>
      </c>
      <c r="D8" s="124">
        <f>Sales!E15</f>
        <v>321399000</v>
      </c>
      <c r="E8" s="124">
        <f>Sales!F15</f>
        <v>321399000</v>
      </c>
      <c r="F8" s="124">
        <f>Sales!G15</f>
        <v>321399000</v>
      </c>
      <c r="G8" s="124">
        <f>Sales!H15</f>
        <v>321399000</v>
      </c>
      <c r="H8" s="124">
        <f>Sales!I15</f>
        <v>332112300</v>
      </c>
      <c r="I8" s="124">
        <f>Sales!J15</f>
        <v>332112300</v>
      </c>
      <c r="J8" s="124">
        <f>Sales!K15</f>
        <v>332112300</v>
      </c>
      <c r="K8" s="124">
        <f>Sales!L15</f>
        <v>332112300</v>
      </c>
      <c r="L8" s="124">
        <f>Sales!M15</f>
        <v>342825600</v>
      </c>
      <c r="M8" s="124">
        <f>Sales!N15</f>
        <v>342825600</v>
      </c>
      <c r="N8" s="124">
        <f>Sales!O15</f>
        <v>342825600</v>
      </c>
      <c r="O8" s="124">
        <f>Sales!P15</f>
        <v>342825600</v>
      </c>
      <c r="P8" s="124">
        <f>Sales!Q15</f>
        <v>342825600</v>
      </c>
      <c r="Q8" s="124">
        <f>Sales!R15</f>
        <v>353538900</v>
      </c>
      <c r="R8" s="124">
        <f>Sales!S15</f>
        <v>353538900</v>
      </c>
      <c r="S8" s="124">
        <f>Sales!T15</f>
        <v>353538900</v>
      </c>
      <c r="T8" s="124">
        <f>Sales!U15</f>
        <v>353538900</v>
      </c>
      <c r="U8" s="124">
        <f>Sales!V15</f>
        <v>353538900</v>
      </c>
      <c r="V8" s="124">
        <f>Sales!W15</f>
        <v>769572049.99999988</v>
      </c>
      <c r="W8" s="124">
        <f>Sales!X15</f>
        <v>769572049.99999988</v>
      </c>
      <c r="X8" s="124">
        <f>Sales!Y15</f>
        <v>769572049.99999988</v>
      </c>
      <c r="Y8" s="124">
        <f>Sales!Z15</f>
        <v>769572049.99999988</v>
      </c>
      <c r="Z8" s="124">
        <f>Sales!AA15</f>
        <v>769572049.99999988</v>
      </c>
      <c r="AA8" s="124">
        <f>Sales!AB15</f>
        <v>769572049.99999988</v>
      </c>
      <c r="AB8" s="124">
        <f>Sales!AC15</f>
        <v>0</v>
      </c>
      <c r="AC8" s="124">
        <f>Sales!AD15</f>
        <v>0</v>
      </c>
      <c r="AD8" s="124">
        <f>Sales!AE15</f>
        <v>0</v>
      </c>
      <c r="AE8" s="124">
        <f>Sales!AF15</f>
        <v>0</v>
      </c>
      <c r="AF8" s="124">
        <f>Sales!AG15</f>
        <v>0</v>
      </c>
      <c r="AG8" s="124">
        <f>Sales!AH15</f>
        <v>0</v>
      </c>
      <c r="AH8" s="124">
        <f>Sales!AI15</f>
        <v>0</v>
      </c>
      <c r="AI8" s="124">
        <f>Sales!AJ15</f>
        <v>0</v>
      </c>
      <c r="AJ8" s="124">
        <f>Sales!AK15</f>
        <v>0</v>
      </c>
      <c r="AK8" s="124">
        <f>Sales!AL15</f>
        <v>0</v>
      </c>
      <c r="AL8" s="124">
        <f>Sales!AM15</f>
        <v>0</v>
      </c>
      <c r="AM8" s="124">
        <f>Sales!AN15</f>
        <v>0</v>
      </c>
      <c r="AN8" s="124">
        <f>Sales!AO15</f>
        <v>0</v>
      </c>
      <c r="AO8" s="124">
        <f>Sales!AP15</f>
        <v>0</v>
      </c>
      <c r="AP8" s="124">
        <f>Sales!AQ15</f>
        <v>0</v>
      </c>
      <c r="AQ8" s="124">
        <f>Sales!AR15</f>
        <v>0</v>
      </c>
      <c r="AR8" s="124">
        <f>Sales!AS15</f>
        <v>0</v>
      </c>
      <c r="AS8" s="124">
        <f>Sales!AT15</f>
        <v>0</v>
      </c>
      <c r="AT8" s="124">
        <f>Sales!AU15</f>
        <v>0</v>
      </c>
      <c r="AU8" s="124">
        <f>Sales!AV15</f>
        <v>0</v>
      </c>
      <c r="AV8" s="124">
        <f>Sales!AW15</f>
        <v>0</v>
      </c>
      <c r="AW8" s="124">
        <f>Sales!AX15</f>
        <v>0</v>
      </c>
      <c r="AX8" s="124">
        <f>Sales!AY15</f>
        <v>0</v>
      </c>
      <c r="AY8" s="124">
        <f>Sales!AZ15</f>
        <v>0</v>
      </c>
      <c r="AZ8" s="124">
        <f>Sales!BA15</f>
        <v>0</v>
      </c>
      <c r="BA8" s="124">
        <f>Sales!BB15</f>
        <v>0</v>
      </c>
      <c r="BB8" s="124">
        <f>Sales!BC15</f>
        <v>0</v>
      </c>
      <c r="BC8" s="124">
        <f>Sales!BD15</f>
        <v>0</v>
      </c>
      <c r="BD8" s="124">
        <f>Sales!BE15</f>
        <v>0</v>
      </c>
      <c r="BE8" s="124">
        <f>Sales!BF15</f>
        <v>0</v>
      </c>
      <c r="BF8" s="124">
        <f>Sales!BG15</f>
        <v>0</v>
      </c>
      <c r="BG8" s="124">
        <f>Sales!BH15</f>
        <v>0</v>
      </c>
      <c r="BH8" s="124">
        <f>Sales!BI15</f>
        <v>0</v>
      </c>
      <c r="BI8" s="124">
        <f>Sales!BJ15</f>
        <v>0</v>
      </c>
      <c r="BJ8" s="124">
        <f>Sales!BK15</f>
        <v>0</v>
      </c>
      <c r="BK8" s="124">
        <f>Sales!BL15</f>
        <v>0</v>
      </c>
      <c r="BL8" s="124">
        <f>Sales!BM15</f>
        <v>0</v>
      </c>
      <c r="BM8" s="124">
        <f>Sales!BN15</f>
        <v>0</v>
      </c>
      <c r="BN8" s="124">
        <f>Sales!BO15</f>
        <v>0</v>
      </c>
      <c r="BO8" s="124">
        <f>Sales!BP15</f>
        <v>0</v>
      </c>
      <c r="BP8" s="124">
        <f>Sales!BQ15</f>
        <v>0</v>
      </c>
      <c r="BQ8" s="124">
        <f>Sales!BR15</f>
        <v>0</v>
      </c>
      <c r="BR8" s="124">
        <f>Sales!BS15</f>
        <v>0</v>
      </c>
      <c r="BS8" s="124">
        <f>Sales!BT15</f>
        <v>0</v>
      </c>
      <c r="BT8" s="124">
        <f>Sales!BU15</f>
        <v>0</v>
      </c>
      <c r="BU8" s="124">
        <f>Sales!BV15</f>
        <v>0</v>
      </c>
      <c r="BV8" s="124">
        <f>Sales!BW15</f>
        <v>0</v>
      </c>
      <c r="BW8" s="124">
        <f>Sales!BX15</f>
        <v>0</v>
      </c>
      <c r="BX8" s="124">
        <f>Sales!BY15</f>
        <v>0</v>
      </c>
      <c r="BY8" s="124">
        <f>Sales!BZ15</f>
        <v>0</v>
      </c>
      <c r="BZ8" s="124">
        <f>Sales!CA15</f>
        <v>0</v>
      </c>
      <c r="CA8" s="124">
        <f>Sales!CB15</f>
        <v>0</v>
      </c>
      <c r="CB8" s="124">
        <f>Sales!CC15</f>
        <v>0</v>
      </c>
      <c r="CC8" s="124">
        <f>Sales!CD15</f>
        <v>0</v>
      </c>
      <c r="CD8" s="124">
        <f>Sales!CE15</f>
        <v>0</v>
      </c>
      <c r="CE8" s="124">
        <f>Sales!CF15</f>
        <v>0</v>
      </c>
      <c r="CF8" s="124">
        <f>Sales!CG15</f>
        <v>0</v>
      </c>
      <c r="CG8" s="124">
        <f>Sales!CH15</f>
        <v>0</v>
      </c>
      <c r="CH8" s="124">
        <f>Sales!CI15</f>
        <v>0</v>
      </c>
      <c r="CI8" s="124">
        <f>Sales!CJ15</f>
        <v>0</v>
      </c>
      <c r="CJ8" s="124">
        <f>Sales!CK15</f>
        <v>0</v>
      </c>
      <c r="CK8" s="124">
        <f>Sales!CL15</f>
        <v>0</v>
      </c>
      <c r="CL8" s="124">
        <f>Sales!CM15</f>
        <v>0</v>
      </c>
      <c r="CM8" s="124">
        <f>Sales!CN15</f>
        <v>0</v>
      </c>
      <c r="CN8" s="124">
        <f>Sales!CO15</f>
        <v>0</v>
      </c>
      <c r="CO8" s="124">
        <f>Sales!CP15</f>
        <v>0</v>
      </c>
      <c r="CP8" s="124">
        <f>Sales!CQ15</f>
        <v>0</v>
      </c>
      <c r="CQ8" s="124">
        <f>Sales!CR15</f>
        <v>0</v>
      </c>
      <c r="CR8" s="124">
        <f>Sales!CS15</f>
        <v>0</v>
      </c>
      <c r="CS8" s="124">
        <f>Sales!CT15</f>
        <v>0</v>
      </c>
      <c r="CT8" s="124">
        <f>Sales!CU15</f>
        <v>0</v>
      </c>
      <c r="CU8" s="124">
        <f>Sales!CV15</f>
        <v>0</v>
      </c>
      <c r="CV8" s="124">
        <f>Sales!CW15</f>
        <v>0</v>
      </c>
      <c r="CW8" s="124">
        <f>Sales!CX15</f>
        <v>0</v>
      </c>
      <c r="CX8" s="124">
        <f>Sales!CY15</f>
        <v>0</v>
      </c>
      <c r="CY8" s="124">
        <f>Sales!CZ15</f>
        <v>0</v>
      </c>
      <c r="CZ8" s="124">
        <f>Sales!DA15</f>
        <v>0</v>
      </c>
      <c r="DA8" s="124">
        <f>Sales!DB15</f>
        <v>0</v>
      </c>
      <c r="DB8" s="124">
        <f>Sales!DC15</f>
        <v>0</v>
      </c>
      <c r="DC8" s="124">
        <f>Sales!DD15</f>
        <v>0</v>
      </c>
      <c r="DD8" s="124">
        <f>Sales!DE15</f>
        <v>0</v>
      </c>
      <c r="DE8" s="124">
        <f>Sales!DF15</f>
        <v>0</v>
      </c>
      <c r="DF8" s="124">
        <f>Sales!DG15</f>
        <v>0</v>
      </c>
      <c r="DG8" s="124">
        <f>Sales!DH15</f>
        <v>0</v>
      </c>
      <c r="DH8" s="124">
        <f>Sales!DI15</f>
        <v>0</v>
      </c>
      <c r="DI8" s="124">
        <f>Sales!DJ15</f>
        <v>0</v>
      </c>
      <c r="DJ8" s="124">
        <f>Sales!DK15</f>
        <v>0</v>
      </c>
      <c r="DK8" s="124">
        <f>Sales!DL15</f>
        <v>0</v>
      </c>
      <c r="DL8" s="124">
        <f>Sales!DM15</f>
        <v>0</v>
      </c>
      <c r="DM8" s="124">
        <f>Sales!DN15</f>
        <v>0</v>
      </c>
      <c r="DN8" s="124">
        <f>Sales!DO15</f>
        <v>0</v>
      </c>
      <c r="DO8" s="124">
        <f>Sales!DP15</f>
        <v>0</v>
      </c>
      <c r="DP8" s="124">
        <f>Sales!DQ15</f>
        <v>0</v>
      </c>
      <c r="DQ8" s="124">
        <f>Sales!DR15</f>
        <v>0</v>
      </c>
      <c r="DR8" s="124">
        <f>Sales!DS15</f>
        <v>0</v>
      </c>
      <c r="DS8" s="124">
        <f>Sales!DT15</f>
        <v>0</v>
      </c>
      <c r="DT8" s="124">
        <f>Sales!DU15</f>
        <v>0</v>
      </c>
      <c r="DU8" s="124">
        <f>Sales!DV15</f>
        <v>0</v>
      </c>
      <c r="DV8" s="124">
        <f>Sales!DW15</f>
        <v>0</v>
      </c>
      <c r="DW8" s="124">
        <f>Sales!DX15</f>
        <v>0</v>
      </c>
      <c r="DX8" s="124">
        <f>Sales!DY15</f>
        <v>0</v>
      </c>
      <c r="DY8" s="124">
        <f>Sales!DZ15</f>
        <v>0</v>
      </c>
      <c r="DZ8" s="124">
        <f>Sales!EA15</f>
        <v>0</v>
      </c>
      <c r="EA8" s="124">
        <f>Sales!EB15</f>
        <v>0</v>
      </c>
      <c r="EB8" s="124">
        <f>Sales!EC15</f>
        <v>0</v>
      </c>
      <c r="EC8" s="124">
        <f>Sales!ED15</f>
        <v>0</v>
      </c>
      <c r="ED8" s="124">
        <f>Sales!EE15</f>
        <v>0</v>
      </c>
      <c r="EE8" s="124">
        <f>Sales!EF15</f>
        <v>0</v>
      </c>
      <c r="EF8" s="124">
        <f>Sales!EG15</f>
        <v>0</v>
      </c>
      <c r="EG8" s="124">
        <f>Sales!EH15</f>
        <v>0</v>
      </c>
      <c r="EH8" s="124">
        <f>Sales!EI15</f>
        <v>0</v>
      </c>
      <c r="EI8" s="124">
        <f>Sales!EJ15</f>
        <v>0</v>
      </c>
      <c r="EJ8" s="124">
        <f>Sales!EK15</f>
        <v>0</v>
      </c>
      <c r="EK8" s="124">
        <f>Sales!EL15</f>
        <v>0</v>
      </c>
      <c r="EL8" s="124">
        <f>Sales!EM15</f>
        <v>0</v>
      </c>
      <c r="EM8" s="124">
        <f>Sales!EN15</f>
        <v>0</v>
      </c>
      <c r="EN8" s="124">
        <f>Sales!EO15</f>
        <v>0</v>
      </c>
      <c r="EO8" s="124">
        <f>Sales!EP15</f>
        <v>0</v>
      </c>
      <c r="EP8" s="124">
        <f>Sales!EQ15</f>
        <v>0</v>
      </c>
      <c r="EQ8" s="124">
        <f>Sales!ER15</f>
        <v>0</v>
      </c>
      <c r="ER8" s="124">
        <f>Sales!ES15</f>
        <v>0</v>
      </c>
      <c r="ES8" s="124">
        <f>Sales!ET15</f>
        <v>0</v>
      </c>
      <c r="ET8" s="124">
        <f>Sales!EU15</f>
        <v>0</v>
      </c>
      <c r="EU8" s="124">
        <f>Sales!EV15</f>
        <v>0</v>
      </c>
      <c r="EV8" s="124">
        <f>Sales!EW15</f>
        <v>0</v>
      </c>
      <c r="EW8" s="124">
        <f>Sales!EX15</f>
        <v>0</v>
      </c>
      <c r="EX8" s="124">
        <f>Sales!EY15</f>
        <v>0</v>
      </c>
      <c r="EY8" s="124">
        <f>Sales!EZ15</f>
        <v>0</v>
      </c>
      <c r="EZ8" s="124">
        <f>Sales!FA15</f>
        <v>0</v>
      </c>
      <c r="FA8" s="124">
        <f>Sales!FB15</f>
        <v>0</v>
      </c>
      <c r="FB8" s="124">
        <f>Sales!FC15</f>
        <v>0</v>
      </c>
      <c r="FC8" s="124">
        <f>Sales!FD15</f>
        <v>0</v>
      </c>
      <c r="FD8" s="124">
        <f>Sales!FE15</f>
        <v>0</v>
      </c>
      <c r="FE8" s="124">
        <f>Sales!FF15</f>
        <v>0</v>
      </c>
      <c r="FF8" s="124">
        <f>Sales!FG15</f>
        <v>0</v>
      </c>
      <c r="FG8" s="124">
        <f>Sales!FH15</f>
        <v>0</v>
      </c>
      <c r="FH8" s="124">
        <f>Sales!FI15</f>
        <v>0</v>
      </c>
      <c r="FI8" s="124">
        <f>Sales!FJ15</f>
        <v>0</v>
      </c>
      <c r="FJ8" s="124">
        <f>Sales!FK15</f>
        <v>0</v>
      </c>
      <c r="FK8" s="124">
        <f>Sales!FL15</f>
        <v>0</v>
      </c>
      <c r="FL8" s="124">
        <f>Sales!FM15</f>
        <v>0</v>
      </c>
      <c r="FM8" s="124">
        <f>Sales!FN15</f>
        <v>0</v>
      </c>
      <c r="FN8" s="124">
        <f>Sales!FO15</f>
        <v>0</v>
      </c>
      <c r="FO8" s="124">
        <f>Sales!FP15</f>
        <v>0</v>
      </c>
      <c r="FP8" s="124">
        <f>Sales!FQ15</f>
        <v>0</v>
      </c>
      <c r="FQ8" s="124">
        <f>Sales!FR15</f>
        <v>0</v>
      </c>
      <c r="FR8" s="124">
        <f>Sales!FS15</f>
        <v>0</v>
      </c>
      <c r="FS8" s="124">
        <f>Sales!FT15</f>
        <v>0</v>
      </c>
      <c r="FT8" s="124">
        <f>Sales!FU15</f>
        <v>0</v>
      </c>
      <c r="FU8" s="124">
        <f>Sales!FV15</f>
        <v>0</v>
      </c>
      <c r="FV8" s="124">
        <f>Sales!FW15</f>
        <v>0</v>
      </c>
      <c r="FW8" s="124">
        <f>Sales!FX15</f>
        <v>0</v>
      </c>
      <c r="FX8" s="124">
        <f>Sales!FY15</f>
        <v>0</v>
      </c>
      <c r="FY8" s="124">
        <f>Sales!FZ15</f>
        <v>0</v>
      </c>
      <c r="FZ8" s="124">
        <f>Sales!GA15</f>
        <v>0</v>
      </c>
      <c r="GA8" s="124">
        <f>Sales!GB15</f>
        <v>0</v>
      </c>
      <c r="GB8" s="124">
        <f>Sales!GC15</f>
        <v>0</v>
      </c>
      <c r="GC8" s="124">
        <f>Sales!FU36</f>
        <v>0</v>
      </c>
      <c r="GD8" s="124">
        <f>Sales!FV36</f>
        <v>0</v>
      </c>
      <c r="GE8" s="124">
        <f>Sales!FW36</f>
        <v>0</v>
      </c>
      <c r="GF8" s="124">
        <f>Sales!FX36</f>
        <v>0</v>
      </c>
      <c r="GG8" s="124">
        <f>Sales!FY36</f>
        <v>0</v>
      </c>
      <c r="GH8" s="124">
        <f>Sales!FZ36</f>
        <v>0</v>
      </c>
      <c r="GI8" s="124">
        <f>Sales!GA36</f>
        <v>0</v>
      </c>
      <c r="GJ8" s="124">
        <f>Sales!GB36</f>
        <v>0</v>
      </c>
      <c r="GK8" s="124">
        <f>Sales!GC36</f>
        <v>0</v>
      </c>
      <c r="GL8" s="124">
        <f>Sales!GD36</f>
        <v>0</v>
      </c>
      <c r="GM8" s="124">
        <f>Sales!GE36</f>
        <v>0</v>
      </c>
      <c r="GN8" s="124">
        <f>Sales!GF36</f>
        <v>0</v>
      </c>
      <c r="GO8" s="124">
        <f>Sales!GG36</f>
        <v>0</v>
      </c>
      <c r="GP8" s="124">
        <f>Sales!GH36</f>
        <v>0</v>
      </c>
      <c r="GQ8" s="124">
        <f>Sales!GI36</f>
        <v>0</v>
      </c>
      <c r="GR8" s="124">
        <f>Sales!GJ36</f>
        <v>0</v>
      </c>
      <c r="GS8" s="124">
        <f>Sales!GK36</f>
        <v>0</v>
      </c>
      <c r="GT8" s="124">
        <f>Sales!GL36</f>
        <v>0</v>
      </c>
      <c r="GU8" s="124">
        <f>Sales!GM36</f>
        <v>0</v>
      </c>
      <c r="GV8" s="124">
        <f>Sales!GN36</f>
        <v>0</v>
      </c>
      <c r="GW8" s="124">
        <f>Sales!GO36</f>
        <v>0</v>
      </c>
      <c r="GX8" s="124">
        <f>Sales!GP36</f>
        <v>0</v>
      </c>
      <c r="GY8" s="124">
        <f>Sales!GQ36</f>
        <v>0</v>
      </c>
      <c r="GZ8" s="124">
        <f>Sales!GR36</f>
        <v>0</v>
      </c>
      <c r="HA8" s="124">
        <f>Sales!GS36</f>
        <v>0</v>
      </c>
      <c r="HB8" s="124">
        <f>Sales!GT36</f>
        <v>0</v>
      </c>
      <c r="HC8" s="124">
        <f>Sales!GU36</f>
        <v>0</v>
      </c>
      <c r="HD8" s="124">
        <f>Sales!GV36</f>
        <v>0</v>
      </c>
      <c r="HE8" s="124">
        <f>Sales!GW36</f>
        <v>0</v>
      </c>
      <c r="HF8" s="124">
        <f>Sales!GX36</f>
        <v>0</v>
      </c>
      <c r="HG8" s="124">
        <f>Sales!GY36</f>
        <v>0</v>
      </c>
      <c r="HH8" s="124">
        <f>Sales!GZ36</f>
        <v>0</v>
      </c>
      <c r="HI8" s="124">
        <f>Sales!HA36</f>
        <v>0</v>
      </c>
      <c r="HJ8" s="124">
        <f>Sales!HB36</f>
        <v>0</v>
      </c>
      <c r="HK8" s="124">
        <f>Sales!HC36</f>
        <v>0</v>
      </c>
      <c r="HL8" s="124">
        <f>Sales!HD36</f>
        <v>0</v>
      </c>
      <c r="HM8" s="124">
        <f>Sales!HE36</f>
        <v>0</v>
      </c>
      <c r="HN8" s="124">
        <f>Sales!HF36</f>
        <v>0</v>
      </c>
      <c r="HO8" s="124">
        <f>Sales!HG36</f>
        <v>0</v>
      </c>
      <c r="HP8" s="124">
        <f>Sales!HH36</f>
        <v>0</v>
      </c>
      <c r="HQ8" s="124">
        <f>Sales!HI36</f>
        <v>0</v>
      </c>
      <c r="HR8" s="124">
        <f>Sales!HJ36</f>
        <v>0</v>
      </c>
      <c r="HS8" s="124">
        <f>Sales!HK36</f>
        <v>0</v>
      </c>
      <c r="HT8" s="124">
        <f>Sales!HL36</f>
        <v>0</v>
      </c>
      <c r="HU8" s="124">
        <f>Sales!HM36</f>
        <v>0</v>
      </c>
      <c r="HV8" s="124">
        <f>Sales!HN36</f>
        <v>0</v>
      </c>
      <c r="HW8" s="124">
        <f>Sales!HO36</f>
        <v>0</v>
      </c>
      <c r="HX8" s="124">
        <f>Sales!HP36</f>
        <v>0</v>
      </c>
      <c r="HY8" s="124">
        <f>Sales!HQ36</f>
        <v>0</v>
      </c>
      <c r="HZ8" s="124">
        <f>Sales!HR36</f>
        <v>0</v>
      </c>
      <c r="IA8" s="124">
        <f>Sales!HS36</f>
        <v>0</v>
      </c>
      <c r="IB8" s="124">
        <f>Sales!HT36</f>
        <v>0</v>
      </c>
      <c r="IC8" s="124">
        <f>Sales!HU36</f>
        <v>0</v>
      </c>
      <c r="ID8" s="124">
        <f>Sales!HV36</f>
        <v>0</v>
      </c>
      <c r="IE8" s="124">
        <f>Sales!HW36</f>
        <v>0</v>
      </c>
      <c r="IF8" s="124">
        <f>Sales!HX36</f>
        <v>0</v>
      </c>
      <c r="IG8" s="124">
        <f>Sales!HY36</f>
        <v>0</v>
      </c>
      <c r="IH8" s="124">
        <f>Sales!HZ36</f>
        <v>0</v>
      </c>
      <c r="II8" s="124">
        <f>Sales!IA36</f>
        <v>0</v>
      </c>
      <c r="IJ8" s="124">
        <f>Sales!IB36</f>
        <v>0</v>
      </c>
      <c r="IK8" s="124">
        <f>Sales!IC36</f>
        <v>0</v>
      </c>
      <c r="IL8" s="124">
        <f>Sales!ID36</f>
        <v>0</v>
      </c>
      <c r="IM8" s="124">
        <f>Sales!IE36</f>
        <v>0</v>
      </c>
      <c r="IN8" s="124">
        <f>Sales!IF36</f>
        <v>0</v>
      </c>
      <c r="IO8" s="124">
        <f>Sales!IG36</f>
        <v>0</v>
      </c>
      <c r="IP8" s="124">
        <f>Sales!IH36</f>
        <v>0</v>
      </c>
      <c r="IQ8" s="124">
        <f>Sales!II36</f>
        <v>0</v>
      </c>
      <c r="IR8" s="124">
        <f>Sales!IJ36</f>
        <v>0</v>
      </c>
      <c r="IS8" s="124">
        <f>Sales!IK36</f>
        <v>0</v>
      </c>
      <c r="IT8" s="124">
        <f>Sales!IL36</f>
        <v>0</v>
      </c>
      <c r="IU8" s="124">
        <f>Sales!IM36</f>
        <v>0</v>
      </c>
      <c r="IV8" s="124">
        <f>Sales!IN36</f>
        <v>0</v>
      </c>
      <c r="IW8" s="124">
        <f>Sales!IO36</f>
        <v>0</v>
      </c>
      <c r="IX8" s="124">
        <f>Sales!IP36</f>
        <v>0</v>
      </c>
      <c r="IY8" s="124">
        <f>Sales!IQ36</f>
        <v>0</v>
      </c>
      <c r="IZ8" s="124">
        <f>Sales!IR36</f>
        <v>0</v>
      </c>
      <c r="JA8" s="124">
        <f>Sales!IS36</f>
        <v>0</v>
      </c>
      <c r="JB8" s="124">
        <f>Sales!IT36</f>
        <v>0</v>
      </c>
      <c r="JC8" s="124">
        <f>Sales!IU36</f>
        <v>0</v>
      </c>
      <c r="JD8" s="124">
        <f>Sales!IV36</f>
        <v>0</v>
      </c>
      <c r="JE8" s="124">
        <f>Sales!IW36</f>
        <v>0</v>
      </c>
      <c r="JF8" s="124">
        <f>Sales!IX36</f>
        <v>0</v>
      </c>
      <c r="JG8" s="124">
        <f>Sales!IY36</f>
        <v>0</v>
      </c>
      <c r="JH8" s="124">
        <f>Sales!IZ36</f>
        <v>0</v>
      </c>
      <c r="JI8" s="124">
        <f>Sales!JA36</f>
        <v>0</v>
      </c>
      <c r="JJ8" s="124">
        <f>Sales!JB36</f>
        <v>0</v>
      </c>
      <c r="JK8" s="124">
        <f>Sales!JC36</f>
        <v>0</v>
      </c>
      <c r="JL8" s="124">
        <f>Sales!JD36</f>
        <v>0</v>
      </c>
      <c r="JM8" s="124">
        <f>Sales!JE36</f>
        <v>0</v>
      </c>
      <c r="JN8" s="124">
        <f>Sales!JF36</f>
        <v>0</v>
      </c>
      <c r="JO8" s="124">
        <f>Sales!JG36</f>
        <v>0</v>
      </c>
      <c r="JP8" s="124">
        <f>Sales!JH36</f>
        <v>0</v>
      </c>
      <c r="JQ8" s="124">
        <f>Sales!JI36</f>
        <v>0</v>
      </c>
      <c r="JR8" s="124">
        <f>Sales!JJ36</f>
        <v>0</v>
      </c>
      <c r="JS8" s="124">
        <f>Sales!JK36</f>
        <v>0</v>
      </c>
      <c r="JT8" s="124">
        <f>Sales!JL36</f>
        <v>0</v>
      </c>
      <c r="JU8" s="124">
        <f>Sales!JM36</f>
        <v>0</v>
      </c>
      <c r="JV8" s="124">
        <f>Sales!JN36</f>
        <v>0</v>
      </c>
      <c r="JW8" s="124">
        <f>Sales!JO36</f>
        <v>0</v>
      </c>
      <c r="JX8" s="124">
        <f>Sales!JP36</f>
        <v>0</v>
      </c>
      <c r="JY8" s="124">
        <f>Sales!JQ36</f>
        <v>0</v>
      </c>
      <c r="JZ8" s="124">
        <f>Sales!JR36</f>
        <v>0</v>
      </c>
      <c r="KA8" s="124">
        <f>Sales!JS36</f>
        <v>0</v>
      </c>
      <c r="KB8" s="124">
        <f>Sales!JT36</f>
        <v>0</v>
      </c>
      <c r="KC8" s="124">
        <f>Sales!JU36</f>
        <v>0</v>
      </c>
      <c r="KD8" s="124">
        <f>Sales!JV36</f>
        <v>0</v>
      </c>
      <c r="KE8" s="124">
        <f>Sales!JW36</f>
        <v>0</v>
      </c>
      <c r="KF8" s="124">
        <f>Sales!JX36</f>
        <v>0</v>
      </c>
      <c r="KG8" s="124">
        <f>Sales!JY36</f>
        <v>0</v>
      </c>
      <c r="KH8" s="124">
        <f>Sales!JZ36</f>
        <v>0</v>
      </c>
      <c r="KI8" s="124">
        <f>Sales!KA36</f>
        <v>0</v>
      </c>
      <c r="KJ8" s="124">
        <f>Sales!KB36</f>
        <v>0</v>
      </c>
      <c r="KK8" s="124">
        <f>Sales!KC36</f>
        <v>0</v>
      </c>
      <c r="KL8" s="124">
        <f>Sales!KD36</f>
        <v>0</v>
      </c>
      <c r="KM8" s="124">
        <f>Sales!KE36</f>
        <v>0</v>
      </c>
      <c r="KN8" s="124">
        <f>Sales!KF36</f>
        <v>0</v>
      </c>
      <c r="KO8" s="124">
        <f>Sales!KG36</f>
        <v>0</v>
      </c>
      <c r="KP8" s="124">
        <f>Sales!KH36</f>
        <v>0</v>
      </c>
      <c r="KQ8" s="124">
        <f>Sales!KI36</f>
        <v>0</v>
      </c>
    </row>
    <row r="9" spans="2:303" x14ac:dyDescent="0.35">
      <c r="B9" s="125" t="s">
        <v>106</v>
      </c>
      <c r="C9" s="121">
        <f t="shared" si="20"/>
        <v>5833314060.8999968</v>
      </c>
      <c r="D9" s="122">
        <f>SUM(D10:D10)</f>
        <v>233332562.43599999</v>
      </c>
      <c r="E9" s="122">
        <f t="shared" ref="E9" si="26">SUM(E10:E10)</f>
        <v>233332562.43599999</v>
      </c>
      <c r="F9" s="122">
        <f t="shared" ref="F9" si="27">SUM(F10:F10)</f>
        <v>233332562.43599999</v>
      </c>
      <c r="G9" s="122">
        <f t="shared" ref="G9" si="28">SUM(G10:G10)</f>
        <v>291665703.04500002</v>
      </c>
      <c r="H9" s="122">
        <f t="shared" ref="H9" si="29">SUM(H10:H10)</f>
        <v>291665703.04500002</v>
      </c>
      <c r="I9" s="122">
        <f t="shared" ref="I9" si="30">SUM(I10:I10)</f>
        <v>291665703.04500002</v>
      </c>
      <c r="J9" s="122">
        <f t="shared" ref="J9" si="31">SUM(J10:J10)</f>
        <v>291665703.04500002</v>
      </c>
      <c r="K9" s="122">
        <f t="shared" ref="K9" si="32">SUM(K10:K10)</f>
        <v>349998843.65399998</v>
      </c>
      <c r="L9" s="122">
        <f t="shared" ref="L9" si="33">SUM(L10:L10)</f>
        <v>349998843.65399998</v>
      </c>
      <c r="M9" s="122">
        <f t="shared" ref="M9" si="34">SUM(M10:M10)</f>
        <v>349998843.65399998</v>
      </c>
      <c r="N9" s="122">
        <f t="shared" ref="N9" si="35">SUM(N10:N10)</f>
        <v>349998843.65399998</v>
      </c>
      <c r="O9" s="122">
        <f t="shared" ref="O9" si="36">SUM(O10:O10)</f>
        <v>349998843.65399998</v>
      </c>
      <c r="P9" s="122">
        <f t="shared" ref="P9" si="37">SUM(P10:P10)</f>
        <v>349998843.65399998</v>
      </c>
      <c r="Q9" s="122">
        <f t="shared" ref="Q9" si="38">SUM(Q10:Q10)</f>
        <v>349998843.65399998</v>
      </c>
      <c r="R9" s="122">
        <f t="shared" ref="R9" si="39">SUM(R10:R10)</f>
        <v>303332331.1667999</v>
      </c>
      <c r="S9" s="122">
        <f t="shared" ref="S9" si="40">SUM(S10:S10)</f>
        <v>303332331.1667999</v>
      </c>
      <c r="T9" s="122">
        <f t="shared" ref="T9" si="41">SUM(T10:T10)</f>
        <v>303332331.1667999</v>
      </c>
      <c r="U9" s="122">
        <f t="shared" ref="U9" si="42">SUM(U10:U10)</f>
        <v>303332331.1667999</v>
      </c>
      <c r="V9" s="122">
        <f t="shared" ref="V9" si="43">SUM(V10:V10)</f>
        <v>303332331.1667999</v>
      </c>
      <c r="W9" s="122">
        <f t="shared" ref="W9" si="44">SUM(W10:W10)</f>
        <v>0</v>
      </c>
      <c r="X9" s="122">
        <f t="shared" ref="X9" si="45">SUM(X10:X10)</f>
        <v>0</v>
      </c>
      <c r="Y9" s="122">
        <f t="shared" ref="Y9" si="46">SUM(Y10:Y10)</f>
        <v>0</v>
      </c>
      <c r="Z9" s="122">
        <f t="shared" ref="Z9" si="47">SUM(Z10:Z10)</f>
        <v>0</v>
      </c>
      <c r="AA9" s="122">
        <f t="shared" ref="AA9" si="48">SUM(AA10:AA10)</f>
        <v>0</v>
      </c>
      <c r="AB9" s="122">
        <f t="shared" ref="AB9" si="49">SUM(AB10:AB10)</f>
        <v>0</v>
      </c>
      <c r="AC9" s="122">
        <f t="shared" ref="AC9" si="50">SUM(AC10:AC10)</f>
        <v>0</v>
      </c>
      <c r="AD9" s="122">
        <f t="shared" ref="AD9" si="51">SUM(AD10:AD10)</f>
        <v>0</v>
      </c>
      <c r="AE9" s="122">
        <f t="shared" ref="AE9" si="52">SUM(AE10:AE10)</f>
        <v>0</v>
      </c>
      <c r="AF9" s="122">
        <f t="shared" ref="AF9" si="53">SUM(AF10:AF10)</f>
        <v>0</v>
      </c>
      <c r="AG9" s="122">
        <f t="shared" ref="AG9" si="54">SUM(AG10:AG10)</f>
        <v>0</v>
      </c>
      <c r="AH9" s="122">
        <f t="shared" ref="AH9" si="55">SUM(AH10:AH10)</f>
        <v>0</v>
      </c>
      <c r="AI9" s="122">
        <f t="shared" ref="AI9" si="56">SUM(AI10:AI10)</f>
        <v>0</v>
      </c>
      <c r="AJ9" s="122">
        <f t="shared" ref="AJ9" si="57">SUM(AJ10:AJ10)</f>
        <v>0</v>
      </c>
      <c r="AK9" s="122">
        <f t="shared" ref="AK9" si="58">SUM(AK10:AK10)</f>
        <v>0</v>
      </c>
      <c r="AL9" s="122">
        <f t="shared" ref="AL9" si="59">SUM(AL10:AL10)</f>
        <v>0</v>
      </c>
      <c r="AM9" s="122">
        <f t="shared" ref="AM9" si="60">SUM(AM10:AM10)</f>
        <v>0</v>
      </c>
      <c r="AN9" s="122">
        <f t="shared" ref="AN9" si="61">SUM(AN10:AN10)</f>
        <v>0</v>
      </c>
      <c r="AO9" s="122">
        <f t="shared" ref="AO9" si="62">SUM(AO10:AO10)</f>
        <v>0</v>
      </c>
      <c r="AP9" s="122">
        <f t="shared" ref="AP9" si="63">SUM(AP10:AP10)</f>
        <v>0</v>
      </c>
      <c r="AQ9" s="122">
        <f t="shared" ref="AQ9" si="64">SUM(AQ10:AQ10)</f>
        <v>0</v>
      </c>
      <c r="AR9" s="122">
        <f t="shared" ref="AR9" si="65">SUM(AR10:AR10)</f>
        <v>0</v>
      </c>
      <c r="AS9" s="122">
        <f t="shared" ref="AS9" si="66">SUM(AS10:AS10)</f>
        <v>0</v>
      </c>
      <c r="AT9" s="122">
        <f t="shared" ref="AT9" si="67">SUM(AT10:AT10)</f>
        <v>0</v>
      </c>
      <c r="AU9" s="122">
        <f t="shared" ref="AU9" si="68">SUM(AU10:AU10)</f>
        <v>0</v>
      </c>
      <c r="AV9" s="122">
        <f t="shared" ref="AV9" si="69">SUM(AV10:AV10)</f>
        <v>0</v>
      </c>
      <c r="AW9" s="122">
        <f t="shared" ref="AW9" si="70">SUM(AW10:AW10)</f>
        <v>0</v>
      </c>
      <c r="AX9" s="122">
        <f t="shared" ref="AX9" si="71">SUM(AX10:AX10)</f>
        <v>0</v>
      </c>
      <c r="AY9" s="122">
        <f t="shared" ref="AY9" si="72">SUM(AY10:AY10)</f>
        <v>0</v>
      </c>
      <c r="AZ9" s="122">
        <f t="shared" ref="AZ9" si="73">SUM(AZ10:AZ10)</f>
        <v>0</v>
      </c>
      <c r="BA9" s="122">
        <f t="shared" ref="BA9" si="74">SUM(BA10:BA10)</f>
        <v>0</v>
      </c>
      <c r="BB9" s="122">
        <f t="shared" ref="BB9" si="75">SUM(BB10:BB10)</f>
        <v>0</v>
      </c>
      <c r="BC9" s="122">
        <f t="shared" ref="BC9" si="76">SUM(BC10:BC10)</f>
        <v>0</v>
      </c>
      <c r="BD9" s="122">
        <f t="shared" ref="BD9" si="77">SUM(BD10:BD10)</f>
        <v>0</v>
      </c>
      <c r="BE9" s="122">
        <f t="shared" ref="BE9" si="78">SUM(BE10:BE10)</f>
        <v>0</v>
      </c>
      <c r="BF9" s="122">
        <f t="shared" ref="BF9" si="79">SUM(BF10:BF10)</f>
        <v>0</v>
      </c>
      <c r="BG9" s="122">
        <f t="shared" ref="BG9" si="80">SUM(BG10:BG10)</f>
        <v>0</v>
      </c>
      <c r="BH9" s="122">
        <f t="shared" ref="BH9" si="81">SUM(BH10:BH10)</f>
        <v>0</v>
      </c>
      <c r="BI9" s="122">
        <f t="shared" ref="BI9" si="82">SUM(BI10:BI10)</f>
        <v>0</v>
      </c>
      <c r="BJ9" s="122">
        <f t="shared" ref="BJ9" si="83">SUM(BJ10:BJ10)</f>
        <v>0</v>
      </c>
      <c r="BK9" s="122">
        <f t="shared" ref="BK9" si="84">SUM(BK10:BK10)</f>
        <v>0</v>
      </c>
      <c r="BL9" s="122">
        <f t="shared" ref="BL9" si="85">SUM(BL10:BL10)</f>
        <v>0</v>
      </c>
      <c r="BM9" s="122">
        <f t="shared" ref="BM9" si="86">SUM(BM10:BM10)</f>
        <v>0</v>
      </c>
      <c r="BN9" s="122">
        <f t="shared" ref="BN9" si="87">SUM(BN10:BN10)</f>
        <v>0</v>
      </c>
      <c r="BO9" s="122">
        <f t="shared" ref="BO9" si="88">SUM(BO10:BO10)</f>
        <v>0</v>
      </c>
      <c r="BP9" s="122">
        <f t="shared" ref="BP9" si="89">SUM(BP10:BP10)</f>
        <v>0</v>
      </c>
      <c r="BQ9" s="122">
        <f t="shared" ref="BQ9" si="90">SUM(BQ10:BQ10)</f>
        <v>0</v>
      </c>
      <c r="BR9" s="122">
        <f t="shared" ref="BR9" si="91">SUM(BR10:BR10)</f>
        <v>0</v>
      </c>
      <c r="BS9" s="122">
        <f t="shared" ref="BS9" si="92">SUM(BS10:BS10)</f>
        <v>0</v>
      </c>
      <c r="BT9" s="122">
        <f t="shared" ref="BT9" si="93">SUM(BT10:BT10)</f>
        <v>0</v>
      </c>
      <c r="BU9" s="122">
        <f t="shared" ref="BU9" si="94">SUM(BU10:BU10)</f>
        <v>0</v>
      </c>
      <c r="BV9" s="122">
        <f t="shared" ref="BV9" si="95">SUM(BV10:BV10)</f>
        <v>0</v>
      </c>
      <c r="BW9" s="122">
        <f t="shared" ref="BW9" si="96">SUM(BW10:BW10)</f>
        <v>0</v>
      </c>
      <c r="BX9" s="122">
        <f t="shared" ref="BX9" si="97">SUM(BX10:BX10)</f>
        <v>0</v>
      </c>
      <c r="BY9" s="122">
        <f t="shared" ref="BY9" si="98">SUM(BY10:BY10)</f>
        <v>0</v>
      </c>
      <c r="BZ9" s="122">
        <f t="shared" ref="BZ9" si="99">SUM(BZ10:BZ10)</f>
        <v>0</v>
      </c>
      <c r="CA9" s="122">
        <f t="shared" ref="CA9" si="100">SUM(CA10:CA10)</f>
        <v>0</v>
      </c>
      <c r="CB9" s="122">
        <f t="shared" ref="CB9" si="101">SUM(CB10:CB10)</f>
        <v>0</v>
      </c>
      <c r="CC9" s="122">
        <f t="shared" ref="CC9" si="102">SUM(CC10:CC10)</f>
        <v>0</v>
      </c>
      <c r="CD9" s="122">
        <f t="shared" ref="CD9" si="103">SUM(CD10:CD10)</f>
        <v>0</v>
      </c>
      <c r="CE9" s="122">
        <f t="shared" ref="CE9" si="104">SUM(CE10:CE10)</f>
        <v>0</v>
      </c>
      <c r="CF9" s="122">
        <f t="shared" ref="CF9" si="105">SUM(CF10:CF10)</f>
        <v>0</v>
      </c>
      <c r="CG9" s="122">
        <f t="shared" ref="CG9" si="106">SUM(CG10:CG10)</f>
        <v>0</v>
      </c>
      <c r="CH9" s="122">
        <f t="shared" ref="CH9" si="107">SUM(CH10:CH10)</f>
        <v>0</v>
      </c>
      <c r="CI9" s="122">
        <f t="shared" ref="CI9" si="108">SUM(CI10:CI10)</f>
        <v>0</v>
      </c>
      <c r="CJ9" s="122">
        <f t="shared" ref="CJ9" si="109">SUM(CJ10:CJ10)</f>
        <v>0</v>
      </c>
      <c r="CK9" s="122">
        <f t="shared" ref="CK9" si="110">SUM(CK10:CK10)</f>
        <v>0</v>
      </c>
      <c r="CL9" s="122">
        <f t="shared" ref="CL9" si="111">SUM(CL10:CL10)</f>
        <v>0</v>
      </c>
      <c r="CM9" s="122">
        <f t="shared" ref="CM9" si="112">SUM(CM10:CM10)</f>
        <v>0</v>
      </c>
      <c r="CN9" s="122">
        <f t="shared" ref="CN9" si="113">SUM(CN10:CN10)</f>
        <v>0</v>
      </c>
      <c r="CO9" s="122">
        <f t="shared" ref="CO9" si="114">SUM(CO10:CO10)</f>
        <v>0</v>
      </c>
      <c r="CP9" s="122">
        <f t="shared" ref="CP9" si="115">SUM(CP10:CP10)</f>
        <v>0</v>
      </c>
      <c r="CQ9" s="122">
        <f t="shared" ref="CQ9" si="116">SUM(CQ10:CQ10)</f>
        <v>0</v>
      </c>
      <c r="CR9" s="122">
        <f t="shared" ref="CR9" si="117">SUM(CR10:CR10)</f>
        <v>0</v>
      </c>
      <c r="CS9" s="122">
        <f t="shared" ref="CS9" si="118">SUM(CS10:CS10)</f>
        <v>0</v>
      </c>
      <c r="CT9" s="122">
        <f t="shared" ref="CT9" si="119">SUM(CT10:CT10)</f>
        <v>0</v>
      </c>
      <c r="CU9" s="122">
        <f t="shared" ref="CU9" si="120">SUM(CU10:CU10)</f>
        <v>0</v>
      </c>
      <c r="CV9" s="122">
        <f t="shared" ref="CV9" si="121">SUM(CV10:CV10)</f>
        <v>0</v>
      </c>
      <c r="CW9" s="122">
        <f t="shared" ref="CW9" si="122">SUM(CW10:CW10)</f>
        <v>0</v>
      </c>
      <c r="CX9" s="122">
        <f t="shared" ref="CX9" si="123">SUM(CX10:CX10)</f>
        <v>0</v>
      </c>
      <c r="CY9" s="122">
        <f t="shared" ref="CY9" si="124">SUM(CY10:CY10)</f>
        <v>0</v>
      </c>
      <c r="CZ9" s="122">
        <f t="shared" ref="CZ9" si="125">SUM(CZ10:CZ10)</f>
        <v>0</v>
      </c>
      <c r="DA9" s="122">
        <f t="shared" ref="DA9" si="126">SUM(DA10:DA10)</f>
        <v>0</v>
      </c>
      <c r="DB9" s="122">
        <f t="shared" ref="DB9" si="127">SUM(DB10:DB10)</f>
        <v>0</v>
      </c>
      <c r="DC9" s="122">
        <f t="shared" ref="DC9" si="128">SUM(DC10:DC10)</f>
        <v>0</v>
      </c>
      <c r="DD9" s="122">
        <f t="shared" ref="DD9" si="129">SUM(DD10:DD10)</f>
        <v>0</v>
      </c>
      <c r="DE9" s="122">
        <f t="shared" ref="DE9" si="130">SUM(DE10:DE10)</f>
        <v>0</v>
      </c>
      <c r="DF9" s="122">
        <f t="shared" ref="DF9" si="131">SUM(DF10:DF10)</f>
        <v>0</v>
      </c>
      <c r="DG9" s="122">
        <f t="shared" ref="DG9" si="132">SUM(DG10:DG10)</f>
        <v>0</v>
      </c>
      <c r="DH9" s="122">
        <f t="shared" ref="DH9" si="133">SUM(DH10:DH10)</f>
        <v>0</v>
      </c>
      <c r="DI9" s="122">
        <f t="shared" ref="DI9" si="134">SUM(DI10:DI10)</f>
        <v>0</v>
      </c>
      <c r="DJ9" s="122">
        <f t="shared" ref="DJ9" si="135">SUM(DJ10:DJ10)</f>
        <v>0</v>
      </c>
      <c r="DK9" s="122">
        <f t="shared" ref="DK9" si="136">SUM(DK10:DK10)</f>
        <v>0</v>
      </c>
      <c r="DL9" s="122">
        <f t="shared" ref="DL9" si="137">SUM(DL10:DL10)</f>
        <v>0</v>
      </c>
      <c r="DM9" s="122">
        <f t="shared" ref="DM9" si="138">SUM(DM10:DM10)</f>
        <v>0</v>
      </c>
      <c r="DN9" s="122">
        <f t="shared" ref="DN9" si="139">SUM(DN10:DN10)</f>
        <v>0</v>
      </c>
      <c r="DO9" s="122">
        <f t="shared" ref="DO9" si="140">SUM(DO10:DO10)</f>
        <v>0</v>
      </c>
      <c r="DP9" s="122">
        <f t="shared" ref="DP9" si="141">SUM(DP10:DP10)</f>
        <v>0</v>
      </c>
      <c r="DQ9" s="122">
        <f t="shared" ref="DQ9" si="142">SUM(DQ10:DQ10)</f>
        <v>0</v>
      </c>
      <c r="DR9" s="122">
        <f t="shared" ref="DR9" si="143">SUM(DR10:DR10)</f>
        <v>0</v>
      </c>
      <c r="DS9" s="122">
        <f t="shared" ref="DS9" si="144">SUM(DS10:DS10)</f>
        <v>0</v>
      </c>
      <c r="DT9" s="122">
        <f t="shared" ref="DT9" si="145">SUM(DT10:DT10)</f>
        <v>0</v>
      </c>
      <c r="DU9" s="122">
        <f t="shared" ref="DU9" si="146">SUM(DU10:DU10)</f>
        <v>0</v>
      </c>
      <c r="DV9" s="122">
        <f t="shared" ref="DV9" si="147">SUM(DV10:DV10)</f>
        <v>0</v>
      </c>
      <c r="DW9" s="122">
        <f t="shared" ref="DW9" si="148">SUM(DW10:DW10)</f>
        <v>0</v>
      </c>
      <c r="DX9" s="122">
        <f t="shared" ref="DX9" si="149">SUM(DX10:DX10)</f>
        <v>0</v>
      </c>
      <c r="DY9" s="122">
        <f t="shared" ref="DY9" si="150">SUM(DY10:DY10)</f>
        <v>0</v>
      </c>
      <c r="DZ9" s="122">
        <f t="shared" ref="DZ9" si="151">SUM(DZ10:DZ10)</f>
        <v>0</v>
      </c>
      <c r="EA9" s="122">
        <f t="shared" ref="EA9" si="152">SUM(EA10:EA10)</f>
        <v>0</v>
      </c>
      <c r="EB9" s="122">
        <f t="shared" ref="EB9" si="153">SUM(EB10:EB10)</f>
        <v>0</v>
      </c>
      <c r="EC9" s="122">
        <f t="shared" ref="EC9" si="154">SUM(EC10:EC10)</f>
        <v>0</v>
      </c>
      <c r="ED9" s="122">
        <f t="shared" ref="ED9" si="155">SUM(ED10:ED10)</f>
        <v>0</v>
      </c>
      <c r="EE9" s="122">
        <f t="shared" ref="EE9" si="156">SUM(EE10:EE10)</f>
        <v>0</v>
      </c>
      <c r="EF9" s="122">
        <f t="shared" ref="EF9" si="157">SUM(EF10:EF10)</f>
        <v>0</v>
      </c>
      <c r="EG9" s="122">
        <f t="shared" ref="EG9" si="158">SUM(EG10:EG10)</f>
        <v>0</v>
      </c>
      <c r="EH9" s="122">
        <f t="shared" ref="EH9" si="159">SUM(EH10:EH10)</f>
        <v>0</v>
      </c>
      <c r="EI9" s="122">
        <f t="shared" ref="EI9" si="160">SUM(EI10:EI10)</f>
        <v>0</v>
      </c>
      <c r="EJ9" s="122">
        <f t="shared" ref="EJ9" si="161">SUM(EJ10:EJ10)</f>
        <v>0</v>
      </c>
      <c r="EK9" s="122">
        <f t="shared" ref="EK9" si="162">SUM(EK10:EK10)</f>
        <v>0</v>
      </c>
      <c r="EL9" s="122">
        <f t="shared" ref="EL9" si="163">SUM(EL10:EL10)</f>
        <v>0</v>
      </c>
      <c r="EM9" s="122">
        <f t="shared" ref="EM9" si="164">SUM(EM10:EM10)</f>
        <v>0</v>
      </c>
      <c r="EN9" s="122">
        <f t="shared" ref="EN9" si="165">SUM(EN10:EN10)</f>
        <v>0</v>
      </c>
      <c r="EO9" s="122">
        <f t="shared" ref="EO9" si="166">SUM(EO10:EO10)</f>
        <v>0</v>
      </c>
      <c r="EP9" s="122">
        <f t="shared" ref="EP9" si="167">SUM(EP10:EP10)</f>
        <v>0</v>
      </c>
      <c r="EQ9" s="122">
        <f t="shared" ref="EQ9" si="168">SUM(EQ10:EQ10)</f>
        <v>0</v>
      </c>
      <c r="ER9" s="122">
        <f t="shared" ref="ER9" si="169">SUM(ER10:ER10)</f>
        <v>0</v>
      </c>
      <c r="ES9" s="122">
        <f t="shared" ref="ES9" si="170">SUM(ES10:ES10)</f>
        <v>0</v>
      </c>
      <c r="ET9" s="122">
        <f t="shared" ref="ET9" si="171">SUM(ET10:ET10)</f>
        <v>0</v>
      </c>
      <c r="EU9" s="122">
        <f t="shared" ref="EU9" si="172">SUM(EU10:EU10)</f>
        <v>0</v>
      </c>
      <c r="EV9" s="122">
        <f t="shared" ref="EV9" si="173">SUM(EV10:EV10)</f>
        <v>0</v>
      </c>
      <c r="EW9" s="122">
        <f t="shared" ref="EW9" si="174">SUM(EW10:EW10)</f>
        <v>0</v>
      </c>
      <c r="EX9" s="122">
        <f t="shared" ref="EX9" si="175">SUM(EX10:EX10)</f>
        <v>0</v>
      </c>
      <c r="EY9" s="122">
        <f t="shared" ref="EY9" si="176">SUM(EY10:EY10)</f>
        <v>0</v>
      </c>
      <c r="EZ9" s="122">
        <f t="shared" ref="EZ9" si="177">SUM(EZ10:EZ10)</f>
        <v>0</v>
      </c>
      <c r="FA9" s="122">
        <f t="shared" ref="FA9" si="178">SUM(FA10:FA10)</f>
        <v>0</v>
      </c>
      <c r="FB9" s="122">
        <f t="shared" ref="FB9" si="179">SUM(FB10:FB10)</f>
        <v>0</v>
      </c>
      <c r="FC9" s="122">
        <f t="shared" ref="FC9" si="180">SUM(FC10:FC10)</f>
        <v>0</v>
      </c>
      <c r="FD9" s="122">
        <f t="shared" ref="FD9" si="181">SUM(FD10:FD10)</f>
        <v>0</v>
      </c>
      <c r="FE9" s="122">
        <f t="shared" ref="FE9" si="182">SUM(FE10:FE10)</f>
        <v>0</v>
      </c>
      <c r="FF9" s="122">
        <f t="shared" ref="FF9" si="183">SUM(FF10:FF10)</f>
        <v>0</v>
      </c>
      <c r="FG9" s="122">
        <f t="shared" ref="FG9" si="184">SUM(FG10:FG10)</f>
        <v>0</v>
      </c>
      <c r="FH9" s="122">
        <f t="shared" ref="FH9" si="185">SUM(FH10:FH10)</f>
        <v>0</v>
      </c>
      <c r="FI9" s="122">
        <f t="shared" ref="FI9" si="186">SUM(FI10:FI10)</f>
        <v>0</v>
      </c>
      <c r="FJ9" s="122">
        <f t="shared" ref="FJ9" si="187">SUM(FJ10:FJ10)</f>
        <v>0</v>
      </c>
      <c r="FK9" s="122">
        <f t="shared" ref="FK9" si="188">SUM(FK10:FK10)</f>
        <v>0</v>
      </c>
      <c r="FL9" s="122">
        <f t="shared" ref="FL9" si="189">SUM(FL10:FL10)</f>
        <v>0</v>
      </c>
      <c r="FM9" s="122">
        <f t="shared" ref="FM9" si="190">SUM(FM10:FM10)</f>
        <v>0</v>
      </c>
      <c r="FN9" s="122">
        <f t="shared" ref="FN9" si="191">SUM(FN10:FN10)</f>
        <v>0</v>
      </c>
      <c r="FO9" s="122">
        <f t="shared" ref="FO9" si="192">SUM(FO10:FO10)</f>
        <v>0</v>
      </c>
      <c r="FP9" s="122">
        <f t="shared" ref="FP9" si="193">SUM(FP10:FP10)</f>
        <v>0</v>
      </c>
      <c r="FQ9" s="122">
        <f t="shared" ref="FQ9" si="194">SUM(FQ10:FQ10)</f>
        <v>0</v>
      </c>
      <c r="FR9" s="122">
        <f t="shared" ref="FR9" si="195">SUM(FR10:FR10)</f>
        <v>0</v>
      </c>
      <c r="FS9" s="122">
        <f t="shared" ref="FS9" si="196">SUM(FS10:FS10)</f>
        <v>0</v>
      </c>
      <c r="FT9" s="122">
        <f t="shared" ref="FT9" si="197">SUM(FT10:FT10)</f>
        <v>0</v>
      </c>
      <c r="FU9" s="122">
        <f t="shared" ref="FU9" si="198">SUM(FU10:FU10)</f>
        <v>0</v>
      </c>
      <c r="FV9" s="122">
        <f t="shared" ref="FV9" si="199">SUM(FV10:FV10)</f>
        <v>0</v>
      </c>
      <c r="FW9" s="122">
        <f t="shared" ref="FW9" si="200">SUM(FW10:FW10)</f>
        <v>0</v>
      </c>
      <c r="FX9" s="122">
        <f t="shared" ref="FX9" si="201">SUM(FX10:FX10)</f>
        <v>0</v>
      </c>
      <c r="FY9" s="122">
        <f t="shared" ref="FY9" si="202">SUM(FY10:FY10)</f>
        <v>0</v>
      </c>
      <c r="FZ9" s="122">
        <f t="shared" ref="FZ9" si="203">SUM(FZ10:FZ10)</f>
        <v>0</v>
      </c>
      <c r="GA9" s="122">
        <f t="shared" ref="GA9" si="204">SUM(GA10:GA10)</f>
        <v>0</v>
      </c>
      <c r="GB9" s="122">
        <f t="shared" ref="GB9" si="205">SUM(GB10:GB10)</f>
        <v>0</v>
      </c>
      <c r="GC9" s="122">
        <f t="shared" ref="GC9" si="206">SUM(GC10:GC10)</f>
        <v>0</v>
      </c>
      <c r="GD9" s="122">
        <f t="shared" ref="GD9" si="207">SUM(GD10:GD10)</f>
        <v>0</v>
      </c>
      <c r="GE9" s="122">
        <f t="shared" ref="GE9" si="208">SUM(GE10:GE10)</f>
        <v>0</v>
      </c>
      <c r="GF9" s="122">
        <f t="shared" ref="GF9" si="209">SUM(GF10:GF10)</f>
        <v>0</v>
      </c>
      <c r="GG9" s="122">
        <f t="shared" ref="GG9" si="210">SUM(GG10:GG10)</f>
        <v>0</v>
      </c>
      <c r="GH9" s="122">
        <f t="shared" ref="GH9" si="211">SUM(GH10:GH10)</f>
        <v>0</v>
      </c>
      <c r="GI9" s="122">
        <f t="shared" ref="GI9" si="212">SUM(GI10:GI10)</f>
        <v>0</v>
      </c>
      <c r="GJ9" s="122">
        <f t="shared" ref="GJ9" si="213">SUM(GJ10:GJ10)</f>
        <v>0</v>
      </c>
      <c r="GK9" s="122">
        <f t="shared" ref="GK9" si="214">SUM(GK10:GK10)</f>
        <v>0</v>
      </c>
      <c r="GL9" s="122">
        <f t="shared" ref="GL9" si="215">SUM(GL10:GL10)</f>
        <v>0</v>
      </c>
      <c r="GM9" s="122">
        <f t="shared" ref="GM9" si="216">SUM(GM10:GM10)</f>
        <v>0</v>
      </c>
      <c r="GN9" s="122">
        <f t="shared" ref="GN9" si="217">SUM(GN10:GN10)</f>
        <v>0</v>
      </c>
      <c r="GO9" s="122">
        <f t="shared" ref="GO9" si="218">SUM(GO10:GO10)</f>
        <v>0</v>
      </c>
      <c r="GP9" s="122">
        <f t="shared" ref="GP9" si="219">SUM(GP10:GP10)</f>
        <v>0</v>
      </c>
      <c r="GQ9" s="122">
        <f t="shared" ref="GQ9" si="220">SUM(GQ10:GQ10)</f>
        <v>0</v>
      </c>
      <c r="GR9" s="122">
        <f t="shared" ref="GR9" si="221">SUM(GR10:GR10)</f>
        <v>0</v>
      </c>
      <c r="GS9" s="122">
        <f t="shared" ref="GS9" si="222">SUM(GS10:GS10)</f>
        <v>0</v>
      </c>
      <c r="GT9" s="122">
        <f t="shared" ref="GT9" si="223">SUM(GT10:GT10)</f>
        <v>0</v>
      </c>
      <c r="GU9" s="122">
        <f t="shared" ref="GU9" si="224">SUM(GU10:GU10)</f>
        <v>0</v>
      </c>
      <c r="GV9" s="122">
        <f t="shared" ref="GV9" si="225">SUM(GV10:GV10)</f>
        <v>0</v>
      </c>
      <c r="GW9" s="122">
        <f t="shared" ref="GW9" si="226">SUM(GW10:GW10)</f>
        <v>0</v>
      </c>
      <c r="GX9" s="122">
        <f t="shared" ref="GX9" si="227">SUM(GX10:GX10)</f>
        <v>0</v>
      </c>
      <c r="GY9" s="122">
        <f t="shared" ref="GY9" si="228">SUM(GY10:GY10)</f>
        <v>0</v>
      </c>
      <c r="GZ9" s="122">
        <f t="shared" ref="GZ9" si="229">SUM(GZ10:GZ10)</f>
        <v>0</v>
      </c>
      <c r="HA9" s="122">
        <f t="shared" ref="HA9" si="230">SUM(HA10:HA10)</f>
        <v>0</v>
      </c>
      <c r="HB9" s="122">
        <f t="shared" ref="HB9" si="231">SUM(HB10:HB10)</f>
        <v>0</v>
      </c>
      <c r="HC9" s="122">
        <f t="shared" ref="HC9" si="232">SUM(HC10:HC10)</f>
        <v>0</v>
      </c>
      <c r="HD9" s="122">
        <f t="shared" ref="HD9" si="233">SUM(HD10:HD10)</f>
        <v>0</v>
      </c>
      <c r="HE9" s="122">
        <f t="shared" ref="HE9" si="234">SUM(HE10:HE10)</f>
        <v>0</v>
      </c>
      <c r="HF9" s="122">
        <f t="shared" ref="HF9" si="235">SUM(HF10:HF10)</f>
        <v>0</v>
      </c>
      <c r="HG9" s="122">
        <f t="shared" ref="HG9" si="236">SUM(HG10:HG10)</f>
        <v>0</v>
      </c>
      <c r="HH9" s="122">
        <f t="shared" ref="HH9" si="237">SUM(HH10:HH10)</f>
        <v>0</v>
      </c>
      <c r="HI9" s="122">
        <f t="shared" ref="HI9" si="238">SUM(HI10:HI10)</f>
        <v>0</v>
      </c>
      <c r="HJ9" s="122">
        <f t="shared" ref="HJ9" si="239">SUM(HJ10:HJ10)</f>
        <v>0</v>
      </c>
      <c r="HK9" s="122">
        <f t="shared" ref="HK9" si="240">SUM(HK10:HK10)</f>
        <v>0</v>
      </c>
      <c r="HL9" s="122">
        <f t="shared" ref="HL9" si="241">SUM(HL10:HL10)</f>
        <v>0</v>
      </c>
      <c r="HM9" s="122">
        <f t="shared" ref="HM9" si="242">SUM(HM10:HM10)</f>
        <v>0</v>
      </c>
      <c r="HN9" s="122">
        <f t="shared" ref="HN9" si="243">SUM(HN10:HN10)</f>
        <v>0</v>
      </c>
      <c r="HO9" s="122">
        <f t="shared" ref="HO9" si="244">SUM(HO10:HO10)</f>
        <v>0</v>
      </c>
      <c r="HP9" s="122">
        <f t="shared" ref="HP9" si="245">SUM(HP10:HP10)</f>
        <v>0</v>
      </c>
      <c r="HQ9" s="122">
        <f t="shared" ref="HQ9" si="246">SUM(HQ10:HQ10)</f>
        <v>0</v>
      </c>
      <c r="HR9" s="122">
        <f t="shared" ref="HR9" si="247">SUM(HR10:HR10)</f>
        <v>0</v>
      </c>
      <c r="HS9" s="122">
        <f t="shared" ref="HS9" si="248">SUM(HS10:HS10)</f>
        <v>0</v>
      </c>
      <c r="HT9" s="122">
        <f t="shared" ref="HT9" si="249">SUM(HT10:HT10)</f>
        <v>0</v>
      </c>
      <c r="HU9" s="122">
        <f t="shared" ref="HU9" si="250">SUM(HU10:HU10)</f>
        <v>0</v>
      </c>
      <c r="HV9" s="122">
        <f t="shared" ref="HV9" si="251">SUM(HV10:HV10)</f>
        <v>0</v>
      </c>
      <c r="HW9" s="122">
        <f t="shared" ref="HW9" si="252">SUM(HW10:HW10)</f>
        <v>0</v>
      </c>
      <c r="HX9" s="122">
        <f t="shared" ref="HX9" si="253">SUM(HX10:HX10)</f>
        <v>0</v>
      </c>
      <c r="HY9" s="122">
        <f t="shared" ref="HY9" si="254">SUM(HY10:HY10)</f>
        <v>0</v>
      </c>
      <c r="HZ9" s="122">
        <f t="shared" ref="HZ9" si="255">SUM(HZ10:HZ10)</f>
        <v>0</v>
      </c>
      <c r="IA9" s="122">
        <f t="shared" ref="IA9" si="256">SUM(IA10:IA10)</f>
        <v>0</v>
      </c>
      <c r="IB9" s="122">
        <f t="shared" ref="IB9" si="257">SUM(IB10:IB10)</f>
        <v>0</v>
      </c>
      <c r="IC9" s="122">
        <f t="shared" ref="IC9" si="258">SUM(IC10:IC10)</f>
        <v>0</v>
      </c>
      <c r="ID9" s="122">
        <f t="shared" ref="ID9" si="259">SUM(ID10:ID10)</f>
        <v>0</v>
      </c>
      <c r="IE9" s="122">
        <f t="shared" ref="IE9" si="260">SUM(IE10:IE10)</f>
        <v>0</v>
      </c>
      <c r="IF9" s="122">
        <f t="shared" ref="IF9" si="261">SUM(IF10:IF10)</f>
        <v>0</v>
      </c>
      <c r="IG9" s="122">
        <f t="shared" ref="IG9" si="262">SUM(IG10:IG10)</f>
        <v>0</v>
      </c>
      <c r="IH9" s="122">
        <f t="shared" ref="IH9" si="263">SUM(IH10:IH10)</f>
        <v>0</v>
      </c>
      <c r="II9" s="122">
        <f t="shared" ref="II9" si="264">SUM(II10:II10)</f>
        <v>0</v>
      </c>
      <c r="IJ9" s="122">
        <f t="shared" ref="IJ9" si="265">SUM(IJ10:IJ10)</f>
        <v>0</v>
      </c>
      <c r="IK9" s="122">
        <f t="shared" ref="IK9" si="266">SUM(IK10:IK10)</f>
        <v>0</v>
      </c>
      <c r="IL9" s="122">
        <f t="shared" ref="IL9" si="267">SUM(IL10:IL10)</f>
        <v>0</v>
      </c>
      <c r="IM9" s="122">
        <f t="shared" ref="IM9" si="268">SUM(IM10:IM10)</f>
        <v>0</v>
      </c>
      <c r="IN9" s="122">
        <f t="shared" ref="IN9" si="269">SUM(IN10:IN10)</f>
        <v>0</v>
      </c>
      <c r="IO9" s="122">
        <f t="shared" ref="IO9" si="270">SUM(IO10:IO10)</f>
        <v>0</v>
      </c>
      <c r="IP9" s="122">
        <f t="shared" ref="IP9" si="271">SUM(IP10:IP10)</f>
        <v>0</v>
      </c>
      <c r="IQ9" s="122">
        <f t="shared" ref="IQ9" si="272">SUM(IQ10:IQ10)</f>
        <v>0</v>
      </c>
      <c r="IR9" s="122">
        <f t="shared" ref="IR9" si="273">SUM(IR10:IR10)</f>
        <v>0</v>
      </c>
      <c r="IS9" s="122">
        <f t="shared" ref="IS9" si="274">SUM(IS10:IS10)</f>
        <v>0</v>
      </c>
      <c r="IT9" s="122">
        <f t="shared" ref="IT9" si="275">SUM(IT10:IT10)</f>
        <v>0</v>
      </c>
      <c r="IU9" s="122">
        <f t="shared" ref="IU9" si="276">SUM(IU10:IU10)</f>
        <v>0</v>
      </c>
      <c r="IV9" s="122">
        <f t="shared" ref="IV9" si="277">SUM(IV10:IV10)</f>
        <v>0</v>
      </c>
      <c r="IW9" s="122">
        <f t="shared" ref="IW9" si="278">SUM(IW10:IW10)</f>
        <v>0</v>
      </c>
      <c r="IX9" s="122">
        <f t="shared" ref="IX9" si="279">SUM(IX10:IX10)</f>
        <v>0</v>
      </c>
      <c r="IY9" s="122">
        <f t="shared" ref="IY9" si="280">SUM(IY10:IY10)</f>
        <v>0</v>
      </c>
      <c r="IZ9" s="122">
        <f t="shared" ref="IZ9" si="281">SUM(IZ10:IZ10)</f>
        <v>0</v>
      </c>
      <c r="JA9" s="122">
        <f t="shared" ref="JA9" si="282">SUM(JA10:JA10)</f>
        <v>0</v>
      </c>
      <c r="JB9" s="122">
        <f t="shared" ref="JB9" si="283">SUM(JB10:JB10)</f>
        <v>0</v>
      </c>
      <c r="JC9" s="122">
        <f t="shared" ref="JC9" si="284">SUM(JC10:JC10)</f>
        <v>0</v>
      </c>
      <c r="JD9" s="122">
        <f t="shared" ref="JD9" si="285">SUM(JD10:JD10)</f>
        <v>0</v>
      </c>
      <c r="JE9" s="122">
        <f t="shared" ref="JE9" si="286">SUM(JE10:JE10)</f>
        <v>0</v>
      </c>
      <c r="JF9" s="122">
        <f t="shared" ref="JF9" si="287">SUM(JF10:JF10)</f>
        <v>0</v>
      </c>
      <c r="JG9" s="122">
        <f t="shared" ref="JG9" si="288">SUM(JG10:JG10)</f>
        <v>0</v>
      </c>
      <c r="JH9" s="122">
        <f t="shared" ref="JH9" si="289">SUM(JH10:JH10)</f>
        <v>0</v>
      </c>
      <c r="JI9" s="122">
        <f t="shared" ref="JI9" si="290">SUM(JI10:JI10)</f>
        <v>0</v>
      </c>
      <c r="JJ9" s="122">
        <f t="shared" ref="JJ9" si="291">SUM(JJ10:JJ10)</f>
        <v>0</v>
      </c>
      <c r="JK9" s="122">
        <f t="shared" ref="JK9" si="292">SUM(JK10:JK10)</f>
        <v>0</v>
      </c>
      <c r="JL9" s="122">
        <f t="shared" ref="JL9" si="293">SUM(JL10:JL10)</f>
        <v>0</v>
      </c>
      <c r="JM9" s="122">
        <f t="shared" ref="JM9" si="294">SUM(JM10:JM10)</f>
        <v>0</v>
      </c>
      <c r="JN9" s="122">
        <f t="shared" ref="JN9" si="295">SUM(JN10:JN10)</f>
        <v>0</v>
      </c>
      <c r="JO9" s="122">
        <f t="shared" ref="JO9" si="296">SUM(JO10:JO10)</f>
        <v>0</v>
      </c>
      <c r="JP9" s="122">
        <f t="shared" ref="JP9" si="297">SUM(JP10:JP10)</f>
        <v>0</v>
      </c>
      <c r="JQ9" s="122">
        <f t="shared" ref="JQ9" si="298">SUM(JQ10:JQ10)</f>
        <v>0</v>
      </c>
      <c r="JR9" s="122">
        <f t="shared" ref="JR9" si="299">SUM(JR10:JR10)</f>
        <v>0</v>
      </c>
      <c r="JS9" s="122">
        <f t="shared" ref="JS9" si="300">SUM(JS10:JS10)</f>
        <v>0</v>
      </c>
      <c r="JT9" s="122">
        <f t="shared" ref="JT9" si="301">SUM(JT10:JT10)</f>
        <v>0</v>
      </c>
      <c r="JU9" s="122">
        <f t="shared" ref="JU9" si="302">SUM(JU10:JU10)</f>
        <v>0</v>
      </c>
      <c r="JV9" s="122">
        <f t="shared" ref="JV9" si="303">SUM(JV10:JV10)</f>
        <v>0</v>
      </c>
      <c r="JW9" s="122">
        <f t="shared" ref="JW9" si="304">SUM(JW10:JW10)</f>
        <v>0</v>
      </c>
      <c r="JX9" s="122">
        <f t="shared" ref="JX9" si="305">SUM(JX10:JX10)</f>
        <v>0</v>
      </c>
      <c r="JY9" s="122">
        <f t="shared" ref="JY9" si="306">SUM(JY10:JY10)</f>
        <v>0</v>
      </c>
      <c r="JZ9" s="122">
        <f t="shared" ref="JZ9" si="307">SUM(JZ10:JZ10)</f>
        <v>0</v>
      </c>
      <c r="KA9" s="122">
        <f t="shared" ref="KA9" si="308">SUM(KA10:KA10)</f>
        <v>0</v>
      </c>
      <c r="KB9" s="122">
        <f t="shared" ref="KB9" si="309">SUM(KB10:KB10)</f>
        <v>0</v>
      </c>
      <c r="KC9" s="122">
        <f t="shared" ref="KC9" si="310">SUM(KC10:KC10)</f>
        <v>0</v>
      </c>
      <c r="KD9" s="122">
        <f t="shared" ref="KD9" si="311">SUM(KD10:KD10)</f>
        <v>0</v>
      </c>
      <c r="KE9" s="122">
        <f t="shared" ref="KE9" si="312">SUM(KE10:KE10)</f>
        <v>0</v>
      </c>
      <c r="KF9" s="122">
        <f t="shared" ref="KF9" si="313">SUM(KF10:KF10)</f>
        <v>0</v>
      </c>
      <c r="KG9" s="122">
        <f t="shared" ref="KG9" si="314">SUM(KG10:KG10)</f>
        <v>0</v>
      </c>
      <c r="KH9" s="122">
        <f t="shared" ref="KH9" si="315">SUM(KH10:KH10)</f>
        <v>0</v>
      </c>
      <c r="KI9" s="122">
        <f t="shared" ref="KI9" si="316">SUM(KI10:KI10)</f>
        <v>0</v>
      </c>
      <c r="KJ9" s="122">
        <f t="shared" ref="KJ9" si="317">SUM(KJ10:KJ10)</f>
        <v>0</v>
      </c>
      <c r="KK9" s="122">
        <f t="shared" ref="KK9" si="318">SUM(KK10:KK10)</f>
        <v>0</v>
      </c>
      <c r="KL9" s="122">
        <f t="shared" ref="KL9" si="319">SUM(KL10:KL10)</f>
        <v>0</v>
      </c>
      <c r="KM9" s="122">
        <f t="shared" ref="KM9" si="320">SUM(KM10:KM10)</f>
        <v>0</v>
      </c>
      <c r="KN9" s="122">
        <f t="shared" ref="KN9" si="321">SUM(KN10:KN10)</f>
        <v>0</v>
      </c>
      <c r="KO9" s="122">
        <f t="shared" ref="KO9" si="322">SUM(KO10:KO10)</f>
        <v>0</v>
      </c>
      <c r="KP9" s="122">
        <f t="shared" ref="KP9" si="323">SUM(KP10:KP10)</f>
        <v>0</v>
      </c>
      <c r="KQ9" s="122">
        <f t="shared" ref="KQ9" si="324">SUM(KQ10:KQ10)</f>
        <v>0</v>
      </c>
    </row>
    <row r="10" spans="2:303" x14ac:dyDescent="0.35">
      <c r="B10" s="126" t="s">
        <v>107</v>
      </c>
      <c r="C10" s="123">
        <f t="shared" si="20"/>
        <v>5833314060.8999968</v>
      </c>
      <c r="D10" s="124">
        <f>Costs!E16</f>
        <v>233332562.43599999</v>
      </c>
      <c r="E10" s="124">
        <f>Costs!F16</f>
        <v>233332562.43599999</v>
      </c>
      <c r="F10" s="124">
        <f>Costs!G16</f>
        <v>233332562.43599999</v>
      </c>
      <c r="G10" s="124">
        <f>Costs!H16</f>
        <v>291665703.04500002</v>
      </c>
      <c r="H10" s="124">
        <f>Costs!I16</f>
        <v>291665703.04500002</v>
      </c>
      <c r="I10" s="124">
        <f>Costs!J16</f>
        <v>291665703.04500002</v>
      </c>
      <c r="J10" s="124">
        <f>Costs!K16</f>
        <v>291665703.04500002</v>
      </c>
      <c r="K10" s="124">
        <f>Costs!L16</f>
        <v>349998843.65399998</v>
      </c>
      <c r="L10" s="124">
        <f>Costs!M16</f>
        <v>349998843.65399998</v>
      </c>
      <c r="M10" s="124">
        <f>Costs!N16</f>
        <v>349998843.65399998</v>
      </c>
      <c r="N10" s="124">
        <f>Costs!O16</f>
        <v>349998843.65399998</v>
      </c>
      <c r="O10" s="124">
        <f>Costs!P16</f>
        <v>349998843.65399998</v>
      </c>
      <c r="P10" s="124">
        <f>Costs!Q16</f>
        <v>349998843.65399998</v>
      </c>
      <c r="Q10" s="124">
        <f>Costs!R16</f>
        <v>349998843.65399998</v>
      </c>
      <c r="R10" s="124">
        <f>Costs!S16</f>
        <v>303332331.1667999</v>
      </c>
      <c r="S10" s="124">
        <f>Costs!T16</f>
        <v>303332331.1667999</v>
      </c>
      <c r="T10" s="124">
        <f>Costs!U16</f>
        <v>303332331.1667999</v>
      </c>
      <c r="U10" s="124">
        <f>Costs!V16</f>
        <v>303332331.1667999</v>
      </c>
      <c r="V10" s="124">
        <f>Costs!W16</f>
        <v>303332331.1667999</v>
      </c>
      <c r="W10" s="124">
        <f>Costs!X16</f>
        <v>0</v>
      </c>
      <c r="X10" s="124">
        <f>Costs!Y16</f>
        <v>0</v>
      </c>
      <c r="Y10" s="124">
        <f>Costs!Z16</f>
        <v>0</v>
      </c>
      <c r="Z10" s="124">
        <f>Costs!AA16</f>
        <v>0</v>
      </c>
      <c r="AA10" s="124">
        <f>Costs!AB16</f>
        <v>0</v>
      </c>
      <c r="AB10" s="124">
        <f>Costs!AC16</f>
        <v>0</v>
      </c>
      <c r="AC10" s="124">
        <f>Costs!AD16</f>
        <v>0</v>
      </c>
      <c r="AD10" s="124">
        <f>Costs!AE16</f>
        <v>0</v>
      </c>
      <c r="AE10" s="124">
        <f>Costs!AF16</f>
        <v>0</v>
      </c>
      <c r="AF10" s="124">
        <f>Costs!AG16</f>
        <v>0</v>
      </c>
      <c r="AG10" s="124">
        <f>Costs!AH16</f>
        <v>0</v>
      </c>
      <c r="AH10" s="124">
        <f>Costs!AI16</f>
        <v>0</v>
      </c>
      <c r="AI10" s="124">
        <f>Costs!AJ16</f>
        <v>0</v>
      </c>
      <c r="AJ10" s="124">
        <f>Costs!AK16</f>
        <v>0</v>
      </c>
      <c r="AK10" s="124">
        <f>Costs!AL16</f>
        <v>0</v>
      </c>
      <c r="AL10" s="124">
        <f>Costs!AM16</f>
        <v>0</v>
      </c>
      <c r="AM10" s="124">
        <f>Costs!AN16</f>
        <v>0</v>
      </c>
      <c r="AN10" s="124">
        <f>Costs!AO16</f>
        <v>0</v>
      </c>
      <c r="AO10" s="124">
        <f>Costs!AP16</f>
        <v>0</v>
      </c>
      <c r="AP10" s="124">
        <f>Costs!AQ16</f>
        <v>0</v>
      </c>
      <c r="AQ10" s="124">
        <f>Costs!AR16</f>
        <v>0</v>
      </c>
      <c r="AR10" s="124">
        <f>Costs!AS16</f>
        <v>0</v>
      </c>
      <c r="AS10" s="124">
        <f>Costs!AT16</f>
        <v>0</v>
      </c>
      <c r="AT10" s="124">
        <f>Costs!AU16</f>
        <v>0</v>
      </c>
      <c r="AU10" s="124">
        <f>Costs!AV16</f>
        <v>0</v>
      </c>
      <c r="AV10" s="124">
        <f>Costs!AW16</f>
        <v>0</v>
      </c>
      <c r="AW10" s="124">
        <f>Costs!AX16</f>
        <v>0</v>
      </c>
      <c r="AX10" s="124">
        <f>Costs!AY16</f>
        <v>0</v>
      </c>
      <c r="AY10" s="124">
        <f>Costs!AZ16</f>
        <v>0</v>
      </c>
      <c r="AZ10" s="124">
        <f>Costs!BA16</f>
        <v>0</v>
      </c>
      <c r="BA10" s="124">
        <f>Costs!BB16</f>
        <v>0</v>
      </c>
      <c r="BB10" s="124">
        <f>Costs!BC16</f>
        <v>0</v>
      </c>
      <c r="BC10" s="124">
        <f>Costs!BD16</f>
        <v>0</v>
      </c>
      <c r="BD10" s="124">
        <f>Costs!BE16</f>
        <v>0</v>
      </c>
      <c r="BE10" s="124">
        <f>Costs!BF16</f>
        <v>0</v>
      </c>
      <c r="BF10" s="124">
        <f>Costs!BG16</f>
        <v>0</v>
      </c>
      <c r="BG10" s="124">
        <f>Costs!BH16</f>
        <v>0</v>
      </c>
      <c r="BH10" s="124">
        <f>Costs!BI16</f>
        <v>0</v>
      </c>
      <c r="BI10" s="124">
        <f>Costs!BJ16</f>
        <v>0</v>
      </c>
      <c r="BJ10" s="124">
        <f>Costs!BK16</f>
        <v>0</v>
      </c>
      <c r="BK10" s="124">
        <f>Costs!BL16</f>
        <v>0</v>
      </c>
      <c r="BL10" s="124">
        <f>Costs!BM16</f>
        <v>0</v>
      </c>
      <c r="BM10" s="124">
        <f>Costs!BN16</f>
        <v>0</v>
      </c>
      <c r="BN10" s="124">
        <f>Costs!BO16</f>
        <v>0</v>
      </c>
      <c r="BO10" s="124">
        <f>Costs!BP16</f>
        <v>0</v>
      </c>
      <c r="BP10" s="124">
        <f>Costs!BQ16</f>
        <v>0</v>
      </c>
      <c r="BQ10" s="124">
        <f>Costs!BR16</f>
        <v>0</v>
      </c>
      <c r="BR10" s="124">
        <f>Costs!BS16</f>
        <v>0</v>
      </c>
      <c r="BS10" s="124">
        <f>Costs!BT16</f>
        <v>0</v>
      </c>
      <c r="BT10" s="124">
        <f>Costs!BU16</f>
        <v>0</v>
      </c>
      <c r="BU10" s="124">
        <f>Costs!BV16</f>
        <v>0</v>
      </c>
      <c r="BV10" s="124">
        <f>Costs!BW16</f>
        <v>0</v>
      </c>
      <c r="BW10" s="124">
        <f>Costs!BX16</f>
        <v>0</v>
      </c>
      <c r="BX10" s="124">
        <f>Costs!BY16</f>
        <v>0</v>
      </c>
      <c r="BY10" s="124">
        <f>Costs!BZ16</f>
        <v>0</v>
      </c>
      <c r="BZ10" s="124">
        <f>Costs!CA16</f>
        <v>0</v>
      </c>
      <c r="CA10" s="124">
        <f>Costs!CB16</f>
        <v>0</v>
      </c>
      <c r="CB10" s="124">
        <f>Costs!CC16</f>
        <v>0</v>
      </c>
      <c r="CC10" s="124">
        <f>Costs!CD16</f>
        <v>0</v>
      </c>
      <c r="CD10" s="124">
        <f>Costs!CE16</f>
        <v>0</v>
      </c>
      <c r="CE10" s="124">
        <f>Costs!CF16</f>
        <v>0</v>
      </c>
      <c r="CF10" s="124">
        <f>Costs!CG16</f>
        <v>0</v>
      </c>
      <c r="CG10" s="124">
        <f>Costs!CH16</f>
        <v>0</v>
      </c>
      <c r="CH10" s="124">
        <f>Costs!CI16</f>
        <v>0</v>
      </c>
      <c r="CI10" s="124">
        <f>Costs!CJ16</f>
        <v>0</v>
      </c>
      <c r="CJ10" s="124">
        <f>Costs!CK16</f>
        <v>0</v>
      </c>
      <c r="CK10" s="124">
        <f>Costs!CL16</f>
        <v>0</v>
      </c>
      <c r="CL10" s="124">
        <f>Costs!CM16</f>
        <v>0</v>
      </c>
      <c r="CM10" s="124">
        <f>Costs!CN16</f>
        <v>0</v>
      </c>
      <c r="CN10" s="124">
        <f>Costs!CO16</f>
        <v>0</v>
      </c>
      <c r="CO10" s="124">
        <f>Costs!CP16</f>
        <v>0</v>
      </c>
      <c r="CP10" s="124">
        <f>Costs!CQ16</f>
        <v>0</v>
      </c>
      <c r="CQ10" s="124">
        <f>Costs!CR16</f>
        <v>0</v>
      </c>
      <c r="CR10" s="124">
        <f>Costs!CS16</f>
        <v>0</v>
      </c>
      <c r="CS10" s="124">
        <f>Costs!CT16</f>
        <v>0</v>
      </c>
      <c r="CT10" s="124">
        <f>Costs!CU16</f>
        <v>0</v>
      </c>
      <c r="CU10" s="124">
        <f>Costs!CV16</f>
        <v>0</v>
      </c>
      <c r="CV10" s="124">
        <f>Costs!CW16</f>
        <v>0</v>
      </c>
      <c r="CW10" s="124">
        <f>Costs!CX16</f>
        <v>0</v>
      </c>
      <c r="CX10" s="124">
        <f>Costs!CY16</f>
        <v>0</v>
      </c>
      <c r="CY10" s="124">
        <f>Costs!CZ16</f>
        <v>0</v>
      </c>
      <c r="CZ10" s="124">
        <f>Costs!DA16</f>
        <v>0</v>
      </c>
      <c r="DA10" s="124">
        <f>Costs!DB16</f>
        <v>0</v>
      </c>
      <c r="DB10" s="124">
        <f>Costs!DC16</f>
        <v>0</v>
      </c>
      <c r="DC10" s="124">
        <f>Costs!DD16</f>
        <v>0</v>
      </c>
      <c r="DD10" s="124">
        <f>Costs!DE16</f>
        <v>0</v>
      </c>
      <c r="DE10" s="124">
        <f>Costs!DF16</f>
        <v>0</v>
      </c>
      <c r="DF10" s="124">
        <f>Costs!DG16</f>
        <v>0</v>
      </c>
      <c r="DG10" s="124">
        <f>Costs!DH16</f>
        <v>0</v>
      </c>
      <c r="DH10" s="124">
        <f>Costs!DI16</f>
        <v>0</v>
      </c>
      <c r="DI10" s="124">
        <f>Costs!DJ16</f>
        <v>0</v>
      </c>
      <c r="DJ10" s="124">
        <f>Costs!DK16</f>
        <v>0</v>
      </c>
      <c r="DK10" s="124">
        <f>Costs!DL16</f>
        <v>0</v>
      </c>
      <c r="DL10" s="124">
        <f>Costs!DM16</f>
        <v>0</v>
      </c>
      <c r="DM10" s="124">
        <f>Costs!DN16</f>
        <v>0</v>
      </c>
      <c r="DN10" s="124">
        <f>Costs!DO16</f>
        <v>0</v>
      </c>
      <c r="DO10" s="124">
        <f>Costs!DP16</f>
        <v>0</v>
      </c>
      <c r="DP10" s="124">
        <f>Costs!DQ16</f>
        <v>0</v>
      </c>
      <c r="DQ10" s="124">
        <f>Costs!DR16</f>
        <v>0</v>
      </c>
      <c r="DR10" s="124">
        <f>Costs!DS16</f>
        <v>0</v>
      </c>
      <c r="DS10" s="124">
        <f>Costs!DT16</f>
        <v>0</v>
      </c>
      <c r="DT10" s="124">
        <f>Costs!DU16</f>
        <v>0</v>
      </c>
      <c r="DU10" s="124">
        <f>Costs!DV16</f>
        <v>0</v>
      </c>
      <c r="DV10" s="124">
        <f>Costs!DW16</f>
        <v>0</v>
      </c>
      <c r="DW10" s="124">
        <f>Costs!DX16</f>
        <v>0</v>
      </c>
      <c r="DX10" s="124">
        <f>Costs!DY16</f>
        <v>0</v>
      </c>
      <c r="DY10" s="124">
        <f>Costs!DZ16</f>
        <v>0</v>
      </c>
      <c r="DZ10" s="124">
        <f>Costs!EA16</f>
        <v>0</v>
      </c>
      <c r="EA10" s="124">
        <f>Costs!EB16</f>
        <v>0</v>
      </c>
      <c r="EB10" s="124">
        <f>Costs!EC16</f>
        <v>0</v>
      </c>
      <c r="EC10" s="124">
        <f>Costs!ED16</f>
        <v>0</v>
      </c>
      <c r="ED10" s="124">
        <f>Costs!EE16</f>
        <v>0</v>
      </c>
      <c r="EE10" s="124">
        <f>Costs!EF16</f>
        <v>0</v>
      </c>
      <c r="EF10" s="124">
        <f>Costs!EG16</f>
        <v>0</v>
      </c>
      <c r="EG10" s="124">
        <f>Costs!EH16</f>
        <v>0</v>
      </c>
      <c r="EH10" s="124">
        <f>Costs!EI16</f>
        <v>0</v>
      </c>
      <c r="EI10" s="124">
        <f>Costs!EJ16</f>
        <v>0</v>
      </c>
      <c r="EJ10" s="124">
        <f>Costs!EK16</f>
        <v>0</v>
      </c>
      <c r="EK10" s="124">
        <f>Costs!EL16</f>
        <v>0</v>
      </c>
      <c r="EL10" s="124">
        <f>Costs!EM16</f>
        <v>0</v>
      </c>
      <c r="EM10" s="124">
        <f>Costs!EN16</f>
        <v>0</v>
      </c>
      <c r="EN10" s="124">
        <f>Costs!EO16</f>
        <v>0</v>
      </c>
      <c r="EO10" s="124">
        <f>Costs!EP16</f>
        <v>0</v>
      </c>
      <c r="EP10" s="124">
        <f>Costs!EQ16</f>
        <v>0</v>
      </c>
      <c r="EQ10" s="124">
        <f>Costs!ER16</f>
        <v>0</v>
      </c>
      <c r="ER10" s="124">
        <f>Costs!ES16</f>
        <v>0</v>
      </c>
      <c r="ES10" s="124">
        <f>Costs!ET16</f>
        <v>0</v>
      </c>
      <c r="ET10" s="124">
        <f>Costs!EU16</f>
        <v>0</v>
      </c>
      <c r="EU10" s="124">
        <f>Costs!EV16</f>
        <v>0</v>
      </c>
      <c r="EV10" s="124">
        <f>Costs!EW16</f>
        <v>0</v>
      </c>
      <c r="EW10" s="124">
        <f>Costs!EX16</f>
        <v>0</v>
      </c>
      <c r="EX10" s="124">
        <f>Costs!EY16</f>
        <v>0</v>
      </c>
      <c r="EY10" s="124">
        <f>Costs!EZ16</f>
        <v>0</v>
      </c>
      <c r="EZ10" s="124">
        <f>Costs!FA16</f>
        <v>0</v>
      </c>
      <c r="FA10" s="124">
        <f>Costs!FB16</f>
        <v>0</v>
      </c>
      <c r="FB10" s="124">
        <f>Costs!FC16</f>
        <v>0</v>
      </c>
      <c r="FC10" s="124">
        <f>Costs!FD16</f>
        <v>0</v>
      </c>
      <c r="FD10" s="124">
        <f>Costs!FE16</f>
        <v>0</v>
      </c>
      <c r="FE10" s="124">
        <f>Costs!FF16</f>
        <v>0</v>
      </c>
      <c r="FF10" s="124">
        <f>Costs!FG16</f>
        <v>0</v>
      </c>
      <c r="FG10" s="124">
        <f>Costs!FH16</f>
        <v>0</v>
      </c>
      <c r="FH10" s="124">
        <f>Costs!FI16</f>
        <v>0</v>
      </c>
      <c r="FI10" s="124">
        <f>Costs!FJ16</f>
        <v>0</v>
      </c>
      <c r="FJ10" s="124">
        <f>Costs!FK16</f>
        <v>0</v>
      </c>
      <c r="FK10" s="124">
        <f>Costs!FL16</f>
        <v>0</v>
      </c>
      <c r="FL10" s="124">
        <f>Costs!FM16</f>
        <v>0</v>
      </c>
      <c r="FM10" s="124">
        <f>Costs!FN16</f>
        <v>0</v>
      </c>
      <c r="FN10" s="124">
        <f>Costs!FO16</f>
        <v>0</v>
      </c>
      <c r="FO10" s="124">
        <f>Costs!FP16</f>
        <v>0</v>
      </c>
      <c r="FP10" s="124">
        <f>Costs!FQ16</f>
        <v>0</v>
      </c>
      <c r="FQ10" s="124">
        <f>Costs!FR16</f>
        <v>0</v>
      </c>
      <c r="FR10" s="124">
        <f>Costs!FS16</f>
        <v>0</v>
      </c>
      <c r="FS10" s="124">
        <f>Costs!FT16</f>
        <v>0</v>
      </c>
      <c r="FT10" s="124">
        <f>Costs!FU16</f>
        <v>0</v>
      </c>
      <c r="FU10" s="124">
        <f>Costs!FV16</f>
        <v>0</v>
      </c>
      <c r="FV10" s="124">
        <f>Costs!FQ37</f>
        <v>0</v>
      </c>
      <c r="FW10" s="124">
        <f>Costs!FR37</f>
        <v>0</v>
      </c>
      <c r="FX10" s="124">
        <f>Costs!FS37</f>
        <v>0</v>
      </c>
      <c r="FY10" s="124">
        <f>Costs!FT37</f>
        <v>0</v>
      </c>
      <c r="FZ10" s="124">
        <f>Costs!FU37</f>
        <v>0</v>
      </c>
      <c r="GA10" s="124">
        <f>Costs!FV37</f>
        <v>0</v>
      </c>
      <c r="GB10" s="124">
        <f>Costs!FW37</f>
        <v>0</v>
      </c>
      <c r="GC10" s="124">
        <f>Costs!FX37</f>
        <v>0</v>
      </c>
      <c r="GD10" s="124">
        <f>Costs!FY37</f>
        <v>0</v>
      </c>
      <c r="GE10" s="124">
        <f>Costs!FZ37</f>
        <v>0</v>
      </c>
      <c r="GF10" s="124">
        <f>Costs!GA37</f>
        <v>0</v>
      </c>
      <c r="GG10" s="124">
        <f>Costs!GB37</f>
        <v>0</v>
      </c>
      <c r="GH10" s="124">
        <f>Costs!GC37</f>
        <v>0</v>
      </c>
      <c r="GI10" s="124">
        <f>Costs!GD37</f>
        <v>0</v>
      </c>
      <c r="GJ10" s="124">
        <f>Costs!GE37</f>
        <v>0</v>
      </c>
      <c r="GK10" s="124">
        <f>Costs!GF37</f>
        <v>0</v>
      </c>
      <c r="GL10" s="124">
        <f>Costs!GG37</f>
        <v>0</v>
      </c>
      <c r="GM10" s="124">
        <f>Costs!GH37</f>
        <v>0</v>
      </c>
      <c r="GN10" s="124">
        <f>Costs!GI37</f>
        <v>0</v>
      </c>
      <c r="GO10" s="124">
        <f>Costs!GJ37</f>
        <v>0</v>
      </c>
      <c r="GP10" s="124">
        <f>Costs!GK37</f>
        <v>0</v>
      </c>
      <c r="GQ10" s="124">
        <f>Costs!GL37</f>
        <v>0</v>
      </c>
      <c r="GR10" s="124">
        <f>Costs!GM37</f>
        <v>0</v>
      </c>
      <c r="GS10" s="124">
        <f>Costs!GN37</f>
        <v>0</v>
      </c>
      <c r="GT10" s="124">
        <f>Costs!GO37</f>
        <v>0</v>
      </c>
      <c r="GU10" s="124">
        <f>Costs!GP37</f>
        <v>0</v>
      </c>
      <c r="GV10" s="124">
        <f>Costs!GQ37</f>
        <v>0</v>
      </c>
      <c r="GW10" s="124">
        <f>Costs!GR37</f>
        <v>0</v>
      </c>
      <c r="GX10" s="124">
        <f>Costs!GS37</f>
        <v>0</v>
      </c>
      <c r="GY10" s="124">
        <f>Costs!GT37</f>
        <v>0</v>
      </c>
      <c r="GZ10" s="124">
        <f>Costs!GU37</f>
        <v>0</v>
      </c>
      <c r="HA10" s="124">
        <f>Costs!GV37</f>
        <v>0</v>
      </c>
      <c r="HB10" s="124">
        <f>Costs!GW37</f>
        <v>0</v>
      </c>
      <c r="HC10" s="124">
        <f>Costs!GX37</f>
        <v>0</v>
      </c>
      <c r="HD10" s="124">
        <f>Costs!GY37</f>
        <v>0</v>
      </c>
      <c r="HE10" s="124">
        <f>Costs!GZ37</f>
        <v>0</v>
      </c>
      <c r="HF10" s="124">
        <f>Costs!HA37</f>
        <v>0</v>
      </c>
      <c r="HG10" s="124">
        <f>Costs!HB37</f>
        <v>0</v>
      </c>
      <c r="HH10" s="124">
        <f>Costs!HC37</f>
        <v>0</v>
      </c>
      <c r="HI10" s="124">
        <f>Costs!HD37</f>
        <v>0</v>
      </c>
      <c r="HJ10" s="124">
        <f>Costs!HE37</f>
        <v>0</v>
      </c>
      <c r="HK10" s="124">
        <f>Costs!HF37</f>
        <v>0</v>
      </c>
      <c r="HL10" s="124">
        <f>Costs!HG37</f>
        <v>0</v>
      </c>
      <c r="HM10" s="124">
        <f>Costs!HH37</f>
        <v>0</v>
      </c>
      <c r="HN10" s="124">
        <f>Costs!HI37</f>
        <v>0</v>
      </c>
      <c r="HO10" s="124">
        <f>Costs!HJ37</f>
        <v>0</v>
      </c>
      <c r="HP10" s="124">
        <f>Costs!HK37</f>
        <v>0</v>
      </c>
      <c r="HQ10" s="124">
        <f>Costs!HL37</f>
        <v>0</v>
      </c>
      <c r="HR10" s="124">
        <f>Costs!HM37</f>
        <v>0</v>
      </c>
      <c r="HS10" s="124">
        <f>Costs!HN37</f>
        <v>0</v>
      </c>
      <c r="HT10" s="124">
        <f>Costs!HO37</f>
        <v>0</v>
      </c>
      <c r="HU10" s="124">
        <f>Costs!HP37</f>
        <v>0</v>
      </c>
      <c r="HV10" s="124">
        <f>Costs!HQ37</f>
        <v>0</v>
      </c>
      <c r="HW10" s="124">
        <f>Costs!HR37</f>
        <v>0</v>
      </c>
      <c r="HX10" s="124">
        <f>Costs!HS37</f>
        <v>0</v>
      </c>
      <c r="HY10" s="124">
        <f>Costs!HT37</f>
        <v>0</v>
      </c>
      <c r="HZ10" s="124">
        <f>Costs!HU37</f>
        <v>0</v>
      </c>
      <c r="IA10" s="124">
        <f>Costs!HV37</f>
        <v>0</v>
      </c>
      <c r="IB10" s="124">
        <f>Costs!HW37</f>
        <v>0</v>
      </c>
      <c r="IC10" s="124">
        <f>Costs!HX37</f>
        <v>0</v>
      </c>
      <c r="ID10" s="124">
        <f>Costs!HY37</f>
        <v>0</v>
      </c>
      <c r="IE10" s="124">
        <f>Costs!HZ37</f>
        <v>0</v>
      </c>
      <c r="IF10" s="124">
        <f>Costs!IA37</f>
        <v>0</v>
      </c>
      <c r="IG10" s="124">
        <f>Costs!IB37</f>
        <v>0</v>
      </c>
      <c r="IH10" s="124">
        <f>Costs!IC37</f>
        <v>0</v>
      </c>
      <c r="II10" s="124">
        <f>Costs!ID37</f>
        <v>0</v>
      </c>
      <c r="IJ10" s="124">
        <f>Costs!IE37</f>
        <v>0</v>
      </c>
      <c r="IK10" s="124">
        <f>Costs!IF37</f>
        <v>0</v>
      </c>
      <c r="IL10" s="124">
        <f>Costs!IG37</f>
        <v>0</v>
      </c>
      <c r="IM10" s="124">
        <f>Costs!IH37</f>
        <v>0</v>
      </c>
      <c r="IN10" s="124">
        <f>Costs!II37</f>
        <v>0</v>
      </c>
      <c r="IO10" s="124">
        <f>Costs!IJ37</f>
        <v>0</v>
      </c>
      <c r="IP10" s="124">
        <f>Costs!IK37</f>
        <v>0</v>
      </c>
      <c r="IQ10" s="124">
        <f>Costs!IL37</f>
        <v>0</v>
      </c>
      <c r="IR10" s="124">
        <f>Costs!IM37</f>
        <v>0</v>
      </c>
      <c r="IS10" s="124">
        <f>Costs!IN37</f>
        <v>0</v>
      </c>
      <c r="IT10" s="124">
        <f>Costs!IO37</f>
        <v>0</v>
      </c>
      <c r="IU10" s="124">
        <f>Costs!IP37</f>
        <v>0</v>
      </c>
      <c r="IV10" s="124">
        <f>Costs!IQ37</f>
        <v>0</v>
      </c>
      <c r="IW10" s="124">
        <f>Costs!IR37</f>
        <v>0</v>
      </c>
      <c r="IX10" s="124">
        <f>Costs!IS37</f>
        <v>0</v>
      </c>
      <c r="IY10" s="124">
        <f>Costs!IT37</f>
        <v>0</v>
      </c>
      <c r="IZ10" s="124">
        <f>Costs!IU37</f>
        <v>0</v>
      </c>
      <c r="JA10" s="124">
        <f>Costs!IV37</f>
        <v>0</v>
      </c>
      <c r="JB10" s="124">
        <f>Costs!IW37</f>
        <v>0</v>
      </c>
      <c r="JC10" s="124">
        <f>Costs!IX37</f>
        <v>0</v>
      </c>
      <c r="JD10" s="124">
        <f>Costs!IY37</f>
        <v>0</v>
      </c>
      <c r="JE10" s="124">
        <f>Costs!IZ37</f>
        <v>0</v>
      </c>
      <c r="JF10" s="124">
        <f>Costs!JA37</f>
        <v>0</v>
      </c>
      <c r="JG10" s="124">
        <f>Costs!JB37</f>
        <v>0</v>
      </c>
      <c r="JH10" s="124">
        <f>Costs!JC37</f>
        <v>0</v>
      </c>
      <c r="JI10" s="124">
        <f>Costs!JD37</f>
        <v>0</v>
      </c>
      <c r="JJ10" s="124">
        <f>Costs!JE37</f>
        <v>0</v>
      </c>
      <c r="JK10" s="124">
        <f>Costs!JF37</f>
        <v>0</v>
      </c>
      <c r="JL10" s="124">
        <f>Costs!JG37</f>
        <v>0</v>
      </c>
      <c r="JM10" s="124">
        <f>Costs!JH37</f>
        <v>0</v>
      </c>
      <c r="JN10" s="124">
        <f>Costs!JI37</f>
        <v>0</v>
      </c>
      <c r="JO10" s="124">
        <f>Costs!JJ37</f>
        <v>0</v>
      </c>
      <c r="JP10" s="124">
        <f>Costs!JK37</f>
        <v>0</v>
      </c>
      <c r="JQ10" s="124">
        <f>Costs!JL37</f>
        <v>0</v>
      </c>
      <c r="JR10" s="124">
        <f>Costs!JM37</f>
        <v>0</v>
      </c>
      <c r="JS10" s="124">
        <f>Costs!JN37</f>
        <v>0</v>
      </c>
      <c r="JT10" s="124">
        <f>Costs!JO37</f>
        <v>0</v>
      </c>
      <c r="JU10" s="124">
        <f>Costs!JP37</f>
        <v>0</v>
      </c>
      <c r="JV10" s="124">
        <f>Costs!JQ37</f>
        <v>0</v>
      </c>
      <c r="JW10" s="124">
        <f>Costs!JR37</f>
        <v>0</v>
      </c>
      <c r="JX10" s="124">
        <f>Costs!JS37</f>
        <v>0</v>
      </c>
      <c r="JY10" s="124">
        <f>Costs!JT37</f>
        <v>0</v>
      </c>
      <c r="JZ10" s="124">
        <f>Costs!JU37</f>
        <v>0</v>
      </c>
      <c r="KA10" s="124">
        <f>Costs!JV37</f>
        <v>0</v>
      </c>
      <c r="KB10" s="124">
        <f>Costs!JW37</f>
        <v>0</v>
      </c>
      <c r="KC10" s="124">
        <f>Costs!JX37</f>
        <v>0</v>
      </c>
      <c r="KD10" s="124">
        <f>Costs!JY37</f>
        <v>0</v>
      </c>
      <c r="KE10" s="124">
        <f>Costs!JZ37</f>
        <v>0</v>
      </c>
      <c r="KF10" s="124">
        <f>Costs!KA37</f>
        <v>0</v>
      </c>
      <c r="KG10" s="124">
        <f>Costs!KB37</f>
        <v>0</v>
      </c>
      <c r="KH10" s="124">
        <f>Costs!KC37</f>
        <v>0</v>
      </c>
      <c r="KI10" s="124">
        <f>Costs!KD37</f>
        <v>0</v>
      </c>
      <c r="KJ10" s="124">
        <f>Costs!KE37</f>
        <v>0</v>
      </c>
      <c r="KK10" s="124">
        <f>Costs!KF37</f>
        <v>0</v>
      </c>
      <c r="KL10" s="124">
        <f>Costs!KG37</f>
        <v>0</v>
      </c>
      <c r="KM10" s="124">
        <f>Costs!KH37</f>
        <v>0</v>
      </c>
      <c r="KN10" s="124">
        <f>Costs!KI37</f>
        <v>0</v>
      </c>
      <c r="KO10" s="124">
        <f>Costs!KJ37</f>
        <v>0</v>
      </c>
      <c r="KP10" s="124">
        <f>Costs!KK37</f>
        <v>0</v>
      </c>
      <c r="KQ10" s="124">
        <f>Costs!KL37</f>
        <v>0</v>
      </c>
    </row>
    <row r="11" spans="2:303" x14ac:dyDescent="0.35">
      <c r="B11" s="127" t="s">
        <v>108</v>
      </c>
      <c r="C11" s="121">
        <f t="shared" si="20"/>
        <v>4879985939.1000004</v>
      </c>
      <c r="D11" s="122">
        <f>D7-D9</f>
        <v>88066437.56400001</v>
      </c>
      <c r="E11" s="122">
        <f t="shared" ref="E11:BP11" si="325">E7-E9</f>
        <v>88066437.56400001</v>
      </c>
      <c r="F11" s="122">
        <f t="shared" si="325"/>
        <v>88066437.56400001</v>
      </c>
      <c r="G11" s="122">
        <f t="shared" si="325"/>
        <v>29733296.954999983</v>
      </c>
      <c r="H11" s="122">
        <f t="shared" si="325"/>
        <v>40446596.954999983</v>
      </c>
      <c r="I11" s="122">
        <f t="shared" si="325"/>
        <v>40446596.954999983</v>
      </c>
      <c r="J11" s="122">
        <f t="shared" si="325"/>
        <v>40446596.954999983</v>
      </c>
      <c r="K11" s="122">
        <f t="shared" si="325"/>
        <v>-17886543.653999984</v>
      </c>
      <c r="L11" s="122">
        <f t="shared" si="325"/>
        <v>-7173243.6539999843</v>
      </c>
      <c r="M11" s="122">
        <f t="shared" si="325"/>
        <v>-7173243.6539999843</v>
      </c>
      <c r="N11" s="122">
        <f t="shared" si="325"/>
        <v>-7173243.6539999843</v>
      </c>
      <c r="O11" s="122">
        <f t="shared" si="325"/>
        <v>-7173243.6539999843</v>
      </c>
      <c r="P11" s="122">
        <f t="shared" si="325"/>
        <v>-7173243.6539999843</v>
      </c>
      <c r="Q11" s="122">
        <f t="shared" si="325"/>
        <v>3540056.3460000157</v>
      </c>
      <c r="R11" s="122">
        <f t="shared" si="325"/>
        <v>50206568.833200097</v>
      </c>
      <c r="S11" s="122">
        <f t="shared" si="325"/>
        <v>50206568.833200097</v>
      </c>
      <c r="T11" s="122">
        <f t="shared" si="325"/>
        <v>50206568.833200097</v>
      </c>
      <c r="U11" s="122">
        <f t="shared" si="325"/>
        <v>50206568.833200097</v>
      </c>
      <c r="V11" s="122">
        <f t="shared" si="325"/>
        <v>466239718.83319998</v>
      </c>
      <c r="W11" s="122">
        <f t="shared" si="325"/>
        <v>769572049.99999988</v>
      </c>
      <c r="X11" s="122">
        <f t="shared" si="325"/>
        <v>769572049.99999988</v>
      </c>
      <c r="Y11" s="122">
        <f t="shared" si="325"/>
        <v>769572049.99999988</v>
      </c>
      <c r="Z11" s="122">
        <f t="shared" si="325"/>
        <v>769572049.99999988</v>
      </c>
      <c r="AA11" s="122">
        <f t="shared" si="325"/>
        <v>769572049.99999988</v>
      </c>
      <c r="AB11" s="122">
        <f t="shared" si="325"/>
        <v>0</v>
      </c>
      <c r="AC11" s="122">
        <f t="shared" si="325"/>
        <v>0</v>
      </c>
      <c r="AD11" s="122">
        <f t="shared" si="325"/>
        <v>0</v>
      </c>
      <c r="AE11" s="122">
        <f t="shared" si="325"/>
        <v>0</v>
      </c>
      <c r="AF11" s="122">
        <f t="shared" si="325"/>
        <v>0</v>
      </c>
      <c r="AG11" s="122">
        <f t="shared" si="325"/>
        <v>0</v>
      </c>
      <c r="AH11" s="122">
        <f t="shared" si="325"/>
        <v>0</v>
      </c>
      <c r="AI11" s="122">
        <f t="shared" si="325"/>
        <v>0</v>
      </c>
      <c r="AJ11" s="122">
        <f t="shared" si="325"/>
        <v>0</v>
      </c>
      <c r="AK11" s="122">
        <f t="shared" si="325"/>
        <v>0</v>
      </c>
      <c r="AL11" s="122">
        <f t="shared" si="325"/>
        <v>0</v>
      </c>
      <c r="AM11" s="122">
        <f t="shared" si="325"/>
        <v>0</v>
      </c>
      <c r="AN11" s="122">
        <f t="shared" si="325"/>
        <v>0</v>
      </c>
      <c r="AO11" s="122">
        <f t="shared" si="325"/>
        <v>0</v>
      </c>
      <c r="AP11" s="122">
        <f t="shared" si="325"/>
        <v>0</v>
      </c>
      <c r="AQ11" s="122">
        <f t="shared" si="325"/>
        <v>0</v>
      </c>
      <c r="AR11" s="122">
        <f t="shared" si="325"/>
        <v>0</v>
      </c>
      <c r="AS11" s="122">
        <f t="shared" si="325"/>
        <v>0</v>
      </c>
      <c r="AT11" s="122">
        <f t="shared" si="325"/>
        <v>0</v>
      </c>
      <c r="AU11" s="122">
        <f t="shared" si="325"/>
        <v>0</v>
      </c>
      <c r="AV11" s="122">
        <f t="shared" si="325"/>
        <v>0</v>
      </c>
      <c r="AW11" s="122">
        <f t="shared" si="325"/>
        <v>0</v>
      </c>
      <c r="AX11" s="122">
        <f t="shared" si="325"/>
        <v>0</v>
      </c>
      <c r="AY11" s="122">
        <f t="shared" si="325"/>
        <v>0</v>
      </c>
      <c r="AZ11" s="122">
        <f t="shared" si="325"/>
        <v>0</v>
      </c>
      <c r="BA11" s="122">
        <f t="shared" si="325"/>
        <v>0</v>
      </c>
      <c r="BB11" s="122">
        <f t="shared" si="325"/>
        <v>0</v>
      </c>
      <c r="BC11" s="122">
        <f t="shared" si="325"/>
        <v>0</v>
      </c>
      <c r="BD11" s="122">
        <f t="shared" si="325"/>
        <v>0</v>
      </c>
      <c r="BE11" s="122">
        <f t="shared" si="325"/>
        <v>0</v>
      </c>
      <c r="BF11" s="122">
        <f t="shared" si="325"/>
        <v>0</v>
      </c>
      <c r="BG11" s="122">
        <f t="shared" si="325"/>
        <v>0</v>
      </c>
      <c r="BH11" s="122">
        <f t="shared" si="325"/>
        <v>0</v>
      </c>
      <c r="BI11" s="122">
        <f t="shared" si="325"/>
        <v>0</v>
      </c>
      <c r="BJ11" s="122">
        <f t="shared" si="325"/>
        <v>0</v>
      </c>
      <c r="BK11" s="122">
        <f t="shared" si="325"/>
        <v>0</v>
      </c>
      <c r="BL11" s="122">
        <f t="shared" si="325"/>
        <v>0</v>
      </c>
      <c r="BM11" s="122">
        <f t="shared" si="325"/>
        <v>0</v>
      </c>
      <c r="BN11" s="122">
        <f t="shared" si="325"/>
        <v>0</v>
      </c>
      <c r="BO11" s="122">
        <f t="shared" si="325"/>
        <v>0</v>
      </c>
      <c r="BP11" s="122">
        <f t="shared" si="325"/>
        <v>0</v>
      </c>
      <c r="BQ11" s="122">
        <f t="shared" ref="BQ11:EB11" si="326">BQ7-BQ9</f>
        <v>0</v>
      </c>
      <c r="BR11" s="122">
        <f t="shared" si="326"/>
        <v>0</v>
      </c>
      <c r="BS11" s="122">
        <f t="shared" si="326"/>
        <v>0</v>
      </c>
      <c r="BT11" s="122">
        <f t="shared" si="326"/>
        <v>0</v>
      </c>
      <c r="BU11" s="122">
        <f t="shared" si="326"/>
        <v>0</v>
      </c>
      <c r="BV11" s="122">
        <f t="shared" si="326"/>
        <v>0</v>
      </c>
      <c r="BW11" s="122">
        <f t="shared" si="326"/>
        <v>0</v>
      </c>
      <c r="BX11" s="122">
        <f t="shared" si="326"/>
        <v>0</v>
      </c>
      <c r="BY11" s="122">
        <f t="shared" si="326"/>
        <v>0</v>
      </c>
      <c r="BZ11" s="122">
        <f t="shared" si="326"/>
        <v>0</v>
      </c>
      <c r="CA11" s="122">
        <f t="shared" si="326"/>
        <v>0</v>
      </c>
      <c r="CB11" s="122">
        <f t="shared" si="326"/>
        <v>0</v>
      </c>
      <c r="CC11" s="122">
        <f t="shared" si="326"/>
        <v>0</v>
      </c>
      <c r="CD11" s="122">
        <f t="shared" si="326"/>
        <v>0</v>
      </c>
      <c r="CE11" s="122">
        <f t="shared" si="326"/>
        <v>0</v>
      </c>
      <c r="CF11" s="122">
        <f t="shared" si="326"/>
        <v>0</v>
      </c>
      <c r="CG11" s="122">
        <f t="shared" si="326"/>
        <v>0</v>
      </c>
      <c r="CH11" s="122">
        <f t="shared" si="326"/>
        <v>0</v>
      </c>
      <c r="CI11" s="122">
        <f t="shared" si="326"/>
        <v>0</v>
      </c>
      <c r="CJ11" s="122">
        <f t="shared" si="326"/>
        <v>0</v>
      </c>
      <c r="CK11" s="122">
        <f t="shared" si="326"/>
        <v>0</v>
      </c>
      <c r="CL11" s="122">
        <f t="shared" si="326"/>
        <v>0</v>
      </c>
      <c r="CM11" s="122">
        <f t="shared" si="326"/>
        <v>0</v>
      </c>
      <c r="CN11" s="122">
        <f t="shared" si="326"/>
        <v>0</v>
      </c>
      <c r="CO11" s="122">
        <f t="shared" si="326"/>
        <v>0</v>
      </c>
      <c r="CP11" s="122">
        <f t="shared" si="326"/>
        <v>0</v>
      </c>
      <c r="CQ11" s="122">
        <f t="shared" si="326"/>
        <v>0</v>
      </c>
      <c r="CR11" s="122">
        <f t="shared" si="326"/>
        <v>0</v>
      </c>
      <c r="CS11" s="122">
        <f t="shared" si="326"/>
        <v>0</v>
      </c>
      <c r="CT11" s="122">
        <f t="shared" si="326"/>
        <v>0</v>
      </c>
      <c r="CU11" s="122">
        <f t="shared" si="326"/>
        <v>0</v>
      </c>
      <c r="CV11" s="122">
        <f t="shared" si="326"/>
        <v>0</v>
      </c>
      <c r="CW11" s="122">
        <f t="shared" si="326"/>
        <v>0</v>
      </c>
      <c r="CX11" s="122">
        <f t="shared" si="326"/>
        <v>0</v>
      </c>
      <c r="CY11" s="122">
        <f t="shared" si="326"/>
        <v>0</v>
      </c>
      <c r="CZ11" s="122">
        <f t="shared" si="326"/>
        <v>0</v>
      </c>
      <c r="DA11" s="122">
        <f t="shared" si="326"/>
        <v>0</v>
      </c>
      <c r="DB11" s="122">
        <f t="shared" si="326"/>
        <v>0</v>
      </c>
      <c r="DC11" s="122">
        <f t="shared" si="326"/>
        <v>0</v>
      </c>
      <c r="DD11" s="122">
        <f t="shared" si="326"/>
        <v>0</v>
      </c>
      <c r="DE11" s="122">
        <f t="shared" si="326"/>
        <v>0</v>
      </c>
      <c r="DF11" s="122">
        <f t="shared" si="326"/>
        <v>0</v>
      </c>
      <c r="DG11" s="122">
        <f t="shared" si="326"/>
        <v>0</v>
      </c>
      <c r="DH11" s="122">
        <f t="shared" si="326"/>
        <v>0</v>
      </c>
      <c r="DI11" s="122">
        <f t="shared" si="326"/>
        <v>0</v>
      </c>
      <c r="DJ11" s="122">
        <f t="shared" si="326"/>
        <v>0</v>
      </c>
      <c r="DK11" s="122">
        <f t="shared" si="326"/>
        <v>0</v>
      </c>
      <c r="DL11" s="122">
        <f t="shared" si="326"/>
        <v>0</v>
      </c>
      <c r="DM11" s="122">
        <f t="shared" si="326"/>
        <v>0</v>
      </c>
      <c r="DN11" s="122">
        <f t="shared" si="326"/>
        <v>0</v>
      </c>
      <c r="DO11" s="122">
        <f t="shared" si="326"/>
        <v>0</v>
      </c>
      <c r="DP11" s="122">
        <f t="shared" si="326"/>
        <v>0</v>
      </c>
      <c r="DQ11" s="122">
        <f t="shared" si="326"/>
        <v>0</v>
      </c>
      <c r="DR11" s="122">
        <f t="shared" si="326"/>
        <v>0</v>
      </c>
      <c r="DS11" s="122">
        <f t="shared" si="326"/>
        <v>0</v>
      </c>
      <c r="DT11" s="122">
        <f t="shared" si="326"/>
        <v>0</v>
      </c>
      <c r="DU11" s="122">
        <f t="shared" si="326"/>
        <v>0</v>
      </c>
      <c r="DV11" s="122">
        <f t="shared" si="326"/>
        <v>0</v>
      </c>
      <c r="DW11" s="122">
        <f t="shared" si="326"/>
        <v>0</v>
      </c>
      <c r="DX11" s="122">
        <f t="shared" si="326"/>
        <v>0</v>
      </c>
      <c r="DY11" s="122">
        <f t="shared" si="326"/>
        <v>0</v>
      </c>
      <c r="DZ11" s="122">
        <f t="shared" si="326"/>
        <v>0</v>
      </c>
      <c r="EA11" s="122">
        <f t="shared" si="326"/>
        <v>0</v>
      </c>
      <c r="EB11" s="122">
        <f t="shared" si="326"/>
        <v>0</v>
      </c>
      <c r="EC11" s="122">
        <f t="shared" ref="EC11:GN11" si="327">EC7-EC9</f>
        <v>0</v>
      </c>
      <c r="ED11" s="122">
        <f t="shared" si="327"/>
        <v>0</v>
      </c>
      <c r="EE11" s="122">
        <f t="shared" si="327"/>
        <v>0</v>
      </c>
      <c r="EF11" s="122">
        <f t="shared" si="327"/>
        <v>0</v>
      </c>
      <c r="EG11" s="122">
        <f t="shared" si="327"/>
        <v>0</v>
      </c>
      <c r="EH11" s="122">
        <f t="shared" si="327"/>
        <v>0</v>
      </c>
      <c r="EI11" s="122">
        <f t="shared" si="327"/>
        <v>0</v>
      </c>
      <c r="EJ11" s="122">
        <f t="shared" si="327"/>
        <v>0</v>
      </c>
      <c r="EK11" s="122">
        <f t="shared" si="327"/>
        <v>0</v>
      </c>
      <c r="EL11" s="122">
        <f t="shared" si="327"/>
        <v>0</v>
      </c>
      <c r="EM11" s="122">
        <f t="shared" si="327"/>
        <v>0</v>
      </c>
      <c r="EN11" s="122">
        <f t="shared" si="327"/>
        <v>0</v>
      </c>
      <c r="EO11" s="122">
        <f t="shared" si="327"/>
        <v>0</v>
      </c>
      <c r="EP11" s="122">
        <f t="shared" si="327"/>
        <v>0</v>
      </c>
      <c r="EQ11" s="122">
        <f t="shared" si="327"/>
        <v>0</v>
      </c>
      <c r="ER11" s="122">
        <f t="shared" si="327"/>
        <v>0</v>
      </c>
      <c r="ES11" s="122">
        <f t="shared" si="327"/>
        <v>0</v>
      </c>
      <c r="ET11" s="122">
        <f t="shared" si="327"/>
        <v>0</v>
      </c>
      <c r="EU11" s="122">
        <f t="shared" si="327"/>
        <v>0</v>
      </c>
      <c r="EV11" s="122">
        <f t="shared" si="327"/>
        <v>0</v>
      </c>
      <c r="EW11" s="122">
        <f t="shared" si="327"/>
        <v>0</v>
      </c>
      <c r="EX11" s="122">
        <f t="shared" si="327"/>
        <v>0</v>
      </c>
      <c r="EY11" s="122">
        <f t="shared" si="327"/>
        <v>0</v>
      </c>
      <c r="EZ11" s="122">
        <f t="shared" si="327"/>
        <v>0</v>
      </c>
      <c r="FA11" s="122">
        <f t="shared" si="327"/>
        <v>0</v>
      </c>
      <c r="FB11" s="122">
        <f t="shared" si="327"/>
        <v>0</v>
      </c>
      <c r="FC11" s="122">
        <f t="shared" si="327"/>
        <v>0</v>
      </c>
      <c r="FD11" s="122">
        <f t="shared" si="327"/>
        <v>0</v>
      </c>
      <c r="FE11" s="122">
        <f t="shared" si="327"/>
        <v>0</v>
      </c>
      <c r="FF11" s="122">
        <f t="shared" si="327"/>
        <v>0</v>
      </c>
      <c r="FG11" s="122">
        <f t="shared" si="327"/>
        <v>0</v>
      </c>
      <c r="FH11" s="122">
        <f t="shared" si="327"/>
        <v>0</v>
      </c>
      <c r="FI11" s="122">
        <f t="shared" si="327"/>
        <v>0</v>
      </c>
      <c r="FJ11" s="122">
        <f t="shared" si="327"/>
        <v>0</v>
      </c>
      <c r="FK11" s="122">
        <f t="shared" si="327"/>
        <v>0</v>
      </c>
      <c r="FL11" s="122">
        <f t="shared" si="327"/>
        <v>0</v>
      </c>
      <c r="FM11" s="122">
        <f t="shared" si="327"/>
        <v>0</v>
      </c>
      <c r="FN11" s="122">
        <f t="shared" si="327"/>
        <v>0</v>
      </c>
      <c r="FO11" s="122">
        <f t="shared" si="327"/>
        <v>0</v>
      </c>
      <c r="FP11" s="122">
        <f t="shared" si="327"/>
        <v>0</v>
      </c>
      <c r="FQ11" s="122">
        <f t="shared" si="327"/>
        <v>0</v>
      </c>
      <c r="FR11" s="122">
        <f t="shared" si="327"/>
        <v>0</v>
      </c>
      <c r="FS11" s="122">
        <f t="shared" si="327"/>
        <v>0</v>
      </c>
      <c r="FT11" s="122">
        <f t="shared" si="327"/>
        <v>0</v>
      </c>
      <c r="FU11" s="122">
        <f t="shared" si="327"/>
        <v>0</v>
      </c>
      <c r="FV11" s="122">
        <f t="shared" si="327"/>
        <v>0</v>
      </c>
      <c r="FW11" s="122">
        <f t="shared" si="327"/>
        <v>0</v>
      </c>
      <c r="FX11" s="122">
        <f t="shared" si="327"/>
        <v>0</v>
      </c>
      <c r="FY11" s="122">
        <f t="shared" si="327"/>
        <v>0</v>
      </c>
      <c r="FZ11" s="122">
        <f t="shared" si="327"/>
        <v>0</v>
      </c>
      <c r="GA11" s="122">
        <f t="shared" si="327"/>
        <v>0</v>
      </c>
      <c r="GB11" s="122">
        <f t="shared" si="327"/>
        <v>0</v>
      </c>
      <c r="GC11" s="122">
        <f t="shared" si="327"/>
        <v>0</v>
      </c>
      <c r="GD11" s="122">
        <f t="shared" si="327"/>
        <v>0</v>
      </c>
      <c r="GE11" s="122">
        <f t="shared" si="327"/>
        <v>0</v>
      </c>
      <c r="GF11" s="122">
        <f t="shared" si="327"/>
        <v>0</v>
      </c>
      <c r="GG11" s="122">
        <f t="shared" si="327"/>
        <v>0</v>
      </c>
      <c r="GH11" s="122">
        <f t="shared" si="327"/>
        <v>0</v>
      </c>
      <c r="GI11" s="122">
        <f t="shared" si="327"/>
        <v>0</v>
      </c>
      <c r="GJ11" s="122">
        <f t="shared" si="327"/>
        <v>0</v>
      </c>
      <c r="GK11" s="122">
        <f t="shared" si="327"/>
        <v>0</v>
      </c>
      <c r="GL11" s="122">
        <f t="shared" si="327"/>
        <v>0</v>
      </c>
      <c r="GM11" s="122">
        <f t="shared" si="327"/>
        <v>0</v>
      </c>
      <c r="GN11" s="122">
        <f t="shared" si="327"/>
        <v>0</v>
      </c>
      <c r="GO11" s="122">
        <f t="shared" ref="GO11:IZ11" si="328">GO7-GO9</f>
        <v>0</v>
      </c>
      <c r="GP11" s="122">
        <f t="shared" si="328"/>
        <v>0</v>
      </c>
      <c r="GQ11" s="122">
        <f t="shared" si="328"/>
        <v>0</v>
      </c>
      <c r="GR11" s="122">
        <f t="shared" si="328"/>
        <v>0</v>
      </c>
      <c r="GS11" s="122">
        <f t="shared" si="328"/>
        <v>0</v>
      </c>
      <c r="GT11" s="122">
        <f t="shared" si="328"/>
        <v>0</v>
      </c>
      <c r="GU11" s="122">
        <f t="shared" si="328"/>
        <v>0</v>
      </c>
      <c r="GV11" s="122">
        <f t="shared" si="328"/>
        <v>0</v>
      </c>
      <c r="GW11" s="122">
        <f t="shared" si="328"/>
        <v>0</v>
      </c>
      <c r="GX11" s="122">
        <f t="shared" si="328"/>
        <v>0</v>
      </c>
      <c r="GY11" s="122">
        <f t="shared" si="328"/>
        <v>0</v>
      </c>
      <c r="GZ11" s="122">
        <f t="shared" si="328"/>
        <v>0</v>
      </c>
      <c r="HA11" s="122">
        <f t="shared" si="328"/>
        <v>0</v>
      </c>
      <c r="HB11" s="122">
        <f t="shared" si="328"/>
        <v>0</v>
      </c>
      <c r="HC11" s="122">
        <f t="shared" si="328"/>
        <v>0</v>
      </c>
      <c r="HD11" s="122">
        <f t="shared" si="328"/>
        <v>0</v>
      </c>
      <c r="HE11" s="122">
        <f t="shared" si="328"/>
        <v>0</v>
      </c>
      <c r="HF11" s="122">
        <f t="shared" si="328"/>
        <v>0</v>
      </c>
      <c r="HG11" s="122">
        <f t="shared" si="328"/>
        <v>0</v>
      </c>
      <c r="HH11" s="122">
        <f t="shared" si="328"/>
        <v>0</v>
      </c>
      <c r="HI11" s="122">
        <f t="shared" si="328"/>
        <v>0</v>
      </c>
      <c r="HJ11" s="122">
        <f t="shared" si="328"/>
        <v>0</v>
      </c>
      <c r="HK11" s="122">
        <f t="shared" si="328"/>
        <v>0</v>
      </c>
      <c r="HL11" s="122">
        <f t="shared" si="328"/>
        <v>0</v>
      </c>
      <c r="HM11" s="122">
        <f t="shared" si="328"/>
        <v>0</v>
      </c>
      <c r="HN11" s="122">
        <f t="shared" si="328"/>
        <v>0</v>
      </c>
      <c r="HO11" s="122">
        <f t="shared" si="328"/>
        <v>0</v>
      </c>
      <c r="HP11" s="122">
        <f t="shared" si="328"/>
        <v>0</v>
      </c>
      <c r="HQ11" s="122">
        <f t="shared" si="328"/>
        <v>0</v>
      </c>
      <c r="HR11" s="122">
        <f t="shared" si="328"/>
        <v>0</v>
      </c>
      <c r="HS11" s="122">
        <f t="shared" si="328"/>
        <v>0</v>
      </c>
      <c r="HT11" s="122">
        <f t="shared" si="328"/>
        <v>0</v>
      </c>
      <c r="HU11" s="122">
        <f t="shared" si="328"/>
        <v>0</v>
      </c>
      <c r="HV11" s="122">
        <f t="shared" si="328"/>
        <v>0</v>
      </c>
      <c r="HW11" s="122">
        <f t="shared" si="328"/>
        <v>0</v>
      </c>
      <c r="HX11" s="122">
        <f t="shared" si="328"/>
        <v>0</v>
      </c>
      <c r="HY11" s="122">
        <f t="shared" si="328"/>
        <v>0</v>
      </c>
      <c r="HZ11" s="122">
        <f t="shared" si="328"/>
        <v>0</v>
      </c>
      <c r="IA11" s="122">
        <f t="shared" si="328"/>
        <v>0</v>
      </c>
      <c r="IB11" s="122">
        <f t="shared" si="328"/>
        <v>0</v>
      </c>
      <c r="IC11" s="122">
        <f t="shared" si="328"/>
        <v>0</v>
      </c>
      <c r="ID11" s="122">
        <f t="shared" si="328"/>
        <v>0</v>
      </c>
      <c r="IE11" s="122">
        <f t="shared" si="328"/>
        <v>0</v>
      </c>
      <c r="IF11" s="122">
        <f t="shared" si="328"/>
        <v>0</v>
      </c>
      <c r="IG11" s="122">
        <f t="shared" si="328"/>
        <v>0</v>
      </c>
      <c r="IH11" s="122">
        <f t="shared" si="328"/>
        <v>0</v>
      </c>
      <c r="II11" s="122">
        <f t="shared" si="328"/>
        <v>0</v>
      </c>
      <c r="IJ11" s="122">
        <f t="shared" si="328"/>
        <v>0</v>
      </c>
      <c r="IK11" s="122">
        <f t="shared" si="328"/>
        <v>0</v>
      </c>
      <c r="IL11" s="122">
        <f t="shared" si="328"/>
        <v>0</v>
      </c>
      <c r="IM11" s="122">
        <f t="shared" si="328"/>
        <v>0</v>
      </c>
      <c r="IN11" s="122">
        <f t="shared" si="328"/>
        <v>0</v>
      </c>
      <c r="IO11" s="122">
        <f t="shared" si="328"/>
        <v>0</v>
      </c>
      <c r="IP11" s="122">
        <f t="shared" si="328"/>
        <v>0</v>
      </c>
      <c r="IQ11" s="122">
        <f t="shared" si="328"/>
        <v>0</v>
      </c>
      <c r="IR11" s="122">
        <f t="shared" si="328"/>
        <v>0</v>
      </c>
      <c r="IS11" s="122">
        <f t="shared" si="328"/>
        <v>0</v>
      </c>
      <c r="IT11" s="122">
        <f t="shared" si="328"/>
        <v>0</v>
      </c>
      <c r="IU11" s="122">
        <f t="shared" si="328"/>
        <v>0</v>
      </c>
      <c r="IV11" s="122">
        <f t="shared" si="328"/>
        <v>0</v>
      </c>
      <c r="IW11" s="122">
        <f t="shared" si="328"/>
        <v>0</v>
      </c>
      <c r="IX11" s="122">
        <f t="shared" si="328"/>
        <v>0</v>
      </c>
      <c r="IY11" s="122">
        <f t="shared" si="328"/>
        <v>0</v>
      </c>
      <c r="IZ11" s="122">
        <f t="shared" si="328"/>
        <v>0</v>
      </c>
      <c r="JA11" s="122">
        <f t="shared" ref="JA11:KQ11" si="329">JA7-JA9</f>
        <v>0</v>
      </c>
      <c r="JB11" s="122">
        <f t="shared" si="329"/>
        <v>0</v>
      </c>
      <c r="JC11" s="122">
        <f t="shared" si="329"/>
        <v>0</v>
      </c>
      <c r="JD11" s="122">
        <f t="shared" si="329"/>
        <v>0</v>
      </c>
      <c r="JE11" s="122">
        <f t="shared" si="329"/>
        <v>0</v>
      </c>
      <c r="JF11" s="122">
        <f t="shared" si="329"/>
        <v>0</v>
      </c>
      <c r="JG11" s="122">
        <f t="shared" si="329"/>
        <v>0</v>
      </c>
      <c r="JH11" s="122">
        <f t="shared" si="329"/>
        <v>0</v>
      </c>
      <c r="JI11" s="122">
        <f t="shared" si="329"/>
        <v>0</v>
      </c>
      <c r="JJ11" s="122">
        <f t="shared" si="329"/>
        <v>0</v>
      </c>
      <c r="JK11" s="122">
        <f t="shared" si="329"/>
        <v>0</v>
      </c>
      <c r="JL11" s="122">
        <f t="shared" si="329"/>
        <v>0</v>
      </c>
      <c r="JM11" s="122">
        <f t="shared" si="329"/>
        <v>0</v>
      </c>
      <c r="JN11" s="122">
        <f t="shared" si="329"/>
        <v>0</v>
      </c>
      <c r="JO11" s="122">
        <f t="shared" si="329"/>
        <v>0</v>
      </c>
      <c r="JP11" s="122">
        <f t="shared" si="329"/>
        <v>0</v>
      </c>
      <c r="JQ11" s="122">
        <f t="shared" si="329"/>
        <v>0</v>
      </c>
      <c r="JR11" s="122">
        <f t="shared" si="329"/>
        <v>0</v>
      </c>
      <c r="JS11" s="122">
        <f t="shared" si="329"/>
        <v>0</v>
      </c>
      <c r="JT11" s="122">
        <f t="shared" si="329"/>
        <v>0</v>
      </c>
      <c r="JU11" s="122">
        <f t="shared" si="329"/>
        <v>0</v>
      </c>
      <c r="JV11" s="122">
        <f t="shared" si="329"/>
        <v>0</v>
      </c>
      <c r="JW11" s="122">
        <f t="shared" si="329"/>
        <v>0</v>
      </c>
      <c r="JX11" s="122">
        <f t="shared" si="329"/>
        <v>0</v>
      </c>
      <c r="JY11" s="122">
        <f t="shared" si="329"/>
        <v>0</v>
      </c>
      <c r="JZ11" s="122">
        <f t="shared" si="329"/>
        <v>0</v>
      </c>
      <c r="KA11" s="122">
        <f t="shared" si="329"/>
        <v>0</v>
      </c>
      <c r="KB11" s="122">
        <f t="shared" si="329"/>
        <v>0</v>
      </c>
      <c r="KC11" s="122">
        <f t="shared" si="329"/>
        <v>0</v>
      </c>
      <c r="KD11" s="122">
        <f t="shared" si="329"/>
        <v>0</v>
      </c>
      <c r="KE11" s="122">
        <f t="shared" si="329"/>
        <v>0</v>
      </c>
      <c r="KF11" s="122">
        <f t="shared" si="329"/>
        <v>0</v>
      </c>
      <c r="KG11" s="122">
        <f t="shared" si="329"/>
        <v>0</v>
      </c>
      <c r="KH11" s="122">
        <f t="shared" si="329"/>
        <v>0</v>
      </c>
      <c r="KI11" s="122">
        <f t="shared" si="329"/>
        <v>0</v>
      </c>
      <c r="KJ11" s="122">
        <f t="shared" si="329"/>
        <v>0</v>
      </c>
      <c r="KK11" s="122">
        <f t="shared" si="329"/>
        <v>0</v>
      </c>
      <c r="KL11" s="122">
        <f t="shared" si="329"/>
        <v>0</v>
      </c>
      <c r="KM11" s="122">
        <f t="shared" si="329"/>
        <v>0</v>
      </c>
      <c r="KN11" s="122">
        <f t="shared" si="329"/>
        <v>0</v>
      </c>
      <c r="KO11" s="122">
        <f t="shared" si="329"/>
        <v>0</v>
      </c>
      <c r="KP11" s="122">
        <f t="shared" si="329"/>
        <v>0</v>
      </c>
      <c r="KQ11" s="122">
        <f t="shared" si="329"/>
        <v>0</v>
      </c>
    </row>
    <row r="12" spans="2:303" x14ac:dyDescent="0.35">
      <c r="B12" s="126" t="s">
        <v>109</v>
      </c>
      <c r="C12" s="123">
        <f t="shared" si="20"/>
        <v>687711458.89655018</v>
      </c>
      <c r="D12" s="128" cm="1">
        <f t="array" ref="D12">TRANSPOSE(SUMIFS(Графики!$I$7:$I$306,Графики!$D$7:$D$306,DCF!D$6))</f>
        <v>0</v>
      </c>
      <c r="E12" s="128" cm="1">
        <f t="array" ref="E12">TRANSPOSE(SUMIFS(Графики!$I$7:$I$306,Графики!$D$7:$D$306,DCF!E$6))</f>
        <v>0</v>
      </c>
      <c r="F12" s="128" cm="1">
        <f t="array" ref="F12">TRANSPOSE(SUMIFS(Графики!$I$7:$I$306,Графики!$D$7:$D$306,DCF!F$6))</f>
        <v>0</v>
      </c>
      <c r="G12" s="128" cm="1">
        <f t="array" ref="G12">TRANSPOSE(SUMIFS(Графики!$I$7:$I$306,Графики!$D$7:$D$306,DCF!G$6))</f>
        <v>0</v>
      </c>
      <c r="H12" s="128" cm="1">
        <f t="array" ref="H12">TRANSPOSE(SUMIFS(Графики!$I$7:$I$306,Графики!$D$7:$D$306,DCF!H$6))</f>
        <v>34385572.944827512</v>
      </c>
      <c r="I12" s="128" cm="1">
        <f t="array" ref="I12">TRANSPOSE(SUMIFS(Графики!$I$7:$I$306,Графики!$D$7:$D$306,DCF!I$6))</f>
        <v>0</v>
      </c>
      <c r="J12" s="128" cm="1">
        <f t="array" ref="J12">TRANSPOSE(SUMIFS(Графики!$I$7:$I$306,Графики!$D$7:$D$306,DCF!J$6))</f>
        <v>0</v>
      </c>
      <c r="K12" s="128" cm="1">
        <f t="array" ref="K12">TRANSPOSE(SUMIFS(Графики!$I$7:$I$306,Графики!$D$7:$D$306,DCF!K$6))</f>
        <v>34385572.944827512</v>
      </c>
      <c r="L12" s="128" cm="1">
        <f t="array" ref="L12">TRANSPOSE(SUMIFS(Графики!$I$7:$I$306,Графики!$D$7:$D$306,DCF!L$6))</f>
        <v>0</v>
      </c>
      <c r="M12" s="128" cm="1">
        <f t="array" ref="M12">TRANSPOSE(SUMIFS(Графики!$I$7:$I$306,Графики!$D$7:$D$306,DCF!M$6))</f>
        <v>0</v>
      </c>
      <c r="N12" s="128" cm="1">
        <f t="array" ref="N12">TRANSPOSE(SUMIFS(Графики!$I$7:$I$306,Графики!$D$7:$D$306,DCF!N$6))</f>
        <v>34385572.944827512</v>
      </c>
      <c r="O12" s="128" cm="1">
        <f t="array" ref="O12">TRANSPOSE(SUMIFS(Графики!$I$7:$I$306,Графики!$D$7:$D$306,DCF!O$6))</f>
        <v>0</v>
      </c>
      <c r="P12" s="128" cm="1">
        <f t="array" ref="P12">TRANSPOSE(SUMIFS(Графики!$I$7:$I$306,Графики!$D$7:$D$306,DCF!P$6))</f>
        <v>0</v>
      </c>
      <c r="Q12" s="128" cm="1">
        <f t="array" ref="Q12">TRANSPOSE(SUMIFS(Графики!$I$7:$I$306,Графики!$D$7:$D$306,DCF!Q$6))</f>
        <v>34385572.944827512</v>
      </c>
      <c r="R12" s="128" cm="1">
        <f t="array" ref="R12">TRANSPOSE(SUMIFS(Графики!$I$7:$I$306,Графики!$D$7:$D$306,DCF!R$6))</f>
        <v>0</v>
      </c>
      <c r="S12" s="128" cm="1">
        <f t="array" ref="S12">TRANSPOSE(SUMIFS(Графики!$I$7:$I$306,Графики!$D$7:$D$306,DCF!S$6))</f>
        <v>0</v>
      </c>
      <c r="T12" s="128" cm="1">
        <f t="array" ref="T12">TRANSPOSE(SUMIFS(Графики!$I$7:$I$306,Графики!$D$7:$D$306,DCF!T$6))</f>
        <v>34385572.944827512</v>
      </c>
      <c r="U12" s="128" cm="1">
        <f t="array" ref="U12">TRANSPOSE(SUMIFS(Графики!$I$7:$I$306,Графики!$D$7:$D$306,DCF!U$6))</f>
        <v>0</v>
      </c>
      <c r="V12" s="128" cm="1">
        <f t="array" ref="V12">TRANSPOSE(SUMIFS(Графики!$I$7:$I$306,Графики!$D$7:$D$306,DCF!V$6))</f>
        <v>0</v>
      </c>
      <c r="W12" s="128" cm="1">
        <f t="array" ref="W12">TRANSPOSE(SUMIFS(Графики!$I$7:$I$306,Графики!$D$7:$D$306,DCF!W$6))</f>
        <v>515783594.17241263</v>
      </c>
      <c r="X12" s="128" cm="1">
        <f t="array" ref="X12">TRANSPOSE(SUMIFS(Графики!$I$7:$I$306,Графики!$D$7:$D$306,DCF!X$6))</f>
        <v>0</v>
      </c>
      <c r="Y12" s="128" cm="1">
        <f t="array" ref="Y12">TRANSPOSE(SUMIFS(Графики!$I$7:$I$306,Графики!$D$7:$D$306,DCF!Y$6))</f>
        <v>0</v>
      </c>
      <c r="Z12" s="128" cm="1">
        <f t="array" ref="Z12">TRANSPOSE(SUMIFS(Графики!$I$7:$I$306,Графики!$D$7:$D$306,DCF!Z$6))</f>
        <v>0</v>
      </c>
      <c r="AA12" s="128" cm="1">
        <f t="array" ref="AA12">TRANSPOSE(SUMIFS(Графики!$I$7:$I$306,Графики!$D$7:$D$306,DCF!AA$6))</f>
        <v>0</v>
      </c>
      <c r="AB12" s="128" cm="1">
        <f t="array" ref="AB12">TRANSPOSE(SUMIFS(Графики!$I$7:$I$306,Графики!$D$7:$D$306,DCF!AB$6))</f>
        <v>0</v>
      </c>
      <c r="AC12" s="128" cm="1">
        <f t="array" ref="AC12">TRANSPOSE(SUMIFS(Графики!$I$7:$I$306,Графики!$D$7:$D$306,DCF!AC$6))</f>
        <v>0</v>
      </c>
      <c r="AD12" s="128" cm="1">
        <f t="array" ref="AD12">TRANSPOSE(SUMIFS(Графики!$I$7:$I$306,Графики!$D$7:$D$306,DCF!AD$6))</f>
        <v>0</v>
      </c>
      <c r="AE12" s="128" cm="1">
        <f t="array" ref="AE12">TRANSPOSE(SUMIFS(Графики!$I$7:$I$306,Графики!$D$7:$D$306,DCF!AE$6))</f>
        <v>0</v>
      </c>
      <c r="AF12" s="128" cm="1">
        <f t="array" ref="AF12">TRANSPOSE(SUMIFS(Графики!$I$7:$I$306,Графики!$D$7:$D$306,DCF!AF$6))</f>
        <v>0</v>
      </c>
      <c r="AG12" s="128" cm="1">
        <f t="array" ref="AG12">TRANSPOSE(SUMIFS(Графики!$I$7:$I$306,Графики!$D$7:$D$306,DCF!AG$6))</f>
        <v>0</v>
      </c>
      <c r="AH12" s="128" cm="1">
        <f t="array" ref="AH12">TRANSPOSE(SUMIFS(Графики!$I$7:$I$306,Графики!$D$7:$D$306,DCF!AH$6))</f>
        <v>0</v>
      </c>
      <c r="AI12" s="128" cm="1">
        <f t="array" ref="AI12">TRANSPOSE(SUMIFS(Графики!$I$7:$I$306,Графики!$D$7:$D$306,DCF!AI$6))</f>
        <v>0</v>
      </c>
      <c r="AJ12" s="128" cm="1">
        <f t="array" ref="AJ12">TRANSPOSE(SUMIFS(Графики!$I$7:$I$306,Графики!$D$7:$D$306,DCF!AJ$6))</f>
        <v>0</v>
      </c>
      <c r="AK12" s="128" cm="1">
        <f t="array" ref="AK12">TRANSPOSE(SUMIFS(Графики!$I$7:$I$306,Графики!$D$7:$D$306,DCF!AK$6))</f>
        <v>0</v>
      </c>
      <c r="AL12" s="128" cm="1">
        <f t="array" ref="AL12">TRANSPOSE(SUMIFS(Графики!$I$7:$I$306,Графики!$D$7:$D$306,DCF!AL$6))</f>
        <v>0</v>
      </c>
      <c r="AM12" s="128" cm="1">
        <f t="array" ref="AM12">TRANSPOSE(SUMIFS(Графики!$I$7:$I$306,Графики!$D$7:$D$306,DCF!AM$6))</f>
        <v>0</v>
      </c>
      <c r="AN12" s="128" cm="1">
        <f t="array" ref="AN12">TRANSPOSE(SUMIFS(Графики!$I$7:$I$306,Графики!$D$7:$D$306,DCF!AN$6))</f>
        <v>0</v>
      </c>
      <c r="AO12" s="128" cm="1">
        <f t="array" ref="AO12">TRANSPOSE(SUMIFS(Графики!$I$7:$I$306,Графики!$D$7:$D$306,DCF!AO$6))</f>
        <v>0</v>
      </c>
      <c r="AP12" s="128" cm="1">
        <f t="array" ref="AP12">TRANSPOSE(SUMIFS(Графики!$I$7:$I$306,Графики!$D$7:$D$306,DCF!AP$6))</f>
        <v>0</v>
      </c>
      <c r="AQ12" s="128" cm="1">
        <f t="array" ref="AQ12">TRANSPOSE(SUMIFS(Графики!$I$7:$I$306,Графики!$D$7:$D$306,DCF!AQ$6))</f>
        <v>0</v>
      </c>
      <c r="AR12" s="128" cm="1">
        <f t="array" ref="AR12">TRANSPOSE(SUMIFS(Графики!$I$7:$I$306,Графики!$D$7:$D$306,DCF!AR$6))</f>
        <v>0</v>
      </c>
      <c r="AS12" s="128" cm="1">
        <f t="array" ref="AS12">TRANSPOSE(SUMIFS(Графики!$I$7:$I$306,Графики!$D$7:$D$306,DCF!AS$6))</f>
        <v>0</v>
      </c>
      <c r="AT12" s="128" cm="1">
        <f t="array" ref="AT12">TRANSPOSE(SUMIFS(Графики!$I$7:$I$306,Графики!$D$7:$D$306,DCF!AT$6))</f>
        <v>0</v>
      </c>
      <c r="AU12" s="128" cm="1">
        <f t="array" ref="AU12">TRANSPOSE(SUMIFS(Графики!$I$7:$I$306,Графики!$D$7:$D$306,DCF!AU$6))</f>
        <v>0</v>
      </c>
      <c r="AV12" s="128" cm="1">
        <f t="array" ref="AV12">TRANSPOSE(SUMIFS(Графики!$I$7:$I$306,Графики!$D$7:$D$306,DCF!AV$6))</f>
        <v>0</v>
      </c>
      <c r="AW12" s="128" cm="1">
        <f t="array" ref="AW12">TRANSPOSE(SUMIFS(Графики!$I$7:$I$306,Графики!$D$7:$D$306,DCF!AW$6))</f>
        <v>0</v>
      </c>
      <c r="AX12" s="128" cm="1">
        <f t="array" ref="AX12">TRANSPOSE(SUMIFS(Графики!$I$7:$I$306,Графики!$D$7:$D$306,DCF!AX$6))</f>
        <v>0</v>
      </c>
      <c r="AY12" s="128" cm="1">
        <f t="array" ref="AY12">TRANSPOSE(SUMIFS(Графики!$I$7:$I$306,Графики!$D$7:$D$306,DCF!AY$6))</f>
        <v>0</v>
      </c>
      <c r="AZ12" s="128" cm="1">
        <f t="array" ref="AZ12">TRANSPOSE(SUMIFS(Графики!$I$7:$I$306,Графики!$D$7:$D$306,DCF!AZ$6))</f>
        <v>0</v>
      </c>
      <c r="BA12" s="128" cm="1">
        <f t="array" ref="BA12">TRANSPOSE(SUMIFS(Графики!$I$7:$I$306,Графики!$D$7:$D$306,DCF!BA$6))</f>
        <v>0</v>
      </c>
      <c r="BB12" s="128" cm="1">
        <f t="array" ref="BB12">TRANSPOSE(SUMIFS(Графики!$I$7:$I$306,Графики!$D$7:$D$306,DCF!BB$6))</f>
        <v>0</v>
      </c>
      <c r="BC12" s="128" cm="1">
        <f t="array" ref="BC12">TRANSPOSE(SUMIFS(Графики!$I$7:$I$306,Графики!$D$7:$D$306,DCF!BC$6))</f>
        <v>0</v>
      </c>
      <c r="BD12" s="128" cm="1">
        <f t="array" ref="BD12">TRANSPOSE(SUMIFS(Графики!$I$7:$I$306,Графики!$D$7:$D$306,DCF!BD$6))</f>
        <v>0</v>
      </c>
      <c r="BE12" s="128" cm="1">
        <f t="array" ref="BE12">TRANSPOSE(SUMIFS(Графики!$I$7:$I$306,Графики!$D$7:$D$306,DCF!BE$6))</f>
        <v>0</v>
      </c>
      <c r="BF12" s="128" cm="1">
        <f t="array" ref="BF12">TRANSPOSE(SUMIFS(Графики!$I$7:$I$306,Графики!$D$7:$D$306,DCF!BF$6))</f>
        <v>0</v>
      </c>
      <c r="BG12" s="128" cm="1">
        <f t="array" ref="BG12">TRANSPOSE(SUMIFS(Графики!$I$7:$I$306,Графики!$D$7:$D$306,DCF!BG$6))</f>
        <v>0</v>
      </c>
      <c r="BH12" s="128" cm="1">
        <f t="array" ref="BH12">TRANSPOSE(SUMIFS(Графики!$I$7:$I$306,Графики!$D$7:$D$306,DCF!BH$6))</f>
        <v>0</v>
      </c>
      <c r="BI12" s="128" cm="1">
        <f t="array" ref="BI12">TRANSPOSE(SUMIFS(Графики!$I$7:$I$306,Графики!$D$7:$D$306,DCF!BI$6))</f>
        <v>0</v>
      </c>
      <c r="BJ12" s="128" cm="1">
        <f t="array" ref="BJ12">TRANSPOSE(SUMIFS(Графики!$I$7:$I$306,Графики!$D$7:$D$306,DCF!BJ$6))</f>
        <v>0</v>
      </c>
      <c r="BK12" s="128" cm="1">
        <f t="array" ref="BK12">TRANSPOSE(SUMIFS(Графики!$I$7:$I$306,Графики!$D$7:$D$306,DCF!BK$6))</f>
        <v>0</v>
      </c>
      <c r="BL12" s="128" cm="1">
        <f t="array" ref="BL12">TRANSPOSE(SUMIFS(Графики!$I$7:$I$306,Графики!$D$7:$D$306,DCF!BL$6))</f>
        <v>0</v>
      </c>
      <c r="BM12" s="128" cm="1">
        <f t="array" ref="BM12">TRANSPOSE(SUMIFS(Графики!$I$7:$I$306,Графики!$D$7:$D$306,DCF!BM$6))</f>
        <v>0</v>
      </c>
      <c r="BN12" s="128" cm="1">
        <f t="array" ref="BN12">TRANSPOSE(SUMIFS(Графики!$I$7:$I$306,Графики!$D$7:$D$306,DCF!BN$6))</f>
        <v>0</v>
      </c>
      <c r="BO12" s="128" cm="1">
        <f t="array" ref="BO12">TRANSPOSE(SUMIFS(Графики!$I$7:$I$306,Графики!$D$7:$D$306,DCF!BO$6))</f>
        <v>0</v>
      </c>
      <c r="BP12" s="128" cm="1">
        <f t="array" ref="BP12">TRANSPOSE(SUMIFS(Графики!$I$7:$I$306,Графики!$D$7:$D$306,DCF!BP$6))</f>
        <v>0</v>
      </c>
      <c r="BQ12" s="128" cm="1">
        <f t="array" ref="BQ12">TRANSPOSE(SUMIFS(Графики!$I$7:$I$306,Графики!$D$7:$D$306,DCF!BQ$6))</f>
        <v>0</v>
      </c>
      <c r="BR12" s="128" cm="1">
        <f t="array" ref="BR12">TRANSPOSE(SUMIFS(Графики!$I$7:$I$306,Графики!$D$7:$D$306,DCF!BR$6))</f>
        <v>0</v>
      </c>
      <c r="BS12" s="128" cm="1">
        <f t="array" ref="BS12">TRANSPOSE(SUMIFS(Графики!$I$7:$I$306,Графики!$D$7:$D$306,DCF!BS$6))</f>
        <v>0</v>
      </c>
      <c r="BT12" s="128" cm="1">
        <f t="array" ref="BT12">TRANSPOSE(SUMIFS(Графики!$I$7:$I$306,Графики!$D$7:$D$306,DCF!BT$6))</f>
        <v>0</v>
      </c>
      <c r="BU12" s="128" cm="1">
        <f t="array" ref="BU12">TRANSPOSE(SUMIFS(Графики!$I$7:$I$306,Графики!$D$7:$D$306,DCF!BU$6))</f>
        <v>0</v>
      </c>
      <c r="BV12" s="128" cm="1">
        <f t="array" ref="BV12">TRANSPOSE(SUMIFS(Графики!$I$7:$I$306,Графики!$D$7:$D$306,DCF!BV$6))</f>
        <v>0</v>
      </c>
      <c r="BW12" s="128" cm="1">
        <f t="array" ref="BW12">TRANSPOSE(SUMIFS(Графики!$I$7:$I$306,Графики!$D$7:$D$306,DCF!BW$6))</f>
        <v>0</v>
      </c>
      <c r="BX12" s="128" cm="1">
        <f t="array" ref="BX12">TRANSPOSE(SUMIFS(Графики!$I$7:$I$306,Графики!$D$7:$D$306,DCF!BX$6))</f>
        <v>0</v>
      </c>
      <c r="BY12" s="128" cm="1">
        <f t="array" ref="BY12">TRANSPOSE(SUMIFS(Графики!$I$7:$I$306,Графики!$D$7:$D$306,DCF!BY$6))</f>
        <v>0</v>
      </c>
      <c r="BZ12" s="128" cm="1">
        <f t="array" ref="BZ12">TRANSPOSE(SUMIFS(Графики!$I$7:$I$306,Графики!$D$7:$D$306,DCF!BZ$6))</f>
        <v>0</v>
      </c>
      <c r="CA12" s="128" cm="1">
        <f t="array" ref="CA12">TRANSPOSE(SUMIFS(Графики!$I$7:$I$306,Графики!$D$7:$D$306,DCF!CA$6))</f>
        <v>0</v>
      </c>
      <c r="CB12" s="128" cm="1">
        <f t="array" ref="CB12">TRANSPOSE(SUMIFS(Графики!$I$7:$I$306,Графики!$D$7:$D$306,DCF!CB$6))</f>
        <v>0</v>
      </c>
      <c r="CC12" s="128" cm="1">
        <f t="array" ref="CC12">TRANSPOSE(SUMIFS(Графики!$I$7:$I$306,Графики!$D$7:$D$306,DCF!CC$6))</f>
        <v>0</v>
      </c>
      <c r="CD12" s="128" cm="1">
        <f t="array" ref="CD12">TRANSPOSE(SUMIFS(Графики!$I$7:$I$306,Графики!$D$7:$D$306,DCF!CD$6))</f>
        <v>0</v>
      </c>
      <c r="CE12" s="128" cm="1">
        <f t="array" ref="CE12">TRANSPOSE(SUMIFS(Графики!$I$7:$I$306,Графики!$D$7:$D$306,DCF!CE$6))</f>
        <v>0</v>
      </c>
      <c r="CF12" s="128" cm="1">
        <f t="array" ref="CF12">TRANSPOSE(SUMIFS(Графики!$I$7:$I$306,Графики!$D$7:$D$306,DCF!CF$6))</f>
        <v>0</v>
      </c>
      <c r="CG12" s="128" cm="1">
        <f t="array" ref="CG12">TRANSPOSE(SUMIFS(Графики!$I$7:$I$306,Графики!$D$7:$D$306,DCF!CG$6))</f>
        <v>0</v>
      </c>
      <c r="CH12" s="128" cm="1">
        <f t="array" ref="CH12">TRANSPOSE(SUMIFS(Графики!$I$7:$I$306,Графики!$D$7:$D$306,DCF!CH$6))</f>
        <v>0</v>
      </c>
      <c r="CI12" s="128" cm="1">
        <f t="array" ref="CI12">TRANSPOSE(SUMIFS(Графики!$I$7:$I$306,Графики!$D$7:$D$306,DCF!CI$6))</f>
        <v>0</v>
      </c>
      <c r="CJ12" s="128" cm="1">
        <f t="array" ref="CJ12">TRANSPOSE(SUMIFS(Графики!$I$7:$I$306,Графики!$D$7:$D$306,DCF!CJ$6))</f>
        <v>0</v>
      </c>
      <c r="CK12" s="128" cm="1">
        <f t="array" ref="CK12">TRANSPOSE(SUMIFS(Графики!$I$7:$I$306,Графики!$D$7:$D$306,DCF!CK$6))</f>
        <v>0</v>
      </c>
      <c r="CL12" s="128" cm="1">
        <f t="array" ref="CL12">TRANSPOSE(SUMIFS(Графики!$I$7:$I$306,Графики!$D$7:$D$306,DCF!CL$6))</f>
        <v>0</v>
      </c>
      <c r="CM12" s="128" cm="1">
        <f t="array" ref="CM12">TRANSPOSE(SUMIFS(Графики!$I$7:$I$306,Графики!$D$7:$D$306,DCF!CM$6))</f>
        <v>0</v>
      </c>
      <c r="CN12" s="128" cm="1">
        <f t="array" ref="CN12">TRANSPOSE(SUMIFS(Графики!$I$7:$I$306,Графики!$D$7:$D$306,DCF!CN$6))</f>
        <v>0</v>
      </c>
      <c r="CO12" s="128" cm="1">
        <f t="array" ref="CO12">TRANSPOSE(SUMIFS(Графики!$I$7:$I$306,Графики!$D$7:$D$306,DCF!CO$6))</f>
        <v>0</v>
      </c>
      <c r="CP12" s="128" cm="1">
        <f t="array" ref="CP12">TRANSPOSE(SUMIFS(Графики!$I$7:$I$306,Графики!$D$7:$D$306,DCF!CP$6))</f>
        <v>0</v>
      </c>
      <c r="CQ12" s="128" cm="1">
        <f t="array" ref="CQ12">TRANSPOSE(SUMIFS(Графики!$I$7:$I$306,Графики!$D$7:$D$306,DCF!CQ$6))</f>
        <v>0</v>
      </c>
      <c r="CR12" s="128" cm="1">
        <f t="array" ref="CR12">TRANSPOSE(SUMIFS(Графики!$I$7:$I$306,Графики!$D$7:$D$306,DCF!CR$6))</f>
        <v>0</v>
      </c>
      <c r="CS12" s="128" cm="1">
        <f t="array" ref="CS12">TRANSPOSE(SUMIFS(Графики!$I$7:$I$306,Графики!$D$7:$D$306,DCF!CS$6))</f>
        <v>0</v>
      </c>
      <c r="CT12" s="128" cm="1">
        <f t="array" ref="CT12">TRANSPOSE(SUMIFS(Графики!$I$7:$I$306,Графики!$D$7:$D$306,DCF!CT$6))</f>
        <v>0</v>
      </c>
      <c r="CU12" s="128" cm="1">
        <f t="array" ref="CU12">TRANSPOSE(SUMIFS(Графики!$I$7:$I$306,Графики!$D$7:$D$306,DCF!CU$6))</f>
        <v>0</v>
      </c>
      <c r="CV12" s="128" cm="1">
        <f t="array" ref="CV12">TRANSPOSE(SUMIFS(Графики!$I$7:$I$306,Графики!$D$7:$D$306,DCF!CV$6))</f>
        <v>0</v>
      </c>
      <c r="CW12" s="128" cm="1">
        <f t="array" ref="CW12">TRANSPOSE(SUMIFS(Графики!$I$7:$I$306,Графики!$D$7:$D$306,DCF!CW$6))</f>
        <v>0</v>
      </c>
      <c r="CX12" s="128" cm="1">
        <f t="array" ref="CX12">TRANSPOSE(SUMIFS(Графики!$I$7:$I$306,Графики!$D$7:$D$306,DCF!CX$6))</f>
        <v>0</v>
      </c>
      <c r="CY12" s="128" cm="1">
        <f t="array" ref="CY12">TRANSPOSE(SUMIFS(Графики!$I$7:$I$306,Графики!$D$7:$D$306,DCF!CY$6))</f>
        <v>0</v>
      </c>
      <c r="CZ12" s="128" cm="1">
        <f t="array" ref="CZ12">TRANSPOSE(SUMIFS(Графики!$I$7:$I$306,Графики!$D$7:$D$306,DCF!CZ$6))</f>
        <v>0</v>
      </c>
      <c r="DA12" s="128" cm="1">
        <f t="array" ref="DA12">TRANSPOSE(SUMIFS(Графики!$I$7:$I$306,Графики!$D$7:$D$306,DCF!DA$6))</f>
        <v>0</v>
      </c>
      <c r="DB12" s="128" cm="1">
        <f t="array" ref="DB12">TRANSPOSE(SUMIFS(Графики!$I$7:$I$306,Графики!$D$7:$D$306,DCF!DB$6))</f>
        <v>0</v>
      </c>
      <c r="DC12" s="128" cm="1">
        <f t="array" ref="DC12">TRANSPOSE(SUMIFS(Графики!$I$7:$I$306,Графики!$D$7:$D$306,DCF!DC$6))</f>
        <v>0</v>
      </c>
      <c r="DD12" s="128" cm="1">
        <f t="array" ref="DD12">TRANSPOSE(SUMIFS(Графики!$I$7:$I$306,Графики!$D$7:$D$306,DCF!DD$6))</f>
        <v>0</v>
      </c>
      <c r="DE12" s="128" cm="1">
        <f t="array" ref="DE12">TRANSPOSE(SUMIFS(Графики!$I$7:$I$306,Графики!$D$7:$D$306,DCF!DE$6))</f>
        <v>0</v>
      </c>
      <c r="DF12" s="128" cm="1">
        <f t="array" ref="DF12">TRANSPOSE(SUMIFS(Графики!$I$7:$I$306,Графики!$D$7:$D$306,DCF!DF$6))</f>
        <v>0</v>
      </c>
      <c r="DG12" s="128" cm="1">
        <f t="array" ref="DG12">TRANSPOSE(SUMIFS(Графики!$I$7:$I$306,Графики!$D$7:$D$306,DCF!DG$6))</f>
        <v>0</v>
      </c>
      <c r="DH12" s="128" cm="1">
        <f t="array" ref="DH12">TRANSPOSE(SUMIFS(Графики!$I$7:$I$306,Графики!$D$7:$D$306,DCF!DH$6))</f>
        <v>0</v>
      </c>
      <c r="DI12" s="128" cm="1">
        <f t="array" ref="DI12">TRANSPOSE(SUMIFS(Графики!$I$7:$I$306,Графики!$D$7:$D$306,DCF!DI$6))</f>
        <v>0</v>
      </c>
      <c r="DJ12" s="128" cm="1">
        <f t="array" ref="DJ12">TRANSPOSE(SUMIFS(Графики!$I$7:$I$306,Графики!$D$7:$D$306,DCF!DJ$6))</f>
        <v>0</v>
      </c>
      <c r="DK12" s="128" cm="1">
        <f t="array" ref="DK12">TRANSPOSE(SUMIFS(Графики!$I$7:$I$306,Графики!$D$7:$D$306,DCF!DK$6))</f>
        <v>0</v>
      </c>
      <c r="DL12" s="128" cm="1">
        <f t="array" ref="DL12">TRANSPOSE(SUMIFS(Графики!$I$7:$I$306,Графики!$D$7:$D$306,DCF!DL$6))</f>
        <v>0</v>
      </c>
      <c r="DM12" s="128" cm="1">
        <f t="array" ref="DM12">TRANSPOSE(SUMIFS(Графики!$I$7:$I$306,Графики!$D$7:$D$306,DCF!DM$6))</f>
        <v>0</v>
      </c>
      <c r="DN12" s="128" cm="1">
        <f t="array" ref="DN12">TRANSPOSE(SUMIFS(Графики!$I$7:$I$306,Графики!$D$7:$D$306,DCF!DN$6))</f>
        <v>0</v>
      </c>
      <c r="DO12" s="128" cm="1">
        <f t="array" ref="DO12">TRANSPOSE(SUMIFS(Графики!$I$7:$I$306,Графики!$D$7:$D$306,DCF!DO$6))</f>
        <v>0</v>
      </c>
      <c r="DP12" s="128" cm="1">
        <f t="array" ref="DP12">TRANSPOSE(SUMIFS(Графики!$I$7:$I$306,Графики!$D$7:$D$306,DCF!DP$6))</f>
        <v>0</v>
      </c>
      <c r="DQ12" s="128" cm="1">
        <f t="array" ref="DQ12">TRANSPOSE(SUMIFS(Графики!$I$7:$I$306,Графики!$D$7:$D$306,DCF!DQ$6))</f>
        <v>0</v>
      </c>
      <c r="DR12" s="128" cm="1">
        <f t="array" ref="DR12">TRANSPOSE(SUMIFS(Графики!$I$7:$I$306,Графики!$D$7:$D$306,DCF!DR$6))</f>
        <v>0</v>
      </c>
      <c r="DS12" s="128" cm="1">
        <f t="array" ref="DS12">TRANSPOSE(SUMIFS(Графики!$I$7:$I$306,Графики!$D$7:$D$306,DCF!DS$6))</f>
        <v>0</v>
      </c>
      <c r="DT12" s="128" cm="1">
        <f t="array" ref="DT12">TRANSPOSE(SUMIFS(Графики!$I$7:$I$306,Графики!$D$7:$D$306,DCF!DT$6))</f>
        <v>0</v>
      </c>
      <c r="DU12" s="128" cm="1">
        <f t="array" ref="DU12">TRANSPOSE(SUMIFS(Графики!$I$7:$I$306,Графики!$D$7:$D$306,DCF!DU$6))</f>
        <v>0</v>
      </c>
      <c r="DV12" s="128" cm="1">
        <f t="array" ref="DV12">TRANSPOSE(SUMIFS(Графики!$I$7:$I$306,Графики!$D$7:$D$306,DCF!DV$6))</f>
        <v>0</v>
      </c>
      <c r="DW12" s="128" cm="1">
        <f t="array" ref="DW12">TRANSPOSE(SUMIFS(Графики!$I$7:$I$306,Графики!$D$7:$D$306,DCF!DW$6))</f>
        <v>0</v>
      </c>
      <c r="DX12" s="128" cm="1">
        <f t="array" ref="DX12">TRANSPOSE(SUMIFS(Графики!$I$7:$I$306,Графики!$D$7:$D$306,DCF!DX$6))</f>
        <v>0</v>
      </c>
      <c r="DY12" s="128" cm="1">
        <f t="array" ref="DY12">TRANSPOSE(SUMIFS(Графики!$I$7:$I$306,Графики!$D$7:$D$306,DCF!DY$6))</f>
        <v>0</v>
      </c>
      <c r="DZ12" s="128" cm="1">
        <f t="array" ref="DZ12">TRANSPOSE(SUMIFS(Графики!$I$7:$I$306,Графики!$D$7:$D$306,DCF!DZ$6))</f>
        <v>0</v>
      </c>
      <c r="EA12" s="128" cm="1">
        <f t="array" ref="EA12">TRANSPOSE(SUMIFS(Графики!$I$7:$I$306,Графики!$D$7:$D$306,DCF!EA$6))</f>
        <v>0</v>
      </c>
      <c r="EB12" s="128" cm="1">
        <f t="array" ref="EB12">TRANSPOSE(SUMIFS(Графики!$I$7:$I$306,Графики!$D$7:$D$306,DCF!EB$6))</f>
        <v>0</v>
      </c>
      <c r="EC12" s="128" cm="1">
        <f t="array" ref="EC12">TRANSPOSE(SUMIFS(Графики!$I$7:$I$306,Графики!$D$7:$D$306,DCF!EC$6))</f>
        <v>0</v>
      </c>
      <c r="ED12" s="128" cm="1">
        <f t="array" ref="ED12">TRANSPOSE(SUMIFS(Графики!$I$7:$I$306,Графики!$D$7:$D$306,DCF!ED$6))</f>
        <v>0</v>
      </c>
      <c r="EE12" s="128" cm="1">
        <f t="array" ref="EE12">TRANSPOSE(SUMIFS(Графики!$I$7:$I$306,Графики!$D$7:$D$306,DCF!EE6))</f>
        <v>0</v>
      </c>
      <c r="EF12" s="128" cm="1">
        <f t="array" ref="EF12">TRANSPOSE(SUMIFS(Графики!$I$7:$I$306,Графики!$D$7:$D$306,DCF!EF6))</f>
        <v>0</v>
      </c>
      <c r="EG12" s="128" cm="1">
        <f t="array" ref="EG12">TRANSPOSE(SUMIFS(Графики!$I$7:$I$306,Графики!$D$7:$D$306,DCF!EG6))</f>
        <v>0</v>
      </c>
      <c r="EH12" s="128" cm="1">
        <f t="array" ref="EH12">TRANSPOSE(SUMIFS(Графики!$I$7:$I$306,Графики!$D$7:$D$306,DCF!EH6))</f>
        <v>0</v>
      </c>
      <c r="EI12" s="128" cm="1">
        <f t="array" ref="EI12">TRANSPOSE(SUMIFS(Графики!$I$7:$I$306,Графики!$D$7:$D$306,DCF!EI6))</f>
        <v>0</v>
      </c>
      <c r="EJ12" s="128" cm="1">
        <f t="array" ref="EJ12">TRANSPOSE(SUMIFS(Графики!$I$7:$I$306,Графики!$D$7:$D$306,DCF!EJ6))</f>
        <v>0</v>
      </c>
      <c r="EK12" s="128" cm="1">
        <f t="array" ref="EK12">TRANSPOSE(SUMIFS(Графики!$I$7:$I$306,Графики!$D$7:$D$306,DCF!EK6))</f>
        <v>0</v>
      </c>
      <c r="EL12" s="128" cm="1">
        <f t="array" ref="EL12">TRANSPOSE(SUMIFS(Графики!$I$7:$I$306,Графики!$D$7:$D$306,DCF!EL6))</f>
        <v>0</v>
      </c>
      <c r="EM12" s="128" cm="1">
        <f t="array" ref="EM12">TRANSPOSE(SUMIFS(Графики!$I$7:$I$306,Графики!$D$7:$D$306,DCF!EM6))</f>
        <v>0</v>
      </c>
      <c r="EN12" s="128" cm="1">
        <f t="array" ref="EN12">TRANSPOSE(SUMIFS(Графики!$I$7:$I$306,Графики!$D$7:$D$306,DCF!EN6))</f>
        <v>0</v>
      </c>
      <c r="EO12" s="128" cm="1">
        <f t="array" ref="EO12">TRANSPOSE(SUMIFS(Графики!$I$7:$I$306,Графики!$D$7:$D$306,DCF!EO6))</f>
        <v>0</v>
      </c>
      <c r="EP12" s="128" cm="1">
        <f t="array" ref="EP12">TRANSPOSE(SUMIFS(Графики!$I$7:$I$306,Графики!$D$7:$D$306,DCF!EP6))</f>
        <v>0</v>
      </c>
      <c r="EQ12" s="128" cm="1">
        <f t="array" ref="EQ12">TRANSPOSE(SUMIFS(Графики!$I$7:$I$306,Графики!$D$7:$D$306,DCF!EQ6))</f>
        <v>0</v>
      </c>
      <c r="ER12" s="128" cm="1">
        <f t="array" ref="ER12">TRANSPOSE(SUMIFS(Графики!$I$7:$I$306,Графики!$D$7:$D$306,DCF!ER6))</f>
        <v>0</v>
      </c>
      <c r="ES12" s="128" cm="1">
        <f t="array" ref="ES12">TRANSPOSE(SUMIFS(Графики!$I$7:$I$306,Графики!$D$7:$D$306,DCF!ES6))</f>
        <v>0</v>
      </c>
      <c r="ET12" s="128" cm="1">
        <f t="array" ref="ET12">TRANSPOSE(SUMIFS(Графики!$I$7:$I$306,Графики!$D$7:$D$306,DCF!ET6))</f>
        <v>0</v>
      </c>
      <c r="EU12" s="128" cm="1">
        <f t="array" ref="EU12">TRANSPOSE(SUMIFS(Графики!$I$7:$I$306,Графики!$D$7:$D$306,DCF!EU6))</f>
        <v>0</v>
      </c>
      <c r="EV12" s="128" cm="1">
        <f t="array" ref="EV12">TRANSPOSE(SUMIFS(Графики!$I$7:$I$306,Графики!$D$7:$D$306,DCF!EV6))</f>
        <v>0</v>
      </c>
      <c r="EW12" s="128" cm="1">
        <f t="array" ref="EW12">TRANSPOSE(SUMIFS(Графики!$I$7:$I$306,Графики!$D$7:$D$306,DCF!EW6))</f>
        <v>0</v>
      </c>
      <c r="EX12" s="128" cm="1">
        <f t="array" ref="EX12">TRANSPOSE(SUMIFS(Графики!$I$7:$I$306,Графики!$D$7:$D$306,DCF!EX6))</f>
        <v>0</v>
      </c>
      <c r="EY12" s="128" cm="1">
        <f t="array" ref="EY12">TRANSPOSE(SUMIFS(Графики!$I$7:$I$306,Графики!$D$7:$D$306,DCF!EY6))</f>
        <v>0</v>
      </c>
      <c r="EZ12" s="128" cm="1">
        <f t="array" ref="EZ12">TRANSPOSE(SUMIFS(Графики!$I$7:$I$306,Графики!$D$7:$D$306,DCF!EZ6))</f>
        <v>0</v>
      </c>
      <c r="FA12" s="128" cm="1">
        <f t="array" ref="FA12">TRANSPOSE(SUMIFS(Графики!$I$7:$I$306,Графики!$D$7:$D$306,DCF!FA6))</f>
        <v>0</v>
      </c>
      <c r="FB12" s="128" cm="1">
        <f t="array" ref="FB12">TRANSPOSE(SUMIFS(Графики!$I$7:$I$306,Графики!$D$7:$D$306,DCF!FB6))</f>
        <v>0</v>
      </c>
      <c r="FC12" s="128" cm="1">
        <f t="array" ref="FC12">TRANSPOSE(SUMIFS(Графики!$I$7:$I$306,Графики!$D$7:$D$306,DCF!FC6))</f>
        <v>0</v>
      </c>
      <c r="FD12" s="128" cm="1">
        <f t="array" ref="FD12">TRANSPOSE(SUMIFS(Графики!$I$7:$I$306,Графики!$D$7:$D$306,DCF!FD6))</f>
        <v>0</v>
      </c>
      <c r="FE12" s="128" cm="1">
        <f t="array" ref="FE12">TRANSPOSE(SUMIFS(Графики!$I$7:$I$306,Графики!$D$7:$D$306,DCF!FE6))</f>
        <v>0</v>
      </c>
      <c r="FF12" s="128" cm="1">
        <f t="array" ref="FF12">TRANSPOSE(SUMIFS(Графики!$I$7:$I$306,Графики!$D$7:$D$306,DCF!FF6))</f>
        <v>0</v>
      </c>
      <c r="FG12" s="128" cm="1">
        <f t="array" ref="FG12">TRANSPOSE(SUMIFS(Графики!$I$7:$I$306,Графики!$D$7:$D$306,DCF!FG6))</f>
        <v>0</v>
      </c>
      <c r="FH12" s="128" cm="1">
        <f t="array" ref="FH12">TRANSPOSE(SUMIFS(Графики!$I$7:$I$306,Графики!$D$7:$D$306,DCF!FH6))</f>
        <v>0</v>
      </c>
      <c r="FI12" s="128" cm="1">
        <f t="array" ref="FI12">TRANSPOSE(SUMIFS(Графики!$I$7:$I$306,Графики!$D$7:$D$306,DCF!FI6))</f>
        <v>0</v>
      </c>
      <c r="FJ12" s="128" cm="1">
        <f t="array" ref="FJ12">TRANSPOSE(SUMIFS(Графики!$I$7:$I$306,Графики!$D$7:$D$306,DCF!FJ6))</f>
        <v>0</v>
      </c>
      <c r="FK12" s="128" cm="1">
        <f t="array" ref="FK12">TRANSPOSE(SUMIFS(Графики!$I$7:$I$306,Графики!$D$7:$D$306,DCF!FK6))</f>
        <v>0</v>
      </c>
      <c r="FL12" s="128" cm="1">
        <f t="array" ref="FL12">TRANSPOSE(SUMIFS(Графики!$I$7:$I$306,Графики!$D$7:$D$306,DCF!FL6))</f>
        <v>0</v>
      </c>
      <c r="FM12" s="128" cm="1">
        <f t="array" ref="FM12">TRANSPOSE(SUMIFS(Графики!$I$7:$I$306,Графики!$D$7:$D$306,DCF!FM6))</f>
        <v>0</v>
      </c>
      <c r="FN12" s="128" cm="1">
        <f t="array" ref="FN12">TRANSPOSE(SUMIFS(Графики!$I$7:$I$306,Графики!$D$7:$D$306,DCF!FN6))</f>
        <v>0</v>
      </c>
      <c r="FO12" s="128" cm="1">
        <f t="array" ref="FO12">TRANSPOSE(SUMIFS(Графики!$I$7:$I$306,Графики!$D$7:$D$306,DCF!FO6))</f>
        <v>0</v>
      </c>
      <c r="FP12" s="128" cm="1">
        <f t="array" ref="FP12">TRANSPOSE(SUMIFS(Графики!$I$7:$I$306,Графики!$D$7:$D$306,DCF!FP6))</f>
        <v>0</v>
      </c>
      <c r="FQ12" s="128" cm="1">
        <f t="array" ref="FQ12">TRANSPOSE(SUMIFS(Графики!$I$7:$I$306,Графики!$D$7:$D$306,DCF!FQ6))</f>
        <v>0</v>
      </c>
      <c r="FR12" s="128" cm="1">
        <f t="array" ref="FR12">TRANSPOSE(SUMIFS(Графики!$I$7:$I$306,Графики!$D$7:$D$306,DCF!FR6))</f>
        <v>0</v>
      </c>
      <c r="FS12" s="128" cm="1">
        <f t="array" ref="FS12">TRANSPOSE(SUMIFS(Графики!$I$7:$I$306,Графики!$D$7:$D$306,DCF!FS6))</f>
        <v>0</v>
      </c>
      <c r="FT12" s="128" cm="1">
        <f t="array" ref="FT12">TRANSPOSE(SUMIFS(Графики!$I$7:$I$306,Графики!$D$7:$D$306,DCF!FT6))</f>
        <v>0</v>
      </c>
      <c r="FU12" s="128" cm="1">
        <f t="array" ref="FU12">TRANSPOSE(SUMIFS(Графики!$I$7:$I$306,Графики!$D$7:$D$306,DCF!FU6))</f>
        <v>0</v>
      </c>
      <c r="FV12" s="128" cm="1">
        <f t="array" ref="FV12">TRANSPOSE(SUMIFS(Графики!$I$7:$I$306,Графики!$D$7:$D$306,DCF!FV6))</f>
        <v>0</v>
      </c>
      <c r="FW12" s="128" cm="1">
        <f t="array" ref="FW12">TRANSPOSE(SUMIFS(Графики!$I$7:$I$306,Графики!$D$7:$D$306,DCF!FW6))</f>
        <v>0</v>
      </c>
      <c r="FX12" s="128" cm="1">
        <f t="array" ref="FX12">TRANSPOSE(SUMIFS(Графики!$I$7:$I$306,Графики!$D$7:$D$306,DCF!FX6))</f>
        <v>0</v>
      </c>
      <c r="FY12" s="128" cm="1">
        <f t="array" ref="FY12">TRANSPOSE(SUMIFS(Графики!$I$7:$I$306,Графики!$D$7:$D$306,DCF!FY6))</f>
        <v>0</v>
      </c>
      <c r="FZ12" s="128" cm="1">
        <f t="array" ref="FZ12">TRANSPOSE(SUMIFS(Графики!$I$7:$I$306,Графики!$D$7:$D$306,DCF!FZ6))</f>
        <v>0</v>
      </c>
      <c r="GA12" s="128" cm="1">
        <f t="array" ref="GA12">TRANSPOSE(SUMIFS(Графики!$I$7:$I$306,Графики!$D$7:$D$306,DCF!GA6))</f>
        <v>0</v>
      </c>
      <c r="GB12" s="128" cm="1">
        <f t="array" ref="GB12">TRANSPOSE(SUMIFS(Графики!$I$7:$I$306,Графики!$D$7:$D$306,DCF!GB6))</f>
        <v>0</v>
      </c>
      <c r="GC12" s="128" cm="1">
        <f t="array" ref="GC12">TRANSPOSE(SUMIFS(Графики!$I$7:$I$306,Графики!$D$7:$D$306,DCF!GC6))</f>
        <v>0</v>
      </c>
      <c r="GD12" s="128" cm="1">
        <f t="array" ref="GD12">TRANSPOSE(SUMIFS(Графики!$I$7:$I$306,Графики!$D$7:$D$306,DCF!GD6))</f>
        <v>0</v>
      </c>
      <c r="GE12" s="128" cm="1">
        <f t="array" ref="GE12">TRANSPOSE(SUMIFS(Графики!$I$7:$I$306,Графики!$D$7:$D$306,DCF!GE6))</f>
        <v>0</v>
      </c>
      <c r="GF12" s="128" cm="1">
        <f t="array" ref="GF12">TRANSPOSE(SUMIFS(Графики!$I$7:$I$306,Графики!$D$7:$D$306,DCF!GF6))</f>
        <v>0</v>
      </c>
      <c r="GG12" s="128" cm="1">
        <f t="array" ref="GG12">TRANSPOSE(SUMIFS(Графики!$I$7:$I$306,Графики!$D$7:$D$306,DCF!GG6))</f>
        <v>0</v>
      </c>
      <c r="GH12" s="128" cm="1">
        <f t="array" ref="GH12">TRANSPOSE(SUMIFS(Графики!$I$7:$I$306,Графики!$D$7:$D$306,DCF!GH6))</f>
        <v>0</v>
      </c>
      <c r="GI12" s="128" cm="1">
        <f t="array" ref="GI12">TRANSPOSE(SUMIFS(Графики!$I$7:$I$306,Графики!$D$7:$D$306,DCF!GI6))</f>
        <v>0</v>
      </c>
      <c r="GJ12" s="128" cm="1">
        <f t="array" ref="GJ12">TRANSPOSE(SUMIFS(Графики!$I$7:$I$306,Графики!$D$7:$D$306,DCF!GJ6))</f>
        <v>0</v>
      </c>
      <c r="GK12" s="128" cm="1">
        <f t="array" ref="GK12">TRANSPOSE(SUMIFS(Графики!$I$7:$I$306,Графики!$D$7:$D$306,DCF!GK6))</f>
        <v>0</v>
      </c>
      <c r="GL12" s="128" cm="1">
        <f t="array" ref="GL12">TRANSPOSE(SUMIFS(Графики!$I$7:$I$306,Графики!$D$7:$D$306,DCF!GL6))</f>
        <v>0</v>
      </c>
      <c r="GM12" s="128" cm="1">
        <f t="array" ref="GM12">TRANSPOSE(SUMIFS(Графики!$I$7:$I$306,Графики!$D$7:$D$306,DCF!GM6))</f>
        <v>0</v>
      </c>
      <c r="GN12" s="128" cm="1">
        <f t="array" ref="GN12">TRANSPOSE(SUMIFS(Графики!$I$7:$I$306,Графики!$D$7:$D$306,DCF!GN6))</f>
        <v>0</v>
      </c>
      <c r="GO12" s="128" cm="1">
        <f t="array" ref="GO12">TRANSPOSE(SUMIFS(Графики!$I$7:$I$306,Графики!$D$7:$D$306,DCF!GO6))</f>
        <v>0</v>
      </c>
      <c r="GP12" s="128" cm="1">
        <f t="array" ref="GP12">TRANSPOSE(SUMIFS(Графики!$I$7:$I$306,Графики!$D$7:$D$306,DCF!GP6))</f>
        <v>0</v>
      </c>
      <c r="GQ12" s="128" cm="1">
        <f t="array" ref="GQ12">TRANSPOSE(SUMIFS(Графики!$I$7:$I$306,Графики!$D$7:$D$306,DCF!GQ6))</f>
        <v>0</v>
      </c>
      <c r="GR12" s="128" cm="1">
        <f t="array" ref="GR12">TRANSPOSE(SUMIFS(Графики!$I$7:$I$306,Графики!$D$7:$D$306,DCF!GR6))</f>
        <v>0</v>
      </c>
      <c r="GS12" s="128" cm="1">
        <f t="array" ref="GS12">TRANSPOSE(SUMIFS(Графики!$I$7:$I$306,Графики!$D$7:$D$306,DCF!GS6))</f>
        <v>0</v>
      </c>
      <c r="GT12" s="128" cm="1">
        <f t="array" ref="GT12">TRANSPOSE(SUMIFS(Графики!$I$7:$I$306,Графики!$D$7:$D$306,DCF!GT6))</f>
        <v>0</v>
      </c>
      <c r="GU12" s="128" cm="1">
        <f t="array" ref="GU12">TRANSPOSE(SUMIFS(Графики!$I$7:$I$306,Графики!$D$7:$D$306,DCF!GU6))</f>
        <v>0</v>
      </c>
      <c r="GV12" s="128" cm="1">
        <f t="array" ref="GV12">TRANSPOSE(SUMIFS(Графики!$I$7:$I$306,Графики!$D$7:$D$306,DCF!GV6))</f>
        <v>0</v>
      </c>
      <c r="GW12" s="128" cm="1">
        <f t="array" ref="GW12">TRANSPOSE(SUMIFS(Графики!$I$7:$I$306,Графики!$D$7:$D$306,DCF!GW6))</f>
        <v>0</v>
      </c>
      <c r="GX12" s="128" cm="1">
        <f t="array" ref="GX12">TRANSPOSE(SUMIFS(Графики!$I$7:$I$306,Графики!$D$7:$D$306,DCF!GX6))</f>
        <v>0</v>
      </c>
      <c r="GY12" s="128" cm="1">
        <f t="array" ref="GY12">TRANSPOSE(SUMIFS(Графики!$I$7:$I$306,Графики!$D$7:$D$306,DCF!GY6))</f>
        <v>0</v>
      </c>
      <c r="GZ12" s="128" cm="1">
        <f t="array" ref="GZ12">TRANSPOSE(SUMIFS(Графики!$I$7:$I$306,Графики!$D$7:$D$306,DCF!GZ6))</f>
        <v>0</v>
      </c>
      <c r="HA12" s="128" cm="1">
        <f t="array" ref="HA12">TRANSPOSE(SUMIFS(Графики!$I$7:$I$306,Графики!$D$7:$D$306,DCF!HA6))</f>
        <v>0</v>
      </c>
      <c r="HB12" s="128" cm="1">
        <f t="array" ref="HB12">TRANSPOSE(SUMIFS(Графики!$I$7:$I$306,Графики!$D$7:$D$306,DCF!HB6))</f>
        <v>0</v>
      </c>
      <c r="HC12" s="128" cm="1">
        <f t="array" ref="HC12">TRANSPOSE(SUMIFS(Графики!$I$7:$I$306,Графики!$D$7:$D$306,DCF!HC6))</f>
        <v>0</v>
      </c>
      <c r="HD12" s="128" cm="1">
        <f t="array" ref="HD12">TRANSPOSE(SUMIFS(Графики!$I$7:$I$306,Графики!$D$7:$D$306,DCF!HD6))</f>
        <v>0</v>
      </c>
      <c r="HE12" s="128" cm="1">
        <f t="array" ref="HE12">TRANSPOSE(SUMIFS(Графики!$I$7:$I$306,Графики!$D$7:$D$306,DCF!HE6))</f>
        <v>0</v>
      </c>
      <c r="HF12" s="128" cm="1">
        <f t="array" ref="HF12">TRANSPOSE(SUMIFS(Графики!$I$7:$I$306,Графики!$D$7:$D$306,DCF!HF6))</f>
        <v>0</v>
      </c>
      <c r="HG12" s="128" cm="1">
        <f t="array" ref="HG12">TRANSPOSE(SUMIFS(Графики!$I$7:$I$306,Графики!$D$7:$D$306,DCF!HG6))</f>
        <v>0</v>
      </c>
      <c r="HH12" s="128" cm="1">
        <f t="array" ref="HH12">TRANSPOSE(SUMIFS(Графики!$I$7:$I$306,Графики!$D$7:$D$306,DCF!HH6))</f>
        <v>0</v>
      </c>
      <c r="HI12" s="128" cm="1">
        <f t="array" ref="HI12">TRANSPOSE(SUMIFS(Графики!$I$7:$I$306,Графики!$D$7:$D$306,DCF!HI6))</f>
        <v>0</v>
      </c>
      <c r="HJ12" s="128" cm="1">
        <f t="array" ref="HJ12">TRANSPOSE(SUMIFS(Графики!$I$7:$I$306,Графики!$D$7:$D$306,DCF!HJ6))</f>
        <v>0</v>
      </c>
      <c r="HK12" s="128" cm="1">
        <f t="array" ref="HK12">TRANSPOSE(SUMIFS(Графики!$I$7:$I$306,Графики!$D$7:$D$306,DCF!HK6))</f>
        <v>0</v>
      </c>
      <c r="HL12" s="128" cm="1">
        <f t="array" ref="HL12">TRANSPOSE(SUMIFS(Графики!$I$7:$I$306,Графики!$D$7:$D$306,DCF!HL6))</f>
        <v>0</v>
      </c>
      <c r="HM12" s="128" cm="1">
        <f t="array" ref="HM12">TRANSPOSE(SUMIFS(Графики!$I$7:$I$306,Графики!$D$7:$D$306,DCF!HM6))</f>
        <v>0</v>
      </c>
      <c r="HN12" s="128" cm="1">
        <f t="array" ref="HN12">TRANSPOSE(SUMIFS(Графики!$I$7:$I$306,Графики!$D$7:$D$306,DCF!HN6))</f>
        <v>0</v>
      </c>
      <c r="HO12" s="128" cm="1">
        <f t="array" ref="HO12">TRANSPOSE(SUMIFS(Графики!$I$7:$I$306,Графики!$D$7:$D$306,DCF!HO6))</f>
        <v>0</v>
      </c>
      <c r="HP12" s="128" cm="1">
        <f t="array" ref="HP12">TRANSPOSE(SUMIFS(Графики!$I$7:$I$306,Графики!$D$7:$D$306,DCF!HP6))</f>
        <v>0</v>
      </c>
      <c r="HQ12" s="128" cm="1">
        <f t="array" ref="HQ12">TRANSPOSE(SUMIFS(Графики!$I$7:$I$306,Графики!$D$7:$D$306,DCF!HQ6))</f>
        <v>0</v>
      </c>
      <c r="HR12" s="128" cm="1">
        <f t="array" ref="HR12">TRANSPOSE(SUMIFS(Графики!$I$7:$I$306,Графики!$D$7:$D$306,DCF!HR6))</f>
        <v>0</v>
      </c>
      <c r="HS12" s="128" cm="1">
        <f t="array" ref="HS12">TRANSPOSE(SUMIFS(Графики!$I$7:$I$306,Графики!$D$7:$D$306,DCF!HS6))</f>
        <v>0</v>
      </c>
      <c r="HT12" s="128" cm="1">
        <f t="array" ref="HT12">TRANSPOSE(SUMIFS(Графики!$I$7:$I$306,Графики!$D$7:$D$306,DCF!HT6))</f>
        <v>0</v>
      </c>
      <c r="HU12" s="128" cm="1">
        <f t="array" ref="HU12">TRANSPOSE(SUMIFS(Графики!$I$7:$I$306,Графики!$D$7:$D$306,DCF!HU6))</f>
        <v>0</v>
      </c>
      <c r="HV12" s="128" cm="1">
        <f t="array" ref="HV12">TRANSPOSE(SUMIFS(Графики!$I$7:$I$306,Графики!$D$7:$D$306,DCF!HV6))</f>
        <v>0</v>
      </c>
      <c r="HW12" s="128" cm="1">
        <f t="array" ref="HW12">TRANSPOSE(SUMIFS(Графики!$I$7:$I$306,Графики!$D$7:$D$306,DCF!HW6))</f>
        <v>0</v>
      </c>
      <c r="HX12" s="128" cm="1">
        <f t="array" ref="HX12">TRANSPOSE(SUMIFS(Графики!$I$7:$I$306,Графики!$D$7:$D$306,DCF!HX6))</f>
        <v>0</v>
      </c>
      <c r="HY12" s="128" cm="1">
        <f t="array" ref="HY12">TRANSPOSE(SUMIFS(Графики!$I$7:$I$306,Графики!$D$7:$D$306,DCF!HY6))</f>
        <v>0</v>
      </c>
      <c r="HZ12" s="128" cm="1">
        <f t="array" ref="HZ12">TRANSPOSE(SUMIFS(Графики!$I$7:$I$306,Графики!$D$7:$D$306,DCF!HZ6))</f>
        <v>0</v>
      </c>
      <c r="IA12" s="128" cm="1">
        <f t="array" ref="IA12">TRANSPOSE(SUMIFS(Графики!$I$7:$I$306,Графики!$D$7:$D$306,DCF!IA6))</f>
        <v>0</v>
      </c>
      <c r="IB12" s="128" cm="1">
        <f t="array" ref="IB12">TRANSPOSE(SUMIFS(Графики!$I$7:$I$306,Графики!$D$7:$D$306,DCF!IB6))</f>
        <v>0</v>
      </c>
      <c r="IC12" s="128" cm="1">
        <f t="array" ref="IC12">TRANSPOSE(SUMIFS(Графики!$I$7:$I$306,Графики!$D$7:$D$306,DCF!IC6))</f>
        <v>0</v>
      </c>
      <c r="ID12" s="128" cm="1">
        <f t="array" ref="ID12">TRANSPOSE(SUMIFS(Графики!$I$7:$I$306,Графики!$D$7:$D$306,DCF!ID6))</f>
        <v>0</v>
      </c>
      <c r="IE12" s="128" cm="1">
        <f t="array" ref="IE12">TRANSPOSE(SUMIFS(Графики!$I$7:$I$306,Графики!$D$7:$D$306,DCF!IE6))</f>
        <v>0</v>
      </c>
      <c r="IF12" s="128" cm="1">
        <f t="array" ref="IF12">TRANSPOSE(SUMIFS(Графики!$I$7:$I$306,Графики!$D$7:$D$306,DCF!IF6))</f>
        <v>0</v>
      </c>
      <c r="IG12" s="128" cm="1">
        <f t="array" ref="IG12">TRANSPOSE(SUMIFS(Графики!$I$7:$I$306,Графики!$D$7:$D$306,DCF!IG6))</f>
        <v>0</v>
      </c>
      <c r="IH12" s="128" cm="1">
        <f t="array" ref="IH12">TRANSPOSE(SUMIFS(Графики!$I$7:$I$306,Графики!$D$7:$D$306,DCF!IH6))</f>
        <v>0</v>
      </c>
      <c r="II12" s="128" cm="1">
        <f t="array" ref="II12">TRANSPOSE(SUMIFS(Графики!$I$7:$I$306,Графики!$D$7:$D$306,DCF!II6))</f>
        <v>0</v>
      </c>
      <c r="IJ12" s="128" cm="1">
        <f t="array" ref="IJ12">TRANSPOSE(SUMIFS(Графики!$I$7:$I$306,Графики!$D$7:$D$306,DCF!IJ6))</f>
        <v>0</v>
      </c>
      <c r="IK12" s="128" cm="1">
        <f t="array" ref="IK12">TRANSPOSE(SUMIFS(Графики!$I$7:$I$306,Графики!$D$7:$D$306,DCF!IK6))</f>
        <v>0</v>
      </c>
      <c r="IL12" s="128" cm="1">
        <f t="array" ref="IL12">TRANSPOSE(SUMIFS(Графики!$I$7:$I$306,Графики!$D$7:$D$306,DCF!IL6))</f>
        <v>0</v>
      </c>
      <c r="IM12" s="128" cm="1">
        <f t="array" ref="IM12">TRANSPOSE(SUMIFS(Графики!$I$7:$I$306,Графики!$D$7:$D$306,DCF!IM6))</f>
        <v>0</v>
      </c>
      <c r="IN12" s="128" cm="1">
        <f t="array" ref="IN12">TRANSPOSE(SUMIFS(Графики!$I$7:$I$306,Графики!$D$7:$D$306,DCF!IN6))</f>
        <v>0</v>
      </c>
      <c r="IO12" s="128" cm="1">
        <f t="array" ref="IO12">TRANSPOSE(SUMIFS(Графики!$I$7:$I$306,Графики!$D$7:$D$306,DCF!IO6))</f>
        <v>0</v>
      </c>
      <c r="IP12" s="128" cm="1">
        <f t="array" ref="IP12">TRANSPOSE(SUMIFS(Графики!$I$7:$I$306,Графики!$D$7:$D$306,DCF!IP6))</f>
        <v>0</v>
      </c>
      <c r="IQ12" s="128" cm="1">
        <f t="array" ref="IQ12">TRANSPOSE(SUMIFS(Графики!$I$7:$I$306,Графики!$D$7:$D$306,DCF!IQ6))</f>
        <v>0</v>
      </c>
      <c r="IR12" s="128" cm="1">
        <f t="array" ref="IR12">TRANSPOSE(SUMIFS(Графики!$I$7:$I$306,Графики!$D$7:$D$306,DCF!IR6))</f>
        <v>0</v>
      </c>
      <c r="IS12" s="128" cm="1">
        <f t="array" ref="IS12">TRANSPOSE(SUMIFS(Графики!$I$7:$I$306,Графики!$D$7:$D$306,DCF!IS6))</f>
        <v>0</v>
      </c>
      <c r="IT12" s="128" cm="1">
        <f t="array" ref="IT12">TRANSPOSE(SUMIFS(Графики!$I$7:$I$306,Графики!$D$7:$D$306,DCF!IT6))</f>
        <v>0</v>
      </c>
      <c r="IU12" s="128" cm="1">
        <f t="array" ref="IU12">TRANSPOSE(SUMIFS(Графики!$I$7:$I$306,Графики!$D$7:$D$306,DCF!IU6))</f>
        <v>0</v>
      </c>
      <c r="IV12" s="128" cm="1">
        <f t="array" ref="IV12">TRANSPOSE(SUMIFS(Графики!$I$7:$I$306,Графики!$D$7:$D$306,DCF!IV6))</f>
        <v>0</v>
      </c>
      <c r="IW12" s="128" cm="1">
        <f t="array" ref="IW12">TRANSPOSE(SUMIFS(Графики!$I$7:$I$306,Графики!$D$7:$D$306,DCF!IW6))</f>
        <v>0</v>
      </c>
      <c r="IX12" s="128" cm="1">
        <f t="array" ref="IX12">TRANSPOSE(SUMIFS(Графики!$I$7:$I$306,Графики!$D$7:$D$306,DCF!IX6))</f>
        <v>0</v>
      </c>
      <c r="IY12" s="128" cm="1">
        <f t="array" ref="IY12">TRANSPOSE(SUMIFS(Графики!$I$7:$I$306,Графики!$D$7:$D$306,DCF!IY6))</f>
        <v>0</v>
      </c>
      <c r="IZ12" s="128" cm="1">
        <f t="array" ref="IZ12">TRANSPOSE(SUMIFS(Графики!$I$7:$I$306,Графики!$D$7:$D$306,DCF!IZ6))</f>
        <v>0</v>
      </c>
      <c r="JA12" s="128" cm="1">
        <f t="array" ref="JA12">TRANSPOSE(SUMIFS(Графики!$I$7:$I$306,Графики!$D$7:$D$306,DCF!JA6))</f>
        <v>0</v>
      </c>
      <c r="JB12" s="128" cm="1">
        <f t="array" ref="JB12">TRANSPOSE(SUMIFS(Графики!$I$7:$I$306,Графики!$D$7:$D$306,DCF!JB6))</f>
        <v>0</v>
      </c>
      <c r="JC12" s="128" cm="1">
        <f t="array" ref="JC12">TRANSPOSE(SUMIFS(Графики!$I$7:$I$306,Графики!$D$7:$D$306,DCF!JC6))</f>
        <v>0</v>
      </c>
      <c r="JD12" s="128" cm="1">
        <f t="array" ref="JD12">TRANSPOSE(SUMIFS(Графики!$I$7:$I$306,Графики!$D$7:$D$306,DCF!JD6))</f>
        <v>0</v>
      </c>
      <c r="JE12" s="128" cm="1">
        <f t="array" ref="JE12">TRANSPOSE(SUMIFS(Графики!$I$7:$I$306,Графики!$D$7:$D$306,DCF!JE6))</f>
        <v>0</v>
      </c>
      <c r="JF12" s="128" cm="1">
        <f t="array" ref="JF12">TRANSPOSE(SUMIFS(Графики!$I$7:$I$306,Графики!$D$7:$D$306,DCF!JF6))</f>
        <v>0</v>
      </c>
      <c r="JG12" s="128" cm="1">
        <f t="array" ref="JG12">TRANSPOSE(SUMIFS(Графики!$I$7:$I$306,Графики!$D$7:$D$306,DCF!JG6))</f>
        <v>0</v>
      </c>
      <c r="JH12" s="128" cm="1">
        <f t="array" ref="JH12">TRANSPOSE(SUMIFS(Графики!$I$7:$I$306,Графики!$D$7:$D$306,DCF!JH6))</f>
        <v>0</v>
      </c>
      <c r="JI12" s="128" cm="1">
        <f t="array" ref="JI12">TRANSPOSE(SUMIFS(Графики!$I$7:$I$306,Графики!$D$7:$D$306,DCF!JI6))</f>
        <v>0</v>
      </c>
      <c r="JJ12" s="128" cm="1">
        <f t="array" ref="JJ12">TRANSPOSE(SUMIFS(Графики!$I$7:$I$306,Графики!$D$7:$D$306,DCF!JJ6))</f>
        <v>0</v>
      </c>
      <c r="JK12" s="128" cm="1">
        <f t="array" ref="JK12">TRANSPOSE(SUMIFS(Графики!$I$7:$I$306,Графики!$D$7:$D$306,DCF!JK6))</f>
        <v>0</v>
      </c>
      <c r="JL12" s="128" cm="1">
        <f t="array" ref="JL12">TRANSPOSE(SUMIFS(Графики!$I$7:$I$306,Графики!$D$7:$D$306,DCF!JL6))</f>
        <v>0</v>
      </c>
      <c r="JM12" s="128" cm="1">
        <f t="array" ref="JM12">TRANSPOSE(SUMIFS(Графики!$I$7:$I$306,Графики!$D$7:$D$306,DCF!JM6))</f>
        <v>0</v>
      </c>
      <c r="JN12" s="128" cm="1">
        <f t="array" ref="JN12">TRANSPOSE(SUMIFS(Графики!$I$7:$I$306,Графики!$D$7:$D$306,DCF!JN6))</f>
        <v>0</v>
      </c>
      <c r="JO12" s="128" cm="1">
        <f t="array" ref="JO12">TRANSPOSE(SUMIFS(Графики!$I$7:$I$306,Графики!$D$7:$D$306,DCF!JO6))</f>
        <v>0</v>
      </c>
      <c r="JP12" s="128" cm="1">
        <f t="array" ref="JP12">TRANSPOSE(SUMIFS(Графики!$I$7:$I$306,Графики!$D$7:$D$306,DCF!JP6))</f>
        <v>0</v>
      </c>
      <c r="JQ12" s="128" cm="1">
        <f t="array" ref="JQ12">TRANSPOSE(SUMIFS(Графики!$I$7:$I$306,Графики!$D$7:$D$306,DCF!JQ6))</f>
        <v>0</v>
      </c>
      <c r="JR12" s="128" cm="1">
        <f t="array" ref="JR12">TRANSPOSE(SUMIFS(Графики!$I$7:$I$306,Графики!$D$7:$D$306,DCF!JR6))</f>
        <v>0</v>
      </c>
      <c r="JS12" s="128" cm="1">
        <f t="array" ref="JS12">TRANSPOSE(SUMIFS(Графики!$I$7:$I$306,Графики!$D$7:$D$306,DCF!JS6))</f>
        <v>0</v>
      </c>
      <c r="JT12" s="128" cm="1">
        <f t="array" ref="JT12">TRANSPOSE(SUMIFS(Графики!$I$7:$I$306,Графики!$D$7:$D$306,DCF!JT6))</f>
        <v>0</v>
      </c>
      <c r="JU12" s="128" cm="1">
        <f t="array" ref="JU12">TRANSPOSE(SUMIFS(Графики!$I$7:$I$306,Графики!$D$7:$D$306,DCF!JU6))</f>
        <v>0</v>
      </c>
      <c r="JV12" s="128" cm="1">
        <f t="array" ref="JV12">TRANSPOSE(SUMIFS(Графики!$I$7:$I$306,Графики!$D$7:$D$306,DCF!JV6))</f>
        <v>0</v>
      </c>
      <c r="JW12" s="128" cm="1">
        <f t="array" ref="JW12">TRANSPOSE(SUMIFS(Графики!$I$7:$I$306,Графики!$D$7:$D$306,DCF!JW6))</f>
        <v>0</v>
      </c>
      <c r="JX12" s="128" cm="1">
        <f t="array" ref="JX12">TRANSPOSE(SUMIFS(Графики!$I$7:$I$306,Графики!$D$7:$D$306,DCF!JX6))</f>
        <v>0</v>
      </c>
      <c r="JY12" s="128" cm="1">
        <f t="array" ref="JY12">TRANSPOSE(SUMIFS(Графики!$I$7:$I$306,Графики!$D$7:$D$306,DCF!JY6))</f>
        <v>0</v>
      </c>
      <c r="JZ12" s="128" cm="1">
        <f t="array" ref="JZ12">TRANSPOSE(SUMIFS(Графики!$I$7:$I$306,Графики!$D$7:$D$306,DCF!JZ6))</f>
        <v>0</v>
      </c>
      <c r="KA12" s="128" cm="1">
        <f t="array" ref="KA12">TRANSPOSE(SUMIFS(Графики!$I$7:$I$306,Графики!$D$7:$D$306,DCF!KA6))</f>
        <v>0</v>
      </c>
      <c r="KB12" s="128" cm="1">
        <f t="array" ref="KB12">TRANSPOSE(SUMIFS(Графики!$I$7:$I$306,Графики!$D$7:$D$306,DCF!KB6))</f>
        <v>0</v>
      </c>
      <c r="KC12" s="128" cm="1">
        <f t="array" ref="KC12">TRANSPOSE(SUMIFS(Графики!$I$7:$I$306,Графики!$D$7:$D$306,DCF!KC6))</f>
        <v>0</v>
      </c>
      <c r="KD12" s="128" cm="1">
        <f t="array" ref="KD12">TRANSPOSE(SUMIFS(Графики!$I$7:$I$306,Графики!$D$7:$D$306,DCF!KD6))</f>
        <v>0</v>
      </c>
      <c r="KE12" s="128" cm="1">
        <f t="array" ref="KE12">TRANSPOSE(SUMIFS(Графики!$I$7:$I$306,Графики!$D$7:$D$306,DCF!KE6))</f>
        <v>0</v>
      </c>
      <c r="KF12" s="128" cm="1">
        <f t="array" ref="KF12">TRANSPOSE(SUMIFS(Графики!$I$7:$I$306,Графики!$D$7:$D$306,DCF!KF6))</f>
        <v>0</v>
      </c>
      <c r="KG12" s="128" cm="1">
        <f t="array" ref="KG12">TRANSPOSE(SUMIFS(Графики!$I$7:$I$306,Графики!$D$7:$D$306,DCF!KG6))</f>
        <v>0</v>
      </c>
      <c r="KH12" s="128" cm="1">
        <f t="array" ref="KH12">TRANSPOSE(SUMIFS(Графики!$I$7:$I$306,Графики!$D$7:$D$306,DCF!KH6))</f>
        <v>0</v>
      </c>
      <c r="KI12" s="128" cm="1">
        <f t="array" ref="KI12">TRANSPOSE(SUMIFS(Графики!$I$7:$I$306,Графики!$D$7:$D$306,DCF!KI6))</f>
        <v>0</v>
      </c>
      <c r="KJ12" s="128" cm="1">
        <f t="array" ref="KJ12">TRANSPOSE(SUMIFS(Графики!$I$7:$I$306,Графики!$D$7:$D$306,DCF!KJ6))</f>
        <v>0</v>
      </c>
      <c r="KK12" s="128" cm="1">
        <f t="array" ref="KK12">TRANSPOSE(SUMIFS(Графики!$I$7:$I$306,Графики!$D$7:$D$306,DCF!KK6))</f>
        <v>0</v>
      </c>
      <c r="KL12" s="128" cm="1">
        <f t="array" ref="KL12">TRANSPOSE(SUMIFS(Графики!$I$7:$I$306,Графики!$D$7:$D$306,DCF!KL6))</f>
        <v>0</v>
      </c>
      <c r="KM12" s="128" cm="1">
        <f t="array" ref="KM12">TRANSPOSE(SUMIFS(Графики!$I$7:$I$306,Графики!$D$7:$D$306,DCF!KM6))</f>
        <v>0</v>
      </c>
      <c r="KN12" s="128" cm="1">
        <f t="array" ref="KN12">TRANSPOSE(SUMIFS(Графики!$I$7:$I$306,Графики!$D$7:$D$306,DCF!KN6))</f>
        <v>0</v>
      </c>
      <c r="KO12" s="128" cm="1">
        <f t="array" ref="KO12">TRANSPOSE(SUMIFS(Графики!$I$7:$I$306,Графики!$D$7:$D$306,DCF!KO6))</f>
        <v>0</v>
      </c>
      <c r="KP12" s="128" cm="1">
        <f t="array" ref="KP12">TRANSPOSE(SUMIFS(Графики!$I$7:$I$306,Графики!$D$7:$D$306,DCF!KP6))</f>
        <v>0</v>
      </c>
      <c r="KQ12" s="128" cm="1">
        <f t="array" ref="KQ12">TRANSPOSE(SUMIFS(Графики!$I$7:$I$306,Графики!$D$7:$D$306,DCF!KQ6))</f>
        <v>0</v>
      </c>
    </row>
    <row r="13" spans="2:303" x14ac:dyDescent="0.35">
      <c r="B13" s="126" t="s">
        <v>37</v>
      </c>
      <c r="C13" s="123">
        <f t="shared" ref="C13:C14" si="330">SUM(D13:KQ13)</f>
        <v>641580597.84069002</v>
      </c>
      <c r="D13" s="128" cm="1">
        <f t="array" ref="D13">TRANSPOSE(SUMIFS(Графики!$H$7:$H$306,Графики!$D$7:$D$306,DCF!D$6))</f>
        <v>0</v>
      </c>
      <c r="E13" s="128" cm="1">
        <f t="array" ref="E13">TRANSPOSE(SUMIFS(Графики!$H$7:$H$306,Графики!$D$7:$D$306,DCF!E$6))</f>
        <v>0</v>
      </c>
      <c r="F13" s="128" cm="1">
        <f t="array" ref="F13">TRANSPOSE(SUMIFS(Графики!$H$7:$H$306,Графики!$D$7:$D$306,DCF!F$6))</f>
        <v>0</v>
      </c>
      <c r="G13" s="128" cm="1">
        <f t="array" ref="G13">TRANSPOSE(SUMIFS(Графики!$H$7:$H$306,Графики!$D$7:$D$306,DCF!G$6))</f>
        <v>0</v>
      </c>
      <c r="H13" s="128" cm="1">
        <f t="array" ref="H13">TRANSPOSE(SUMIFS(Графики!$H$7:$H$306,Графики!$D$7:$D$306,DCF!H$6))</f>
        <v>0</v>
      </c>
      <c r="I13" s="128" cm="1">
        <f t="array" ref="I13">TRANSPOSE(SUMIFS(Графики!$H$7:$H$306,Графики!$D$7:$D$306,DCF!I$6))</f>
        <v>0</v>
      </c>
      <c r="J13" s="128" cm="1">
        <f t="array" ref="J13">TRANSPOSE(SUMIFS(Графики!$H$7:$H$306,Графики!$D$7:$D$306,DCF!J$6))</f>
        <v>0</v>
      </c>
      <c r="K13" s="128" cm="1">
        <f t="array" ref="K13">TRANSPOSE(SUMIFS(Графики!$H$7:$H$306,Графики!$D$7:$D$306,DCF!K$6))</f>
        <v>0</v>
      </c>
      <c r="L13" s="128" cm="1">
        <f t="array" ref="L13">TRANSPOSE(SUMIFS(Графики!$H$7:$H$306,Графики!$D$7:$D$306,DCF!L$6))</f>
        <v>0</v>
      </c>
      <c r="M13" s="128" cm="1">
        <f t="array" ref="M13">TRANSPOSE(SUMIFS(Графики!$H$7:$H$306,Графики!$D$7:$D$306,DCF!M$6))</f>
        <v>0</v>
      </c>
      <c r="N13" s="128" cm="1">
        <f t="array" ref="N13">TRANSPOSE(SUMIFS(Графики!$H$7:$H$306,Графики!$D$7:$D$306,DCF!N$6))</f>
        <v>128316119.568138</v>
      </c>
      <c r="O13" s="128" cm="1">
        <f t="array" ref="O13">TRANSPOSE(SUMIFS(Графики!$H$7:$H$306,Графики!$D$7:$D$306,DCF!O$6))</f>
        <v>0</v>
      </c>
      <c r="P13" s="128" cm="1">
        <f t="array" ref="P13">TRANSPOSE(SUMIFS(Графики!$H$7:$H$306,Графики!$D$7:$D$306,DCF!P$6))</f>
        <v>0</v>
      </c>
      <c r="Q13" s="128" cm="1">
        <f t="array" ref="Q13">TRANSPOSE(SUMIFS(Графики!$H$7:$H$306,Графики!$D$7:$D$306,DCF!Q$6))</f>
        <v>0</v>
      </c>
      <c r="R13" s="128" cm="1">
        <f t="array" ref="R13">TRANSPOSE(SUMIFS(Графики!$H$7:$H$306,Графики!$D$7:$D$306,DCF!R$6))</f>
        <v>0</v>
      </c>
      <c r="S13" s="128" cm="1">
        <f t="array" ref="S13">TRANSPOSE(SUMIFS(Графики!$H$7:$H$306,Графики!$D$7:$D$306,DCF!S$6))</f>
        <v>0</v>
      </c>
      <c r="T13" s="128" cm="1">
        <f t="array" ref="T13">TRANSPOSE(SUMIFS(Графики!$H$7:$H$306,Графики!$D$7:$D$306,DCF!T$6))</f>
        <v>0</v>
      </c>
      <c r="U13" s="128" cm="1">
        <f t="array" ref="U13">TRANSPOSE(SUMIFS(Графики!$H$7:$H$306,Графики!$D$7:$D$306,DCF!U$6))</f>
        <v>0</v>
      </c>
      <c r="V13" s="128" cm="1">
        <f t="array" ref="V13">TRANSPOSE(SUMIFS(Графики!$H$7:$H$306,Графики!$D$7:$D$306,DCF!V$6))</f>
        <v>0</v>
      </c>
      <c r="W13" s="128" cm="1">
        <f t="array" ref="W13">TRANSPOSE(SUMIFS(Графики!$H$7:$H$306,Графики!$D$7:$D$306,DCF!W$6))</f>
        <v>0</v>
      </c>
      <c r="X13" s="128" cm="1">
        <f t="array" ref="X13">TRANSPOSE(SUMIFS(Графики!$H$7:$H$306,Графики!$D$7:$D$306,DCF!X$6))</f>
        <v>0</v>
      </c>
      <c r="Y13" s="128" cm="1">
        <f t="array" ref="Y13">TRANSPOSE(SUMIFS(Графики!$H$7:$H$306,Графики!$D$7:$D$306,DCF!Y$6))</f>
        <v>0</v>
      </c>
      <c r="Z13" s="128" cm="1">
        <f t="array" ref="Z13">TRANSPOSE(SUMIFS(Графики!$H$7:$H$306,Графики!$D$7:$D$306,DCF!Z$6))</f>
        <v>513264478.27255201</v>
      </c>
      <c r="AA13" s="128" cm="1">
        <f t="array" ref="AA13">TRANSPOSE(SUMIFS(Графики!$H$7:$H$306,Графики!$D$7:$D$306,DCF!AA$6))</f>
        <v>0</v>
      </c>
      <c r="AB13" s="128" cm="1">
        <f t="array" ref="AB13">TRANSPOSE(SUMIFS(Графики!$H$7:$H$306,Графики!$D$7:$D$306,DCF!AB$6))</f>
        <v>0</v>
      </c>
      <c r="AC13" s="128" cm="1">
        <f t="array" ref="AC13">TRANSPOSE(SUMIFS(Графики!$H$7:$H$306,Графики!$D$7:$D$306,DCF!AC$6))</f>
        <v>0</v>
      </c>
      <c r="AD13" s="128" cm="1">
        <f t="array" ref="AD13">TRANSPOSE(SUMIFS(Графики!$H$7:$H$306,Графики!$D$7:$D$306,DCF!AD$6))</f>
        <v>0</v>
      </c>
      <c r="AE13" s="128" cm="1">
        <f t="array" ref="AE13">TRANSPOSE(SUMIFS(Графики!$H$7:$H$306,Графики!$D$7:$D$306,DCF!AE$6))</f>
        <v>0</v>
      </c>
      <c r="AF13" s="128" cm="1">
        <f t="array" ref="AF13">TRANSPOSE(SUMIFS(Графики!$H$7:$H$306,Графики!$D$7:$D$306,DCF!AF$6))</f>
        <v>0</v>
      </c>
      <c r="AG13" s="128" cm="1">
        <f t="array" ref="AG13">TRANSPOSE(SUMIFS(Графики!$H$7:$H$306,Графики!$D$7:$D$306,DCF!AG$6))</f>
        <v>0</v>
      </c>
      <c r="AH13" s="128" cm="1">
        <f t="array" ref="AH13">TRANSPOSE(SUMIFS(Графики!$H$7:$H$306,Графики!$D$7:$D$306,DCF!AH$6))</f>
        <v>0</v>
      </c>
      <c r="AI13" s="128" cm="1">
        <f t="array" ref="AI13">TRANSPOSE(SUMIFS(Графики!$H$7:$H$306,Графики!$D$7:$D$306,DCF!AI$6))</f>
        <v>0</v>
      </c>
      <c r="AJ13" s="128" cm="1">
        <f t="array" ref="AJ13">TRANSPOSE(SUMIFS(Графики!$H$7:$H$306,Графики!$D$7:$D$306,DCF!AJ$6))</f>
        <v>0</v>
      </c>
      <c r="AK13" s="128" cm="1">
        <f t="array" ref="AK13">TRANSPOSE(SUMIFS(Графики!$H$7:$H$306,Графики!$D$7:$D$306,DCF!AK$6))</f>
        <v>0</v>
      </c>
      <c r="AL13" s="128" cm="1">
        <f t="array" ref="AL13">TRANSPOSE(SUMIFS(Графики!$H$7:$H$306,Графики!$D$7:$D$306,DCF!AL$6))</f>
        <v>0</v>
      </c>
      <c r="AM13" s="128" cm="1">
        <f t="array" ref="AM13">TRANSPOSE(SUMIFS(Графики!$H$7:$H$306,Графики!$D$7:$D$306,DCF!AM$6))</f>
        <v>0</v>
      </c>
      <c r="AN13" s="128" cm="1">
        <f t="array" ref="AN13">TRANSPOSE(SUMIFS(Графики!$H$7:$H$306,Графики!$D$7:$D$306,DCF!AN$6))</f>
        <v>0</v>
      </c>
      <c r="AO13" s="128" cm="1">
        <f t="array" ref="AO13">TRANSPOSE(SUMIFS(Графики!$H$7:$H$306,Графики!$D$7:$D$306,DCF!AO$6))</f>
        <v>0</v>
      </c>
      <c r="AP13" s="128" cm="1">
        <f t="array" ref="AP13">TRANSPOSE(SUMIFS(Графики!$H$7:$H$306,Графики!$D$7:$D$306,DCF!AP$6))</f>
        <v>0</v>
      </c>
      <c r="AQ13" s="128" cm="1">
        <f t="array" ref="AQ13">TRANSPOSE(SUMIFS(Графики!$H$7:$H$306,Графики!$D$7:$D$306,DCF!AQ$6))</f>
        <v>0</v>
      </c>
      <c r="AR13" s="128" cm="1">
        <f t="array" ref="AR13">TRANSPOSE(SUMIFS(Графики!$H$7:$H$306,Графики!$D$7:$D$306,DCF!AR$6))</f>
        <v>0</v>
      </c>
      <c r="AS13" s="128" cm="1">
        <f t="array" ref="AS13">TRANSPOSE(SUMIFS(Графики!$H$7:$H$306,Графики!$D$7:$D$306,DCF!AS$6))</f>
        <v>0</v>
      </c>
      <c r="AT13" s="128" cm="1">
        <f t="array" ref="AT13">TRANSPOSE(SUMIFS(Графики!$H$7:$H$306,Графики!$D$7:$D$306,DCF!AT$6))</f>
        <v>0</v>
      </c>
      <c r="AU13" s="128" cm="1">
        <f t="array" ref="AU13">TRANSPOSE(SUMIFS(Графики!$H$7:$H$306,Графики!$D$7:$D$306,DCF!AU$6))</f>
        <v>0</v>
      </c>
      <c r="AV13" s="128" cm="1">
        <f t="array" ref="AV13">TRANSPOSE(SUMIFS(Графики!$H$7:$H$306,Графики!$D$7:$D$306,DCF!AV$6))</f>
        <v>0</v>
      </c>
      <c r="AW13" s="128" cm="1">
        <f t="array" ref="AW13">TRANSPOSE(SUMIFS(Графики!$H$7:$H$306,Графики!$D$7:$D$306,DCF!AW$6))</f>
        <v>0</v>
      </c>
      <c r="AX13" s="128" cm="1">
        <f t="array" ref="AX13">TRANSPOSE(SUMIFS(Графики!$H$7:$H$306,Графики!$D$7:$D$306,DCF!AX$6))</f>
        <v>0</v>
      </c>
      <c r="AY13" s="128" cm="1">
        <f t="array" ref="AY13">TRANSPOSE(SUMIFS(Графики!$H$7:$H$306,Графики!$D$7:$D$306,DCF!AY$6))</f>
        <v>0</v>
      </c>
      <c r="AZ13" s="128" cm="1">
        <f t="array" ref="AZ13">TRANSPOSE(SUMIFS(Графики!$H$7:$H$306,Графики!$D$7:$D$306,DCF!AZ$6))</f>
        <v>0</v>
      </c>
      <c r="BA13" s="128" cm="1">
        <f t="array" ref="BA13">TRANSPOSE(SUMIFS(Графики!$H$7:$H$306,Графики!$D$7:$D$306,DCF!BA$6))</f>
        <v>0</v>
      </c>
      <c r="BB13" s="128" cm="1">
        <f t="array" ref="BB13">TRANSPOSE(SUMIFS(Графики!$H$7:$H$306,Графики!$D$7:$D$306,DCF!BB$6))</f>
        <v>0</v>
      </c>
      <c r="BC13" s="128" cm="1">
        <f t="array" ref="BC13">TRANSPOSE(SUMIFS(Графики!$H$7:$H$306,Графики!$D$7:$D$306,DCF!BC$6))</f>
        <v>0</v>
      </c>
      <c r="BD13" s="128" cm="1">
        <f t="array" ref="BD13">TRANSPOSE(SUMIFS(Графики!$H$7:$H$306,Графики!$D$7:$D$306,DCF!BD$6))</f>
        <v>0</v>
      </c>
      <c r="BE13" s="128" cm="1">
        <f t="array" ref="BE13">TRANSPOSE(SUMIFS(Графики!$H$7:$H$306,Графики!$D$7:$D$306,DCF!BE$6))</f>
        <v>0</v>
      </c>
      <c r="BF13" s="128" cm="1">
        <f t="array" ref="BF13">TRANSPOSE(SUMIFS(Графики!$H$7:$H$306,Графики!$D$7:$D$306,DCF!BF$6))</f>
        <v>0</v>
      </c>
      <c r="BG13" s="128" cm="1">
        <f t="array" ref="BG13">TRANSPOSE(SUMIFS(Графики!$H$7:$H$306,Графики!$D$7:$D$306,DCF!BG$6))</f>
        <v>0</v>
      </c>
      <c r="BH13" s="128" cm="1">
        <f t="array" ref="BH13">TRANSPOSE(SUMIFS(Графики!$H$7:$H$306,Графики!$D$7:$D$306,DCF!BH$6))</f>
        <v>0</v>
      </c>
      <c r="BI13" s="128" cm="1">
        <f t="array" ref="BI13">TRANSPOSE(SUMIFS(Графики!$H$7:$H$306,Графики!$D$7:$D$306,DCF!BI$6))</f>
        <v>0</v>
      </c>
      <c r="BJ13" s="128" cm="1">
        <f t="array" ref="BJ13">TRANSPOSE(SUMIFS(Графики!$H$7:$H$306,Графики!$D$7:$D$306,DCF!BJ$6))</f>
        <v>0</v>
      </c>
      <c r="BK13" s="128" cm="1">
        <f t="array" ref="BK13">TRANSPOSE(SUMIFS(Графики!$H$7:$H$306,Графики!$D$7:$D$306,DCF!BK$6))</f>
        <v>0</v>
      </c>
      <c r="BL13" s="128" cm="1">
        <f t="array" ref="BL13">TRANSPOSE(SUMIFS(Графики!$H$7:$H$306,Графики!$D$7:$D$306,DCF!BL$6))</f>
        <v>0</v>
      </c>
      <c r="BM13" s="128" cm="1">
        <f t="array" ref="BM13">TRANSPOSE(SUMIFS(Графики!$H$7:$H$306,Графики!$D$7:$D$306,DCF!BM$6))</f>
        <v>0</v>
      </c>
      <c r="BN13" s="128" cm="1">
        <f t="array" ref="BN13">TRANSPOSE(SUMIFS(Графики!$H$7:$H$306,Графики!$D$7:$D$306,DCF!BN$6))</f>
        <v>0</v>
      </c>
      <c r="BO13" s="128" cm="1">
        <f t="array" ref="BO13">TRANSPOSE(SUMIFS(Графики!$H$7:$H$306,Графики!$D$7:$D$306,DCF!BO$6))</f>
        <v>0</v>
      </c>
      <c r="BP13" s="128" cm="1">
        <f t="array" ref="BP13">TRANSPOSE(SUMIFS(Графики!$H$7:$H$306,Графики!$D$7:$D$306,DCF!BP$6))</f>
        <v>0</v>
      </c>
      <c r="BQ13" s="128" cm="1">
        <f t="array" ref="BQ13">TRANSPOSE(SUMIFS(Графики!$H$7:$H$306,Графики!$D$7:$D$306,DCF!BQ$6))</f>
        <v>0</v>
      </c>
      <c r="BR13" s="128" cm="1">
        <f t="array" ref="BR13">TRANSPOSE(SUMIFS(Графики!$H$7:$H$306,Графики!$D$7:$D$306,DCF!BR$6))</f>
        <v>0</v>
      </c>
      <c r="BS13" s="128" cm="1">
        <f t="array" ref="BS13">TRANSPOSE(SUMIFS(Графики!$H$7:$H$306,Графики!$D$7:$D$306,DCF!BS$6))</f>
        <v>0</v>
      </c>
      <c r="BT13" s="128" cm="1">
        <f t="array" ref="BT13">TRANSPOSE(SUMIFS(Графики!$H$7:$H$306,Графики!$D$7:$D$306,DCF!BT$6))</f>
        <v>0</v>
      </c>
      <c r="BU13" s="128" cm="1">
        <f t="array" ref="BU13">TRANSPOSE(SUMIFS(Графики!$H$7:$H$306,Графики!$D$7:$D$306,DCF!BU$6))</f>
        <v>0</v>
      </c>
      <c r="BV13" s="128" cm="1">
        <f t="array" ref="BV13">TRANSPOSE(SUMIFS(Графики!$H$7:$H$306,Графики!$D$7:$D$306,DCF!BV$6))</f>
        <v>0</v>
      </c>
      <c r="BW13" s="128" cm="1">
        <f t="array" ref="BW13">TRANSPOSE(SUMIFS(Графики!$H$7:$H$306,Графики!$D$7:$D$306,DCF!BW$6))</f>
        <v>0</v>
      </c>
      <c r="BX13" s="128" cm="1">
        <f t="array" ref="BX13">TRANSPOSE(SUMIFS(Графики!$H$7:$H$306,Графики!$D$7:$D$306,DCF!BX$6))</f>
        <v>0</v>
      </c>
      <c r="BY13" s="128" cm="1">
        <f t="array" ref="BY13">TRANSPOSE(SUMIFS(Графики!$H$7:$H$306,Графики!$D$7:$D$306,DCF!BY$6))</f>
        <v>0</v>
      </c>
      <c r="BZ13" s="128" cm="1">
        <f t="array" ref="BZ13">TRANSPOSE(SUMIFS(Графики!$H$7:$H$306,Графики!$D$7:$D$306,DCF!BZ$6))</f>
        <v>0</v>
      </c>
      <c r="CA13" s="128" cm="1">
        <f t="array" ref="CA13">TRANSPOSE(SUMIFS(Графики!$H$7:$H$306,Графики!$D$7:$D$306,DCF!CA$6))</f>
        <v>0</v>
      </c>
      <c r="CB13" s="128" cm="1">
        <f t="array" ref="CB13">TRANSPOSE(SUMIFS(Графики!$H$7:$H$306,Графики!$D$7:$D$306,DCF!CB$6))</f>
        <v>0</v>
      </c>
      <c r="CC13" s="128" cm="1">
        <f t="array" ref="CC13">TRANSPOSE(SUMIFS(Графики!$H$7:$H$306,Графики!$D$7:$D$306,DCF!CC$6))</f>
        <v>0</v>
      </c>
      <c r="CD13" s="128" cm="1">
        <f t="array" ref="CD13">TRANSPOSE(SUMIFS(Графики!$H$7:$H$306,Графики!$D$7:$D$306,DCF!CD$6))</f>
        <v>0</v>
      </c>
      <c r="CE13" s="128" cm="1">
        <f t="array" ref="CE13">TRANSPOSE(SUMIFS(Графики!$H$7:$H$306,Графики!$D$7:$D$306,DCF!CE$6))</f>
        <v>0</v>
      </c>
      <c r="CF13" s="128" cm="1">
        <f t="array" ref="CF13">TRANSPOSE(SUMIFS(Графики!$H$7:$H$306,Графики!$D$7:$D$306,DCF!CF$6))</f>
        <v>0</v>
      </c>
      <c r="CG13" s="128" cm="1">
        <f t="array" ref="CG13">TRANSPOSE(SUMIFS(Графики!$H$7:$H$306,Графики!$D$7:$D$306,DCF!CG$6))</f>
        <v>0</v>
      </c>
      <c r="CH13" s="128" cm="1">
        <f t="array" ref="CH13">TRANSPOSE(SUMIFS(Графики!$H$7:$H$306,Графики!$D$7:$D$306,DCF!CH$6))</f>
        <v>0</v>
      </c>
      <c r="CI13" s="128" cm="1">
        <f t="array" ref="CI13">TRANSPOSE(SUMIFS(Графики!$H$7:$H$306,Графики!$D$7:$D$306,DCF!CI$6))</f>
        <v>0</v>
      </c>
      <c r="CJ13" s="128" cm="1">
        <f t="array" ref="CJ13">TRANSPOSE(SUMIFS(Графики!$H$7:$H$306,Графики!$D$7:$D$306,DCF!CJ$6))</f>
        <v>0</v>
      </c>
      <c r="CK13" s="128" cm="1">
        <f t="array" ref="CK13">TRANSPOSE(SUMIFS(Графики!$H$7:$H$306,Графики!$D$7:$D$306,DCF!CK$6))</f>
        <v>0</v>
      </c>
      <c r="CL13" s="128" cm="1">
        <f t="array" ref="CL13">TRANSPOSE(SUMIFS(Графики!$H$7:$H$306,Графики!$D$7:$D$306,DCF!CL$6))</f>
        <v>0</v>
      </c>
      <c r="CM13" s="128" cm="1">
        <f t="array" ref="CM13">TRANSPOSE(SUMIFS(Графики!$H$7:$H$306,Графики!$D$7:$D$306,DCF!CM$6))</f>
        <v>0</v>
      </c>
      <c r="CN13" s="128" cm="1">
        <f t="array" ref="CN13">TRANSPOSE(SUMIFS(Графики!$H$7:$H$306,Графики!$D$7:$D$306,DCF!CN$6))</f>
        <v>0</v>
      </c>
      <c r="CO13" s="128" cm="1">
        <f t="array" ref="CO13">TRANSPOSE(SUMIFS(Графики!$H$7:$H$306,Графики!$D$7:$D$306,DCF!CO$6))</f>
        <v>0</v>
      </c>
      <c r="CP13" s="128" cm="1">
        <f t="array" ref="CP13">TRANSPOSE(SUMIFS(Графики!$H$7:$H$306,Графики!$D$7:$D$306,DCF!CP$6))</f>
        <v>0</v>
      </c>
      <c r="CQ13" s="128" cm="1">
        <f t="array" ref="CQ13">TRANSPOSE(SUMIFS(Графики!$H$7:$H$306,Графики!$D$7:$D$306,DCF!CQ$6))</f>
        <v>0</v>
      </c>
      <c r="CR13" s="128" cm="1">
        <f t="array" ref="CR13">TRANSPOSE(SUMIFS(Графики!$H$7:$H$306,Графики!$D$7:$D$306,DCF!CR$6))</f>
        <v>0</v>
      </c>
      <c r="CS13" s="128" cm="1">
        <f t="array" ref="CS13">TRANSPOSE(SUMIFS(Графики!$H$7:$H$306,Графики!$D$7:$D$306,DCF!CS$6))</f>
        <v>0</v>
      </c>
      <c r="CT13" s="128" cm="1">
        <f t="array" ref="CT13">TRANSPOSE(SUMIFS(Графики!$H$7:$H$306,Графики!$D$7:$D$306,DCF!CT$6))</f>
        <v>0</v>
      </c>
      <c r="CU13" s="128" cm="1">
        <f t="array" ref="CU13">TRANSPOSE(SUMIFS(Графики!$H$7:$H$306,Графики!$D$7:$D$306,DCF!CU$6))</f>
        <v>0</v>
      </c>
      <c r="CV13" s="128" cm="1">
        <f t="array" ref="CV13">TRANSPOSE(SUMIFS(Графики!$H$7:$H$306,Графики!$D$7:$D$306,DCF!CV$6))</f>
        <v>0</v>
      </c>
      <c r="CW13" s="128" cm="1">
        <f t="array" ref="CW13">TRANSPOSE(SUMIFS(Графики!$H$7:$H$306,Графики!$D$7:$D$306,DCF!CW$6))</f>
        <v>0</v>
      </c>
      <c r="CX13" s="128" cm="1">
        <f t="array" ref="CX13">TRANSPOSE(SUMIFS(Графики!$H$7:$H$306,Графики!$D$7:$D$306,DCF!CX$6))</f>
        <v>0</v>
      </c>
      <c r="CY13" s="128" cm="1">
        <f t="array" ref="CY13">TRANSPOSE(SUMIFS(Графики!$H$7:$H$306,Графики!$D$7:$D$306,DCF!CY$6))</f>
        <v>0</v>
      </c>
      <c r="CZ13" s="128" cm="1">
        <f t="array" ref="CZ13">TRANSPOSE(SUMIFS(Графики!$H$7:$H$306,Графики!$D$7:$D$306,DCF!CZ$6))</f>
        <v>0</v>
      </c>
      <c r="DA13" s="128" cm="1">
        <f t="array" ref="DA13">TRANSPOSE(SUMIFS(Графики!$H$7:$H$306,Графики!$D$7:$D$306,DCF!DA$6))</f>
        <v>0</v>
      </c>
      <c r="DB13" s="128" cm="1">
        <f t="array" ref="DB13">TRANSPOSE(SUMIFS(Графики!$H$7:$H$306,Графики!$D$7:$D$306,DCF!DB$6))</f>
        <v>0</v>
      </c>
      <c r="DC13" s="128" cm="1">
        <f t="array" ref="DC13">TRANSPOSE(SUMIFS(Графики!$H$7:$H$306,Графики!$D$7:$D$306,DCF!DC$6))</f>
        <v>0</v>
      </c>
      <c r="DD13" s="128" cm="1">
        <f t="array" ref="DD13">TRANSPOSE(SUMIFS(Графики!$H$7:$H$306,Графики!$D$7:$D$306,DCF!DD$6))</f>
        <v>0</v>
      </c>
      <c r="DE13" s="128" cm="1">
        <f t="array" ref="DE13">TRANSPOSE(SUMIFS(Графики!$H$7:$H$306,Графики!$D$7:$D$306,DCF!DE$6))</f>
        <v>0</v>
      </c>
      <c r="DF13" s="128" cm="1">
        <f t="array" ref="DF13">TRANSPOSE(SUMIFS(Графики!$H$7:$H$306,Графики!$D$7:$D$306,DCF!DF$6))</f>
        <v>0</v>
      </c>
      <c r="DG13" s="128" cm="1">
        <f t="array" ref="DG13">TRANSPOSE(SUMIFS(Графики!$H$7:$H$306,Графики!$D$7:$D$306,DCF!DG$6))</f>
        <v>0</v>
      </c>
      <c r="DH13" s="128" cm="1">
        <f t="array" ref="DH13">TRANSPOSE(SUMIFS(Графики!$H$7:$H$306,Графики!$D$7:$D$306,DCF!DH$6))</f>
        <v>0</v>
      </c>
      <c r="DI13" s="128" cm="1">
        <f t="array" ref="DI13">TRANSPOSE(SUMIFS(Графики!$H$7:$H$306,Графики!$D$7:$D$306,DCF!DI$6))</f>
        <v>0</v>
      </c>
      <c r="DJ13" s="128" cm="1">
        <f t="array" ref="DJ13">TRANSPOSE(SUMIFS(Графики!$H$7:$H$306,Графики!$D$7:$D$306,DCF!DJ$6))</f>
        <v>0</v>
      </c>
      <c r="DK13" s="128" cm="1">
        <f t="array" ref="DK13">TRANSPOSE(SUMIFS(Графики!$H$7:$H$306,Графики!$D$7:$D$306,DCF!DK$6))</f>
        <v>0</v>
      </c>
      <c r="DL13" s="128" cm="1">
        <f t="array" ref="DL13">TRANSPOSE(SUMIFS(Графики!$H$7:$H$306,Графики!$D$7:$D$306,DCF!DL$6))</f>
        <v>0</v>
      </c>
      <c r="DM13" s="128" cm="1">
        <f t="array" ref="DM13">TRANSPOSE(SUMIFS(Графики!$H$7:$H$306,Графики!$D$7:$D$306,DCF!DM$6))</f>
        <v>0</v>
      </c>
      <c r="DN13" s="128" cm="1">
        <f t="array" ref="DN13">TRANSPOSE(SUMIFS(Графики!$H$7:$H$306,Графики!$D$7:$D$306,DCF!DN$6))</f>
        <v>0</v>
      </c>
      <c r="DO13" s="128" cm="1">
        <f t="array" ref="DO13">TRANSPOSE(SUMIFS(Графики!$H$7:$H$306,Графики!$D$7:$D$306,DCF!DO$6))</f>
        <v>0</v>
      </c>
      <c r="DP13" s="128" cm="1">
        <f t="array" ref="DP13">TRANSPOSE(SUMIFS(Графики!$H$7:$H$306,Графики!$D$7:$D$306,DCF!DP$6))</f>
        <v>0</v>
      </c>
      <c r="DQ13" s="128" cm="1">
        <f t="array" ref="DQ13">TRANSPOSE(SUMIFS(Графики!$H$7:$H$306,Графики!$D$7:$D$306,DCF!DQ$6))</f>
        <v>0</v>
      </c>
      <c r="DR13" s="128" cm="1">
        <f t="array" ref="DR13">TRANSPOSE(SUMIFS(Графики!$H$7:$H$306,Графики!$D$7:$D$306,DCF!DR$6))</f>
        <v>0</v>
      </c>
      <c r="DS13" s="128" cm="1">
        <f t="array" ref="DS13">TRANSPOSE(SUMIFS(Графики!$H$7:$H$306,Графики!$D$7:$D$306,DCF!DS$6))</f>
        <v>0</v>
      </c>
      <c r="DT13" s="128" cm="1">
        <f t="array" ref="DT13">TRANSPOSE(SUMIFS(Графики!$H$7:$H$306,Графики!$D$7:$D$306,DCF!DT$6))</f>
        <v>0</v>
      </c>
      <c r="DU13" s="128" cm="1">
        <f t="array" ref="DU13">TRANSPOSE(SUMIFS(Графики!$H$7:$H$306,Графики!$D$7:$D$306,DCF!DU$6))</f>
        <v>0</v>
      </c>
      <c r="DV13" s="128" cm="1">
        <f t="array" ref="DV13">TRANSPOSE(SUMIFS(Графики!$H$7:$H$306,Графики!$D$7:$D$306,DCF!DV$6))</f>
        <v>0</v>
      </c>
      <c r="DW13" s="128" cm="1">
        <f t="array" ref="DW13">TRANSPOSE(SUMIFS(Графики!$H$7:$H$306,Графики!$D$7:$D$306,DCF!DW$6))</f>
        <v>0</v>
      </c>
      <c r="DX13" s="128" cm="1">
        <f t="array" ref="DX13">TRANSPOSE(SUMIFS(Графики!$H$7:$H$306,Графики!$D$7:$D$306,DCF!DX$6))</f>
        <v>0</v>
      </c>
      <c r="DY13" s="128" cm="1">
        <f t="array" ref="DY13">TRANSPOSE(SUMIFS(Графики!$H$7:$H$306,Графики!$D$7:$D$306,DCF!DY$6))</f>
        <v>0</v>
      </c>
      <c r="DZ13" s="128" cm="1">
        <f t="array" ref="DZ13">TRANSPOSE(SUMIFS(Графики!$H$7:$H$306,Графики!$D$7:$D$306,DCF!DZ$6))</f>
        <v>0</v>
      </c>
      <c r="EA13" s="128" cm="1">
        <f t="array" ref="EA13">TRANSPOSE(SUMIFS(Графики!$H$7:$H$306,Графики!$D$7:$D$306,DCF!EA$6))</f>
        <v>0</v>
      </c>
      <c r="EB13" s="128" cm="1">
        <f t="array" ref="EB13">TRANSPOSE(SUMIFS(Графики!$H$7:$H$306,Графики!$D$7:$D$306,DCF!EB$6))</f>
        <v>0</v>
      </c>
      <c r="EC13" s="128" cm="1">
        <f t="array" ref="EC13">TRANSPOSE(SUMIFS(Графики!$H$7:$H$306,Графики!$D$7:$D$306,DCF!EC$6))</f>
        <v>0</v>
      </c>
      <c r="ED13" s="128" cm="1">
        <f t="array" ref="ED13">TRANSPOSE(SUMIFS(Графики!$H$7:$H$306,Графики!$D$7:$D$306,DCF!ED$6))</f>
        <v>0</v>
      </c>
      <c r="EE13" s="128" cm="1">
        <f t="array" ref="EE13">TRANSPOSE(SUMIFS(Графики!$H$7:$H$306,Графики!$D$7:$D$306,DCF!EE$6))</f>
        <v>0</v>
      </c>
      <c r="EF13" s="128" cm="1">
        <f t="array" ref="EF13">TRANSPOSE(SUMIFS(Графики!$H$7:$H$306,Графики!$D$7:$D$306,DCF!EF$6))</f>
        <v>0</v>
      </c>
      <c r="EG13" s="128" cm="1">
        <f t="array" ref="EG13">TRANSPOSE(SUMIFS(Графики!$H$7:$H$306,Графики!$D$7:$D$306,DCF!EG$6))</f>
        <v>0</v>
      </c>
      <c r="EH13" s="128" cm="1">
        <f t="array" ref="EH13">TRANSPOSE(SUMIFS(Графики!$H$7:$H$306,Графики!$D$7:$D$306,DCF!EH$6))</f>
        <v>0</v>
      </c>
      <c r="EI13" s="128" cm="1">
        <f t="array" ref="EI13">TRANSPOSE(SUMIFS(Графики!$H$7:$H$306,Графики!$D$7:$D$306,DCF!EI$6))</f>
        <v>0</v>
      </c>
      <c r="EJ13" s="128" cm="1">
        <f t="array" ref="EJ13">TRANSPOSE(SUMIFS(Графики!$H$7:$H$306,Графики!$D$7:$D$306,DCF!EJ$6))</f>
        <v>0</v>
      </c>
      <c r="EK13" s="128" cm="1">
        <f t="array" ref="EK13">TRANSPOSE(SUMIFS(Графики!$H$7:$H$306,Графики!$D$7:$D$306,DCF!EK$6))</f>
        <v>0</v>
      </c>
      <c r="EL13" s="128" cm="1">
        <f t="array" ref="EL13">TRANSPOSE(SUMIFS(Графики!$H$7:$H$306,Графики!$D$7:$D$306,DCF!EL$6))</f>
        <v>0</v>
      </c>
      <c r="EM13" s="128" cm="1">
        <f t="array" ref="EM13">TRANSPOSE(SUMIFS(Графики!$H$7:$H$306,Графики!$D$7:$D$306,DCF!EM$6))</f>
        <v>0</v>
      </c>
      <c r="EN13" s="128" cm="1">
        <f t="array" ref="EN13">TRANSPOSE(SUMIFS(Графики!$H$7:$H$306,Графики!$D$7:$D$306,DCF!EN$6))</f>
        <v>0</v>
      </c>
      <c r="EO13" s="128" cm="1">
        <f t="array" ref="EO13">TRANSPOSE(SUMIFS(Графики!$H$7:$H$306,Графики!$D$7:$D$306,DCF!EO$6))</f>
        <v>0</v>
      </c>
      <c r="EP13" s="128" cm="1">
        <f t="array" ref="EP13">TRANSPOSE(SUMIFS(Графики!$H$7:$H$306,Графики!$D$7:$D$306,DCF!EP$6))</f>
        <v>0</v>
      </c>
      <c r="EQ13" s="128" cm="1">
        <f t="array" ref="EQ13">TRANSPOSE(SUMIFS(Графики!$H$7:$H$306,Графики!$D$7:$D$306,DCF!EQ$6))</f>
        <v>0</v>
      </c>
      <c r="ER13" s="128" cm="1">
        <f t="array" ref="ER13">TRANSPOSE(SUMIFS(Графики!$H$7:$H$306,Графики!$D$7:$D$306,DCF!ER$6))</f>
        <v>0</v>
      </c>
      <c r="ES13" s="128" cm="1">
        <f t="array" ref="ES13">TRANSPOSE(SUMIFS(Графики!$H$7:$H$306,Графики!$D$7:$D$306,DCF!ES$6))</f>
        <v>0</v>
      </c>
      <c r="ET13" s="128" cm="1">
        <f t="array" ref="ET13">TRANSPOSE(SUMIFS(Графики!$H$7:$H$306,Графики!$D$7:$D$306,DCF!ET$6))</f>
        <v>0</v>
      </c>
      <c r="EU13" s="128" cm="1">
        <f t="array" ref="EU13">TRANSPOSE(SUMIFS(Графики!$H$7:$H$306,Графики!$D$7:$D$306,DCF!EU$6))</f>
        <v>0</v>
      </c>
      <c r="EV13" s="128" cm="1">
        <f t="array" ref="EV13">TRANSPOSE(SUMIFS(Графики!$H$7:$H$306,Графики!$D$7:$D$306,DCF!EV$6))</f>
        <v>0</v>
      </c>
      <c r="EW13" s="128" cm="1">
        <f t="array" ref="EW13">TRANSPOSE(SUMIFS(Графики!$H$7:$H$306,Графики!$D$7:$D$306,DCF!EW$6))</f>
        <v>0</v>
      </c>
      <c r="EX13" s="128" cm="1">
        <f t="array" ref="EX13">TRANSPOSE(SUMIFS(Графики!$H$7:$H$306,Графики!$D$7:$D$306,DCF!EX$6))</f>
        <v>0</v>
      </c>
      <c r="EY13" s="128" cm="1">
        <f t="array" ref="EY13">TRANSPOSE(SUMIFS(Графики!$H$7:$H$306,Графики!$D$7:$D$306,DCF!EY$6))</f>
        <v>0</v>
      </c>
      <c r="EZ13" s="128" cm="1">
        <f t="array" ref="EZ13">TRANSPOSE(SUMIFS(Графики!$H$7:$H$306,Графики!$D$7:$D$306,DCF!EZ$6))</f>
        <v>0</v>
      </c>
      <c r="FA13" s="128" cm="1">
        <f t="array" ref="FA13">TRANSPOSE(SUMIFS(Графики!$H$7:$H$306,Графики!$D$7:$D$306,DCF!FA$6))</f>
        <v>0</v>
      </c>
      <c r="FB13" s="128" cm="1">
        <f t="array" ref="FB13">TRANSPOSE(SUMIFS(Графики!$H$7:$H$306,Графики!$D$7:$D$306,DCF!FB$6))</f>
        <v>0</v>
      </c>
      <c r="FC13" s="128" cm="1">
        <f t="array" ref="FC13">TRANSPOSE(SUMIFS(Графики!$H$7:$H$306,Графики!$D$7:$D$306,DCF!FC$6))</f>
        <v>0</v>
      </c>
      <c r="FD13" s="128" cm="1">
        <f t="array" ref="FD13">TRANSPOSE(SUMIFS(Графики!$H$7:$H$306,Графики!$D$7:$D$306,DCF!FD$6))</f>
        <v>0</v>
      </c>
      <c r="FE13" s="128" cm="1">
        <f t="array" ref="FE13">TRANSPOSE(SUMIFS(Графики!$H$7:$H$306,Графики!$D$7:$D$306,DCF!FE$6))</f>
        <v>0</v>
      </c>
      <c r="FF13" s="128" cm="1">
        <f t="array" ref="FF13">TRANSPOSE(SUMIFS(Графики!$H$7:$H$306,Графики!$D$7:$D$306,DCF!FF$6))</f>
        <v>0</v>
      </c>
      <c r="FG13" s="128" cm="1">
        <f t="array" ref="FG13">TRANSPOSE(SUMIFS(Графики!$H$7:$H$306,Графики!$D$7:$D$306,DCF!FG$6))</f>
        <v>0</v>
      </c>
      <c r="FH13" s="128" cm="1">
        <f t="array" ref="FH13">TRANSPOSE(SUMIFS(Графики!$H$7:$H$306,Графики!$D$7:$D$306,DCF!FH$6))</f>
        <v>0</v>
      </c>
      <c r="FI13" s="128" cm="1">
        <f t="array" ref="FI13">TRANSPOSE(SUMIFS(Графики!$H$7:$H$306,Графики!$D$7:$D$306,DCF!FI$6))</f>
        <v>0</v>
      </c>
      <c r="FJ13" s="128" cm="1">
        <f t="array" ref="FJ13">TRANSPOSE(SUMIFS(Графики!$H$7:$H$306,Графики!$D$7:$D$306,DCF!FJ$6))</f>
        <v>0</v>
      </c>
      <c r="FK13" s="128" cm="1">
        <f t="array" ref="FK13">TRANSPOSE(SUMIFS(Графики!$H$7:$H$306,Графики!$D$7:$D$306,DCF!FK$6))</f>
        <v>0</v>
      </c>
      <c r="FL13" s="128" cm="1">
        <f t="array" ref="FL13">TRANSPOSE(SUMIFS(Графики!$H$7:$H$306,Графики!$D$7:$D$306,DCF!FL$6))</f>
        <v>0</v>
      </c>
      <c r="FM13" s="128" cm="1">
        <f t="array" ref="FM13">TRANSPOSE(SUMIFS(Графики!$H$7:$H$306,Графики!$D$7:$D$306,DCF!FM$6))</f>
        <v>0</v>
      </c>
      <c r="FN13" s="128" cm="1">
        <f t="array" ref="FN13">TRANSPOSE(SUMIFS(Графики!$H$7:$H$306,Графики!$D$7:$D$306,DCF!FN$6))</f>
        <v>0</v>
      </c>
      <c r="FO13" s="128" cm="1">
        <f t="array" ref="FO13">TRANSPOSE(SUMIFS(Графики!$H$7:$H$306,Графики!$D$7:$D$306,DCF!FO$6))</f>
        <v>0</v>
      </c>
      <c r="FP13" s="128" cm="1">
        <f t="array" ref="FP13">TRANSPOSE(SUMIFS(Графики!$H$7:$H$306,Графики!$D$7:$D$306,DCF!FP$6))</f>
        <v>0</v>
      </c>
      <c r="FQ13" s="128" cm="1">
        <f t="array" ref="FQ13">TRANSPOSE(SUMIFS(Графики!$H$7:$H$306,Графики!$D$7:$D$306,DCF!FQ$6))</f>
        <v>0</v>
      </c>
      <c r="FR13" s="128" cm="1">
        <f t="array" ref="FR13">TRANSPOSE(SUMIFS(Графики!$H$7:$H$306,Графики!$D$7:$D$306,DCF!FR$6))</f>
        <v>0</v>
      </c>
      <c r="FS13" s="128" cm="1">
        <f t="array" ref="FS13">TRANSPOSE(SUMIFS(Графики!$H$7:$H$306,Графики!$D$7:$D$306,DCF!FS$6))</f>
        <v>0</v>
      </c>
      <c r="FT13" s="128" cm="1">
        <f t="array" ref="FT13">TRANSPOSE(SUMIFS(Графики!$H$7:$H$306,Графики!$D$7:$D$306,DCF!FT$6))</f>
        <v>0</v>
      </c>
      <c r="FU13" s="128" cm="1">
        <f t="array" ref="FU13">TRANSPOSE(SUMIFS(Графики!$H$7:$H$306,Графики!$D$7:$D$306,DCF!FU$6))</f>
        <v>0</v>
      </c>
      <c r="FV13" s="128" cm="1">
        <f t="array" ref="FV13">TRANSPOSE(SUMIFS(Графики!$H$7:$H$306,Графики!$D$7:$D$306,DCF!FV$6))</f>
        <v>0</v>
      </c>
      <c r="FW13" s="128" cm="1">
        <f t="array" ref="FW13">TRANSPOSE(SUMIFS(Графики!$H$7:$H$306,Графики!$D$7:$D$306,DCF!FW$6))</f>
        <v>0</v>
      </c>
      <c r="FX13" s="128" cm="1">
        <f t="array" ref="FX13">TRANSPOSE(SUMIFS(Графики!$H$7:$H$306,Графики!$D$7:$D$306,DCF!FX$6))</f>
        <v>0</v>
      </c>
      <c r="FY13" s="128" cm="1">
        <f t="array" ref="FY13">TRANSPOSE(SUMIFS(Графики!$H$7:$H$306,Графики!$D$7:$D$306,DCF!FY$6))</f>
        <v>0</v>
      </c>
      <c r="FZ13" s="128" cm="1">
        <f t="array" ref="FZ13">TRANSPOSE(SUMIFS(Графики!$H$7:$H$306,Графики!$D$7:$D$306,DCF!FZ$6))</f>
        <v>0</v>
      </c>
      <c r="GA13" s="128" cm="1">
        <f t="array" ref="GA13">TRANSPOSE(SUMIFS(Графики!$H$7:$H$306,Графики!$D$7:$D$306,DCF!GA$6))</f>
        <v>0</v>
      </c>
      <c r="GB13" s="128" cm="1">
        <f t="array" ref="GB13">TRANSPOSE(SUMIFS(Графики!$H$7:$H$306,Графики!$D$7:$D$306,DCF!GB$6))</f>
        <v>0</v>
      </c>
      <c r="GC13" s="128" cm="1">
        <f t="array" ref="GC13">TRANSPOSE(SUMIFS(Графики!$H$7:$H$306,Графики!$D$7:$D$306,DCF!GC$6))</f>
        <v>0</v>
      </c>
      <c r="GD13" s="128" cm="1">
        <f t="array" ref="GD13">TRANSPOSE(SUMIFS(Графики!$H$7:$H$306,Графики!$D$7:$D$306,DCF!GD$6))</f>
        <v>0</v>
      </c>
      <c r="GE13" s="128" cm="1">
        <f t="array" ref="GE13">TRANSPOSE(SUMIFS(Графики!$H$7:$H$306,Графики!$D$7:$D$306,DCF!GE$6))</f>
        <v>0</v>
      </c>
      <c r="GF13" s="128" cm="1">
        <f t="array" ref="GF13">TRANSPOSE(SUMIFS(Графики!$H$7:$H$306,Графики!$D$7:$D$306,DCF!GF$6))</f>
        <v>0</v>
      </c>
      <c r="GG13" s="128" cm="1">
        <f t="array" ref="GG13">TRANSPOSE(SUMIFS(Графики!$H$7:$H$306,Графики!$D$7:$D$306,DCF!GG$6))</f>
        <v>0</v>
      </c>
      <c r="GH13" s="128" cm="1">
        <f t="array" ref="GH13">TRANSPOSE(SUMIFS(Графики!$H$7:$H$306,Графики!$D$7:$D$306,DCF!GH$6))</f>
        <v>0</v>
      </c>
      <c r="GI13" s="128" cm="1">
        <f t="array" ref="GI13">TRANSPOSE(SUMIFS(Графики!$H$7:$H$306,Графики!$D$7:$D$306,DCF!GI$6))</f>
        <v>0</v>
      </c>
      <c r="GJ13" s="128" cm="1">
        <f t="array" ref="GJ13">TRANSPOSE(SUMIFS(Графики!$H$7:$H$306,Графики!$D$7:$D$306,DCF!GJ$6))</f>
        <v>0</v>
      </c>
      <c r="GK13" s="128" cm="1">
        <f t="array" ref="GK13">TRANSPOSE(SUMIFS(Графики!$H$7:$H$306,Графики!$D$7:$D$306,DCF!GK$6))</f>
        <v>0</v>
      </c>
      <c r="GL13" s="128" cm="1">
        <f t="array" ref="GL13">TRANSPOSE(SUMIFS(Графики!$H$7:$H$306,Графики!$D$7:$D$306,DCF!GL$6))</f>
        <v>0</v>
      </c>
      <c r="GM13" s="128" cm="1">
        <f t="array" ref="GM13">TRANSPOSE(SUMIFS(Графики!$H$7:$H$306,Графики!$D$7:$D$306,DCF!GM$6))</f>
        <v>0</v>
      </c>
      <c r="GN13" s="128" cm="1">
        <f t="array" ref="GN13">TRANSPOSE(SUMIFS(Графики!$H$7:$H$306,Графики!$D$7:$D$306,DCF!GN$6))</f>
        <v>0</v>
      </c>
      <c r="GO13" s="128" cm="1">
        <f t="array" ref="GO13">TRANSPOSE(SUMIFS(Графики!$H$7:$H$306,Графики!$D$7:$D$306,DCF!GO$6))</f>
        <v>0</v>
      </c>
      <c r="GP13" s="128" cm="1">
        <f t="array" ref="GP13">TRANSPOSE(SUMIFS(Графики!$H$7:$H$306,Графики!$D$7:$D$306,DCF!GP$6))</f>
        <v>0</v>
      </c>
      <c r="GQ13" s="128" cm="1">
        <f t="array" ref="GQ13">TRANSPOSE(SUMIFS(Графики!$H$7:$H$306,Графики!$D$7:$D$306,DCF!GQ$6))</f>
        <v>0</v>
      </c>
      <c r="GR13" s="128" cm="1">
        <f t="array" ref="GR13">TRANSPOSE(SUMIFS(Графики!$H$7:$H$306,Графики!$D$7:$D$306,DCF!GR$6))</f>
        <v>0</v>
      </c>
      <c r="GS13" s="128" cm="1">
        <f t="array" ref="GS13">TRANSPOSE(SUMIFS(Графики!$H$7:$H$306,Графики!$D$7:$D$306,DCF!GS$6))</f>
        <v>0</v>
      </c>
      <c r="GT13" s="128" cm="1">
        <f t="array" ref="GT13">TRANSPOSE(SUMIFS(Графики!$H$7:$H$306,Графики!$D$7:$D$306,DCF!GT$6))</f>
        <v>0</v>
      </c>
      <c r="GU13" s="128" cm="1">
        <f t="array" ref="GU13">TRANSPOSE(SUMIFS(Графики!$H$7:$H$306,Графики!$D$7:$D$306,DCF!GU$6))</f>
        <v>0</v>
      </c>
      <c r="GV13" s="128" cm="1">
        <f t="array" ref="GV13">TRANSPOSE(SUMIFS(Графики!$H$7:$H$306,Графики!$D$7:$D$306,DCF!GV$6))</f>
        <v>0</v>
      </c>
      <c r="GW13" s="128" cm="1">
        <f t="array" ref="GW13">TRANSPOSE(SUMIFS(Графики!$H$7:$H$306,Графики!$D$7:$D$306,DCF!GW$6))</f>
        <v>0</v>
      </c>
      <c r="GX13" s="128" cm="1">
        <f t="array" ref="GX13">TRANSPOSE(SUMIFS(Графики!$H$7:$H$306,Графики!$D$7:$D$306,DCF!GX$6))</f>
        <v>0</v>
      </c>
      <c r="GY13" s="128" cm="1">
        <f t="array" ref="GY13">TRANSPOSE(SUMIFS(Графики!$H$7:$H$306,Графики!$D$7:$D$306,DCF!GY$6))</f>
        <v>0</v>
      </c>
      <c r="GZ13" s="128" cm="1">
        <f t="array" ref="GZ13">TRANSPOSE(SUMIFS(Графики!$H$7:$H$306,Графики!$D$7:$D$306,DCF!GZ$6))</f>
        <v>0</v>
      </c>
      <c r="HA13" s="128" cm="1">
        <f t="array" ref="HA13">TRANSPOSE(SUMIFS(Графики!$H$7:$H$306,Графики!$D$7:$D$306,DCF!HA$6))</f>
        <v>0</v>
      </c>
      <c r="HB13" s="128" cm="1">
        <f t="array" ref="HB13">TRANSPOSE(SUMIFS(Графики!$H$7:$H$306,Графики!$D$7:$D$306,DCF!HB$6))</f>
        <v>0</v>
      </c>
      <c r="HC13" s="128" cm="1">
        <f t="array" ref="HC13">TRANSPOSE(SUMIFS(Графики!$H$7:$H$306,Графики!$D$7:$D$306,DCF!HC$6))</f>
        <v>0</v>
      </c>
      <c r="HD13" s="128" cm="1">
        <f t="array" ref="HD13">TRANSPOSE(SUMIFS(Графики!$H$7:$H$306,Графики!$D$7:$D$306,DCF!HD$6))</f>
        <v>0</v>
      </c>
      <c r="HE13" s="128" cm="1">
        <f t="array" ref="HE13">TRANSPOSE(SUMIFS(Графики!$H$7:$H$306,Графики!$D$7:$D$306,DCF!HE$6))</f>
        <v>0</v>
      </c>
      <c r="HF13" s="128" cm="1">
        <f t="array" ref="HF13">TRANSPOSE(SUMIFS(Графики!$H$7:$H$306,Графики!$D$7:$D$306,DCF!HF$6))</f>
        <v>0</v>
      </c>
      <c r="HG13" s="128" cm="1">
        <f t="array" ref="HG13">TRANSPOSE(SUMIFS(Графики!$H$7:$H$306,Графики!$D$7:$D$306,DCF!HG$6))</f>
        <v>0</v>
      </c>
      <c r="HH13" s="128" cm="1">
        <f t="array" ref="HH13">TRANSPOSE(SUMIFS(Графики!$H$7:$H$306,Графики!$D$7:$D$306,DCF!HH$6))</f>
        <v>0</v>
      </c>
      <c r="HI13" s="128" cm="1">
        <f t="array" ref="HI13">TRANSPOSE(SUMIFS(Графики!$H$7:$H$306,Графики!$D$7:$D$306,DCF!HI$6))</f>
        <v>0</v>
      </c>
      <c r="HJ13" s="128" cm="1">
        <f t="array" ref="HJ13">TRANSPOSE(SUMIFS(Графики!$H$7:$H$306,Графики!$D$7:$D$306,DCF!HJ$6))</f>
        <v>0</v>
      </c>
      <c r="HK13" s="128" cm="1">
        <f t="array" ref="HK13">TRANSPOSE(SUMIFS(Графики!$H$7:$H$306,Графики!$D$7:$D$306,DCF!HK$6))</f>
        <v>0</v>
      </c>
      <c r="HL13" s="128" cm="1">
        <f t="array" ref="HL13">TRANSPOSE(SUMIFS(Графики!$H$7:$H$306,Графики!$D$7:$D$306,DCF!HL$6))</f>
        <v>0</v>
      </c>
      <c r="HM13" s="128" cm="1">
        <f t="array" ref="HM13">TRANSPOSE(SUMIFS(Графики!$H$7:$H$306,Графики!$D$7:$D$306,DCF!HM$6))</f>
        <v>0</v>
      </c>
      <c r="HN13" s="128" cm="1">
        <f t="array" ref="HN13">TRANSPOSE(SUMIFS(Графики!$H$7:$H$306,Графики!$D$7:$D$306,DCF!HN$6))</f>
        <v>0</v>
      </c>
      <c r="HO13" s="128" cm="1">
        <f t="array" ref="HO13">TRANSPOSE(SUMIFS(Графики!$H$7:$H$306,Графики!$D$7:$D$306,DCF!HO$6))</f>
        <v>0</v>
      </c>
      <c r="HP13" s="128" cm="1">
        <f t="array" ref="HP13">TRANSPOSE(SUMIFS(Графики!$H$7:$H$306,Графики!$D$7:$D$306,DCF!HP$6))</f>
        <v>0</v>
      </c>
      <c r="HQ13" s="128" cm="1">
        <f t="array" ref="HQ13">TRANSPOSE(SUMIFS(Графики!$H$7:$H$306,Графики!$D$7:$D$306,DCF!HQ$6))</f>
        <v>0</v>
      </c>
      <c r="HR13" s="128" cm="1">
        <f t="array" ref="HR13">TRANSPOSE(SUMIFS(Графики!$H$7:$H$306,Графики!$D$7:$D$306,DCF!HR$6))</f>
        <v>0</v>
      </c>
      <c r="HS13" s="128" cm="1">
        <f t="array" ref="HS13">TRANSPOSE(SUMIFS(Графики!$H$7:$H$306,Графики!$D$7:$D$306,DCF!HS$6))</f>
        <v>0</v>
      </c>
      <c r="HT13" s="128" cm="1">
        <f t="array" ref="HT13">TRANSPOSE(SUMIFS(Графики!$H$7:$H$306,Графики!$D$7:$D$306,DCF!HT$6))</f>
        <v>0</v>
      </c>
      <c r="HU13" s="128" cm="1">
        <f t="array" ref="HU13">TRANSPOSE(SUMIFS(Графики!$H$7:$H$306,Графики!$D$7:$D$306,DCF!HU$6))</f>
        <v>0</v>
      </c>
      <c r="HV13" s="128" cm="1">
        <f t="array" ref="HV13">TRANSPOSE(SUMIFS(Графики!$H$7:$H$306,Графики!$D$7:$D$306,DCF!HV$6))</f>
        <v>0</v>
      </c>
      <c r="HW13" s="128" cm="1">
        <f t="array" ref="HW13">TRANSPOSE(SUMIFS(Графики!$H$7:$H$306,Графики!$D$7:$D$306,DCF!HW$6))</f>
        <v>0</v>
      </c>
      <c r="HX13" s="128" cm="1">
        <f t="array" ref="HX13">TRANSPOSE(SUMIFS(Графики!$H$7:$H$306,Графики!$D$7:$D$306,DCF!HX$6))</f>
        <v>0</v>
      </c>
      <c r="HY13" s="128" cm="1">
        <f t="array" ref="HY13">TRANSPOSE(SUMIFS(Графики!$H$7:$H$306,Графики!$D$7:$D$306,DCF!HY$6))</f>
        <v>0</v>
      </c>
      <c r="HZ13" s="128" cm="1">
        <f t="array" ref="HZ13">TRANSPOSE(SUMIFS(Графики!$H$7:$H$306,Графики!$D$7:$D$306,DCF!HZ$6))</f>
        <v>0</v>
      </c>
      <c r="IA13" s="128" cm="1">
        <f t="array" ref="IA13">TRANSPOSE(SUMIFS(Графики!$H$7:$H$306,Графики!$D$7:$D$306,DCF!IA$6))</f>
        <v>0</v>
      </c>
      <c r="IB13" s="128" cm="1">
        <f t="array" ref="IB13">TRANSPOSE(SUMIFS(Графики!$H$7:$H$306,Графики!$D$7:$D$306,DCF!IB$6))</f>
        <v>0</v>
      </c>
      <c r="IC13" s="128" cm="1">
        <f t="array" ref="IC13">TRANSPOSE(SUMIFS(Графики!$H$7:$H$306,Графики!$D$7:$D$306,DCF!IC$6))</f>
        <v>0</v>
      </c>
      <c r="ID13" s="128" cm="1">
        <f t="array" ref="ID13">TRANSPOSE(SUMIFS(Графики!$H$7:$H$306,Графики!$D$7:$D$306,DCF!ID$6))</f>
        <v>0</v>
      </c>
      <c r="IE13" s="128" cm="1">
        <f t="array" ref="IE13">TRANSPOSE(SUMIFS(Графики!$H$7:$H$306,Графики!$D$7:$D$306,DCF!IE$6))</f>
        <v>0</v>
      </c>
      <c r="IF13" s="128" cm="1">
        <f t="array" ref="IF13">TRANSPOSE(SUMIFS(Графики!$H$7:$H$306,Графики!$D$7:$D$306,DCF!IF$6))</f>
        <v>0</v>
      </c>
      <c r="IG13" s="128" cm="1">
        <f t="array" ref="IG13">TRANSPOSE(SUMIFS(Графики!$H$7:$H$306,Графики!$D$7:$D$306,DCF!IG$6))</f>
        <v>0</v>
      </c>
      <c r="IH13" s="128" cm="1">
        <f t="array" ref="IH13">TRANSPOSE(SUMIFS(Графики!$H$7:$H$306,Графики!$D$7:$D$306,DCF!IH$6))</f>
        <v>0</v>
      </c>
      <c r="II13" s="128" cm="1">
        <f t="array" ref="II13">TRANSPOSE(SUMIFS(Графики!$H$7:$H$306,Графики!$D$7:$D$306,DCF!II$6))</f>
        <v>0</v>
      </c>
      <c r="IJ13" s="128" cm="1">
        <f t="array" ref="IJ13">TRANSPOSE(SUMIFS(Графики!$H$7:$H$306,Графики!$D$7:$D$306,DCF!IJ$6))</f>
        <v>0</v>
      </c>
      <c r="IK13" s="128" cm="1">
        <f t="array" ref="IK13">TRANSPOSE(SUMIFS(Графики!$H$7:$H$306,Графики!$D$7:$D$306,DCF!IK$6))</f>
        <v>0</v>
      </c>
      <c r="IL13" s="128" cm="1">
        <f t="array" ref="IL13">TRANSPOSE(SUMIFS(Графики!$H$7:$H$306,Графики!$D$7:$D$306,DCF!IL$6))</f>
        <v>0</v>
      </c>
      <c r="IM13" s="128" cm="1">
        <f t="array" ref="IM13">TRANSPOSE(SUMIFS(Графики!$H$7:$H$306,Графики!$D$7:$D$306,DCF!IM$6))</f>
        <v>0</v>
      </c>
      <c r="IN13" s="128" cm="1">
        <f t="array" ref="IN13">TRANSPOSE(SUMIFS(Графики!$H$7:$H$306,Графики!$D$7:$D$306,DCF!IN$6))</f>
        <v>0</v>
      </c>
      <c r="IO13" s="128" cm="1">
        <f t="array" ref="IO13">TRANSPOSE(SUMIFS(Графики!$H$7:$H$306,Графики!$D$7:$D$306,DCF!IO$6))</f>
        <v>0</v>
      </c>
      <c r="IP13" s="128" cm="1">
        <f t="array" ref="IP13">TRANSPOSE(SUMIFS(Графики!$H$7:$H$306,Графики!$D$7:$D$306,DCF!IP$6))</f>
        <v>0</v>
      </c>
      <c r="IQ13" s="128" cm="1">
        <f t="array" ref="IQ13">TRANSPOSE(SUMIFS(Графики!$H$7:$H$306,Графики!$D$7:$D$306,DCF!IQ$6))</f>
        <v>0</v>
      </c>
      <c r="IR13" s="128" cm="1">
        <f t="array" ref="IR13">TRANSPOSE(SUMIFS(Графики!$H$7:$H$306,Графики!$D$7:$D$306,DCF!IR$6))</f>
        <v>0</v>
      </c>
      <c r="IS13" s="128" cm="1">
        <f t="array" ref="IS13">TRANSPOSE(SUMIFS(Графики!$H$7:$H$306,Графики!$D$7:$D$306,DCF!IS$6))</f>
        <v>0</v>
      </c>
      <c r="IT13" s="128" cm="1">
        <f t="array" ref="IT13">TRANSPOSE(SUMIFS(Графики!$H$7:$H$306,Графики!$D$7:$D$306,DCF!IT$6))</f>
        <v>0</v>
      </c>
      <c r="IU13" s="128" cm="1">
        <f t="array" ref="IU13">TRANSPOSE(SUMIFS(Графики!$H$7:$H$306,Графики!$D$7:$D$306,DCF!IU$6))</f>
        <v>0</v>
      </c>
      <c r="IV13" s="128" cm="1">
        <f t="array" ref="IV13">TRANSPOSE(SUMIFS(Графики!$H$7:$H$306,Графики!$D$7:$D$306,DCF!IV$6))</f>
        <v>0</v>
      </c>
      <c r="IW13" s="128" cm="1">
        <f t="array" ref="IW13">TRANSPOSE(SUMIFS(Графики!$H$7:$H$306,Графики!$D$7:$D$306,DCF!IW$6))</f>
        <v>0</v>
      </c>
      <c r="IX13" s="128" cm="1">
        <f t="array" ref="IX13">TRANSPOSE(SUMIFS(Графики!$H$7:$H$306,Графики!$D$7:$D$306,DCF!IX$6))</f>
        <v>0</v>
      </c>
      <c r="IY13" s="128" cm="1">
        <f t="array" ref="IY13">TRANSPOSE(SUMIFS(Графики!$H$7:$H$306,Графики!$D$7:$D$306,DCF!IY$6))</f>
        <v>0</v>
      </c>
      <c r="IZ13" s="128" cm="1">
        <f t="array" ref="IZ13">TRANSPOSE(SUMIFS(Графики!$H$7:$H$306,Графики!$D$7:$D$306,DCF!IZ$6))</f>
        <v>0</v>
      </c>
      <c r="JA13" s="128" cm="1">
        <f t="array" ref="JA13">TRANSPOSE(SUMIFS(Графики!$H$7:$H$306,Графики!$D$7:$D$306,DCF!JA$6))</f>
        <v>0</v>
      </c>
      <c r="JB13" s="128" cm="1">
        <f t="array" ref="JB13">TRANSPOSE(SUMIFS(Графики!$H$7:$H$306,Графики!$D$7:$D$306,DCF!JB$6))</f>
        <v>0</v>
      </c>
      <c r="JC13" s="128" cm="1">
        <f t="array" ref="JC13">TRANSPOSE(SUMIFS(Графики!$H$7:$H$306,Графики!$D$7:$D$306,DCF!JC$6))</f>
        <v>0</v>
      </c>
      <c r="JD13" s="128" cm="1">
        <f t="array" ref="JD13">TRANSPOSE(SUMIFS(Графики!$H$7:$H$306,Графики!$D$7:$D$306,DCF!JD$6))</f>
        <v>0</v>
      </c>
      <c r="JE13" s="128" cm="1">
        <f t="array" ref="JE13">TRANSPOSE(SUMIFS(Графики!$H$7:$H$306,Графики!$D$7:$D$306,DCF!JE$6))</f>
        <v>0</v>
      </c>
      <c r="JF13" s="128" cm="1">
        <f t="array" ref="JF13">TRANSPOSE(SUMIFS(Графики!$H$7:$H$306,Графики!$D$7:$D$306,DCF!JF$6))</f>
        <v>0</v>
      </c>
      <c r="JG13" s="128" cm="1">
        <f t="array" ref="JG13">TRANSPOSE(SUMIFS(Графики!$H$7:$H$306,Графики!$D$7:$D$306,DCF!JG$6))</f>
        <v>0</v>
      </c>
      <c r="JH13" s="128" cm="1">
        <f t="array" ref="JH13">TRANSPOSE(SUMIFS(Графики!$H$7:$H$306,Графики!$D$7:$D$306,DCF!JH$6))</f>
        <v>0</v>
      </c>
      <c r="JI13" s="128" cm="1">
        <f t="array" ref="JI13">TRANSPOSE(SUMIFS(Графики!$H$7:$H$306,Графики!$D$7:$D$306,DCF!JI$6))</f>
        <v>0</v>
      </c>
      <c r="JJ13" s="128" cm="1">
        <f t="array" ref="JJ13">TRANSPOSE(SUMIFS(Графики!$H$7:$H$306,Графики!$D$7:$D$306,DCF!JJ$6))</f>
        <v>0</v>
      </c>
      <c r="JK13" s="128" cm="1">
        <f t="array" ref="JK13">TRANSPOSE(SUMIFS(Графики!$H$7:$H$306,Графики!$D$7:$D$306,DCF!JK$6))</f>
        <v>0</v>
      </c>
      <c r="JL13" s="128" cm="1">
        <f t="array" ref="JL13">TRANSPOSE(SUMIFS(Графики!$H$7:$H$306,Графики!$D$7:$D$306,DCF!JL$6))</f>
        <v>0</v>
      </c>
      <c r="JM13" s="128" cm="1">
        <f t="array" ref="JM13">TRANSPOSE(SUMIFS(Графики!$H$7:$H$306,Графики!$D$7:$D$306,DCF!JM$6))</f>
        <v>0</v>
      </c>
      <c r="JN13" s="128" cm="1">
        <f t="array" ref="JN13">TRANSPOSE(SUMIFS(Графики!$H$7:$H$306,Графики!$D$7:$D$306,DCF!JN$6))</f>
        <v>0</v>
      </c>
      <c r="JO13" s="128" cm="1">
        <f t="array" ref="JO13">TRANSPOSE(SUMIFS(Графики!$H$7:$H$306,Графики!$D$7:$D$306,DCF!JO$6))</f>
        <v>0</v>
      </c>
      <c r="JP13" s="128" cm="1">
        <f t="array" ref="JP13">TRANSPOSE(SUMIFS(Графики!$H$7:$H$306,Графики!$D$7:$D$306,DCF!JP$6))</f>
        <v>0</v>
      </c>
      <c r="JQ13" s="128" cm="1">
        <f t="array" ref="JQ13">TRANSPOSE(SUMIFS(Графики!$H$7:$H$306,Графики!$D$7:$D$306,DCF!JQ$6))</f>
        <v>0</v>
      </c>
      <c r="JR13" s="128" cm="1">
        <f t="array" ref="JR13">TRANSPOSE(SUMIFS(Графики!$H$7:$H$306,Графики!$D$7:$D$306,DCF!JR$6))</f>
        <v>0</v>
      </c>
      <c r="JS13" s="128" cm="1">
        <f t="array" ref="JS13">TRANSPOSE(SUMIFS(Графики!$H$7:$H$306,Графики!$D$7:$D$306,DCF!JS$6))</f>
        <v>0</v>
      </c>
      <c r="JT13" s="128" cm="1">
        <f t="array" ref="JT13">TRANSPOSE(SUMIFS(Графики!$H$7:$H$306,Графики!$D$7:$D$306,DCF!JT$6))</f>
        <v>0</v>
      </c>
      <c r="JU13" s="128" cm="1">
        <f t="array" ref="JU13">TRANSPOSE(SUMIFS(Графики!$H$7:$H$306,Графики!$D$7:$D$306,DCF!JU$6))</f>
        <v>0</v>
      </c>
      <c r="JV13" s="128" cm="1">
        <f t="array" ref="JV13">TRANSPOSE(SUMIFS(Графики!$H$7:$H$306,Графики!$D$7:$D$306,DCF!JV$6))</f>
        <v>0</v>
      </c>
      <c r="JW13" s="128" cm="1">
        <f t="array" ref="JW13">TRANSPOSE(SUMIFS(Графики!$H$7:$H$306,Графики!$D$7:$D$306,DCF!JW$6))</f>
        <v>0</v>
      </c>
      <c r="JX13" s="128" cm="1">
        <f t="array" ref="JX13">TRANSPOSE(SUMIFS(Графики!$H$7:$H$306,Графики!$D$7:$D$306,DCF!JX$6))</f>
        <v>0</v>
      </c>
      <c r="JY13" s="128" cm="1">
        <f t="array" ref="JY13">TRANSPOSE(SUMIFS(Графики!$H$7:$H$306,Графики!$D$7:$D$306,DCF!JY$6))</f>
        <v>0</v>
      </c>
      <c r="JZ13" s="128" cm="1">
        <f t="array" ref="JZ13">TRANSPOSE(SUMIFS(Графики!$H$7:$H$306,Графики!$D$7:$D$306,DCF!JZ$6))</f>
        <v>0</v>
      </c>
      <c r="KA13" s="128" cm="1">
        <f t="array" ref="KA13">TRANSPOSE(SUMIFS(Графики!$H$7:$H$306,Графики!$D$7:$D$306,DCF!KA$6))</f>
        <v>0</v>
      </c>
      <c r="KB13" s="128" cm="1">
        <f t="array" ref="KB13">TRANSPOSE(SUMIFS(Графики!$H$7:$H$306,Графики!$D$7:$D$306,DCF!KB$6))</f>
        <v>0</v>
      </c>
      <c r="KC13" s="128" cm="1">
        <f t="array" ref="KC13">TRANSPOSE(SUMIFS(Графики!$H$7:$H$306,Графики!$D$7:$D$306,DCF!KC$6))</f>
        <v>0</v>
      </c>
      <c r="KD13" s="128" cm="1">
        <f t="array" ref="KD13">TRANSPOSE(SUMIFS(Графики!$H$7:$H$306,Графики!$D$7:$D$306,DCF!KD$6))</f>
        <v>0</v>
      </c>
      <c r="KE13" s="128" cm="1">
        <f t="array" ref="KE13">TRANSPOSE(SUMIFS(Графики!$H$7:$H$306,Графики!$D$7:$D$306,DCF!KE$6))</f>
        <v>0</v>
      </c>
      <c r="KF13" s="128" cm="1">
        <f t="array" ref="KF13">TRANSPOSE(SUMIFS(Графики!$H$7:$H$306,Графики!$D$7:$D$306,DCF!KF$6))</f>
        <v>0</v>
      </c>
      <c r="KG13" s="128" cm="1">
        <f t="array" ref="KG13">TRANSPOSE(SUMIFS(Графики!$H$7:$H$306,Графики!$D$7:$D$306,DCF!KG$6))</f>
        <v>0</v>
      </c>
      <c r="KH13" s="128" cm="1">
        <f t="array" ref="KH13">TRANSPOSE(SUMIFS(Графики!$H$7:$H$306,Графики!$D$7:$D$306,DCF!KH$6))</f>
        <v>0</v>
      </c>
      <c r="KI13" s="128" cm="1">
        <f t="array" ref="KI13">TRANSPOSE(SUMIFS(Графики!$H$7:$H$306,Графики!$D$7:$D$306,DCF!KI$6))</f>
        <v>0</v>
      </c>
      <c r="KJ13" s="128" cm="1">
        <f t="array" ref="KJ13">TRANSPOSE(SUMIFS(Графики!$H$7:$H$306,Графики!$D$7:$D$306,DCF!KJ$6))</f>
        <v>0</v>
      </c>
      <c r="KK13" s="128" cm="1">
        <f t="array" ref="KK13">TRANSPOSE(SUMIFS(Графики!$H$7:$H$306,Графики!$D$7:$D$306,DCF!KK$6))</f>
        <v>0</v>
      </c>
      <c r="KL13" s="128" cm="1">
        <f t="array" ref="KL13">TRANSPOSE(SUMIFS(Графики!$H$7:$H$306,Графики!$D$7:$D$306,DCF!KL$6))</f>
        <v>0</v>
      </c>
      <c r="KM13" s="128" cm="1">
        <f t="array" ref="KM13">TRANSPOSE(SUMIFS(Графики!$H$7:$H$306,Графики!$D$7:$D$306,DCF!KM$6))</f>
        <v>0</v>
      </c>
      <c r="KN13" s="128" cm="1">
        <f t="array" ref="KN13">TRANSPOSE(SUMIFS(Графики!$H$7:$H$306,Графики!$D$7:$D$306,DCF!KN$6))</f>
        <v>0</v>
      </c>
      <c r="KO13" s="128" cm="1">
        <f t="array" ref="KO13">TRANSPOSE(SUMIFS(Графики!$H$7:$H$306,Графики!$D$7:$D$306,DCF!KO$6))</f>
        <v>0</v>
      </c>
      <c r="KP13" s="128" cm="1">
        <f t="array" ref="KP13">TRANSPOSE(SUMIFS(Графики!$H$7:$H$306,Графики!$D$7:$D$306,DCF!KP$6))</f>
        <v>0</v>
      </c>
      <c r="KQ13" s="128" cm="1">
        <f t="array" ref="KQ13">TRANSPOSE(SUMIFS(Графики!$H$7:$H$306,Графики!$D$7:$D$306,DCF!KQ$6))</f>
        <v>0</v>
      </c>
    </row>
    <row r="14" spans="2:303" x14ac:dyDescent="0.35">
      <c r="B14" s="126" t="s">
        <v>110</v>
      </c>
      <c r="C14" s="123">
        <f t="shared" si="330"/>
        <v>112218750</v>
      </c>
      <c r="D14" s="128" cm="1">
        <f t="array" ref="D14">TRANSPOSE(SUMIFS(Графики!$J$7:$J$306,Графики!$D$7:$D$306,DCF!D$6))</f>
        <v>11812500</v>
      </c>
      <c r="E14" s="128" cm="1">
        <f t="array" ref="E14">TRANSPOSE(SUMIFS(Графики!$J$7:$J$306,Графики!$D$7:$D$306,DCF!E$6))</f>
        <v>11156250</v>
      </c>
      <c r="F14" s="128" cm="1">
        <f t="array" ref="F14">TRANSPOSE(SUMIFS(Графики!$J$7:$J$306,Графики!$D$7:$D$306,DCF!F$6))</f>
        <v>10500000</v>
      </c>
      <c r="G14" s="128" cm="1">
        <f t="array" ref="G14">TRANSPOSE(SUMIFS(Графики!$J$7:$J$306,Графики!$D$7:$D$306,DCF!G$6))</f>
        <v>9843750</v>
      </c>
      <c r="H14" s="128" cm="1">
        <f t="array" ref="H14">TRANSPOSE(SUMIFS(Графики!$J$7:$J$306,Графики!$D$7:$D$306,DCF!H$6))</f>
        <v>9187500</v>
      </c>
      <c r="I14" s="128" cm="1">
        <f t="array" ref="I14">TRANSPOSE(SUMIFS(Графики!$J$7:$J$306,Графики!$D$7:$D$306,DCF!I$6))</f>
        <v>8531250</v>
      </c>
      <c r="J14" s="128" cm="1">
        <f t="array" ref="J14">TRANSPOSE(SUMIFS(Графики!$J$7:$J$306,Графики!$D$7:$D$306,DCF!J$6))</f>
        <v>7875000</v>
      </c>
      <c r="K14" s="128" cm="1">
        <f t="array" ref="K14">TRANSPOSE(SUMIFS(Графики!$J$7:$J$306,Графики!$D$7:$D$306,DCF!K$6))</f>
        <v>7218750</v>
      </c>
      <c r="L14" s="128" cm="1">
        <f t="array" ref="L14">TRANSPOSE(SUMIFS(Графики!$J$7:$J$306,Графики!$D$7:$D$306,DCF!L$6))</f>
        <v>6562500</v>
      </c>
      <c r="M14" s="128" cm="1">
        <f t="array" ref="M14">TRANSPOSE(SUMIFS(Графики!$J$7:$J$306,Графики!$D$7:$D$306,DCF!M$6))</f>
        <v>5906250</v>
      </c>
      <c r="N14" s="128" cm="1">
        <f t="array" ref="N14">TRANSPOSE(SUMIFS(Графики!$J$7:$J$306,Графики!$D$7:$D$306,DCF!N$6))</f>
        <v>5250000</v>
      </c>
      <c r="O14" s="128" cm="1">
        <f t="array" ref="O14">TRANSPOSE(SUMIFS(Графики!$J$7:$J$306,Графики!$D$7:$D$306,DCF!O$6))</f>
        <v>4593750</v>
      </c>
      <c r="P14" s="128" cm="1">
        <f t="array" ref="P14">TRANSPOSE(SUMIFS(Графики!$J$7:$J$306,Графики!$D$7:$D$306,DCF!P$6))</f>
        <v>3937500</v>
      </c>
      <c r="Q14" s="128" cm="1">
        <f t="array" ref="Q14">TRANSPOSE(SUMIFS(Графики!$J$7:$J$306,Графики!$D$7:$D$306,DCF!Q$6))</f>
        <v>3281250</v>
      </c>
      <c r="R14" s="128" cm="1">
        <f t="array" ref="R14">TRANSPOSE(SUMIFS(Графики!$J$7:$J$306,Графики!$D$7:$D$306,DCF!R$6))</f>
        <v>2625000</v>
      </c>
      <c r="S14" s="128" cm="1">
        <f t="array" ref="S14">TRANSPOSE(SUMIFS(Графики!$J$7:$J$306,Графики!$D$7:$D$306,DCF!S$6))</f>
        <v>1968750</v>
      </c>
      <c r="T14" s="128" cm="1">
        <f t="array" ref="T14">TRANSPOSE(SUMIFS(Графики!$J$7:$J$306,Графики!$D$7:$D$306,DCF!T$6))</f>
        <v>1312500</v>
      </c>
      <c r="U14" s="128" cm="1">
        <f t="array" ref="U14">TRANSPOSE(SUMIFS(Графики!$J$7:$J$306,Графики!$D$7:$D$306,DCF!U$6))</f>
        <v>656250</v>
      </c>
      <c r="V14" s="128" cm="1">
        <f t="array" ref="V14">TRANSPOSE(SUMIFS(Графики!$J$7:$J$306,Графики!$D$7:$D$306,DCF!V$6))</f>
        <v>0</v>
      </c>
      <c r="W14" s="128" cm="1">
        <f t="array" ref="W14">TRANSPOSE(SUMIFS(Графики!$J$7:$J$306,Графики!$D$7:$D$306,DCF!W$6))</f>
        <v>0</v>
      </c>
      <c r="X14" s="128" cm="1">
        <f t="array" ref="X14">TRANSPOSE(SUMIFS(Графики!$J$7:$J$306,Графики!$D$7:$D$306,DCF!X$6))</f>
        <v>0</v>
      </c>
      <c r="Y14" s="128" cm="1">
        <f t="array" ref="Y14">TRANSPOSE(SUMIFS(Графики!$J$7:$J$306,Графики!$D$7:$D$306,DCF!Y$6))</f>
        <v>0</v>
      </c>
      <c r="Z14" s="128" cm="1">
        <f t="array" ref="Z14">TRANSPOSE(SUMIFS(Графики!$J$7:$J$306,Графики!$D$7:$D$306,DCF!Z$6))</f>
        <v>0</v>
      </c>
      <c r="AA14" s="128" cm="1">
        <f t="array" ref="AA14">TRANSPOSE(SUMIFS(Графики!$J$7:$J$306,Графики!$D$7:$D$306,DCF!AA$6))</f>
        <v>0</v>
      </c>
      <c r="AB14" s="128" cm="1">
        <f t="array" ref="AB14">TRANSPOSE(SUMIFS(Графики!$J$7:$J$306,Графики!$D$7:$D$306,DCF!AB$6))</f>
        <v>0</v>
      </c>
      <c r="AC14" s="128" cm="1">
        <f t="array" ref="AC14">TRANSPOSE(SUMIFS(Графики!$J$7:$J$306,Графики!$D$7:$D$306,DCF!AC$6))</f>
        <v>0</v>
      </c>
      <c r="AD14" s="128" cm="1">
        <f t="array" ref="AD14">TRANSPOSE(SUMIFS(Графики!$J$7:$J$306,Графики!$D$7:$D$306,DCF!AD$6))</f>
        <v>0</v>
      </c>
      <c r="AE14" s="128" cm="1">
        <f t="array" ref="AE14">TRANSPOSE(SUMIFS(Графики!$J$7:$J$306,Графики!$D$7:$D$306,DCF!AE$6))</f>
        <v>0</v>
      </c>
      <c r="AF14" s="128" cm="1">
        <f t="array" ref="AF14">TRANSPOSE(SUMIFS(Графики!$J$7:$J$306,Графики!$D$7:$D$306,DCF!AF$6))</f>
        <v>0</v>
      </c>
      <c r="AG14" s="128" cm="1">
        <f t="array" ref="AG14">TRANSPOSE(SUMIFS(Графики!$J$7:$J$306,Графики!$D$7:$D$306,DCF!AG$6))</f>
        <v>0</v>
      </c>
      <c r="AH14" s="128" cm="1">
        <f t="array" ref="AH14">TRANSPOSE(SUMIFS(Графики!$J$7:$J$306,Графики!$D$7:$D$306,DCF!AH$6))</f>
        <v>0</v>
      </c>
      <c r="AI14" s="128" cm="1">
        <f t="array" ref="AI14">TRANSPOSE(SUMIFS(Графики!$J$7:$J$306,Графики!$D$7:$D$306,DCF!AI$6))</f>
        <v>0</v>
      </c>
      <c r="AJ14" s="128" cm="1">
        <f t="array" ref="AJ14">TRANSPOSE(SUMIFS(Графики!$J$7:$J$306,Графики!$D$7:$D$306,DCF!AJ$6))</f>
        <v>0</v>
      </c>
      <c r="AK14" s="128" cm="1">
        <f t="array" ref="AK14">TRANSPOSE(SUMIFS(Графики!$J$7:$J$306,Графики!$D$7:$D$306,DCF!AK$6))</f>
        <v>0</v>
      </c>
      <c r="AL14" s="128" cm="1">
        <f t="array" ref="AL14">TRANSPOSE(SUMIFS(Графики!$J$7:$J$306,Графики!$D$7:$D$306,DCF!AL$6))</f>
        <v>0</v>
      </c>
      <c r="AM14" s="128" cm="1">
        <f t="array" ref="AM14">TRANSPOSE(SUMIFS(Графики!$J$7:$J$306,Графики!$D$7:$D$306,DCF!AM$6))</f>
        <v>0</v>
      </c>
      <c r="AN14" s="128" cm="1">
        <f t="array" ref="AN14">TRANSPOSE(SUMIFS(Графики!$J$7:$J$306,Графики!$D$7:$D$306,DCF!AN$6))</f>
        <v>0</v>
      </c>
      <c r="AO14" s="128" cm="1">
        <f t="array" ref="AO14">TRANSPOSE(SUMIFS(Графики!$J$7:$J$306,Графики!$D$7:$D$306,DCF!AO$6))</f>
        <v>0</v>
      </c>
      <c r="AP14" s="128" cm="1">
        <f t="array" ref="AP14">TRANSPOSE(SUMIFS(Графики!$J$7:$J$306,Графики!$D$7:$D$306,DCF!AP$6))</f>
        <v>0</v>
      </c>
      <c r="AQ14" s="128" cm="1">
        <f t="array" ref="AQ14">TRANSPOSE(SUMIFS(Графики!$J$7:$J$306,Графики!$D$7:$D$306,DCF!AQ$6))</f>
        <v>0</v>
      </c>
      <c r="AR14" s="128" cm="1">
        <f t="array" ref="AR14">TRANSPOSE(SUMIFS(Графики!$J$7:$J$306,Графики!$D$7:$D$306,DCF!AR$6))</f>
        <v>0</v>
      </c>
      <c r="AS14" s="128" cm="1">
        <f t="array" ref="AS14">TRANSPOSE(SUMIFS(Графики!$J$7:$J$306,Графики!$D$7:$D$306,DCF!AS$6))</f>
        <v>0</v>
      </c>
      <c r="AT14" s="128" cm="1">
        <f t="array" ref="AT14">TRANSPOSE(SUMIFS(Графики!$J$7:$J$306,Графики!$D$7:$D$306,DCF!AT$6))</f>
        <v>0</v>
      </c>
      <c r="AU14" s="128" cm="1">
        <f t="array" ref="AU14">TRANSPOSE(SUMIFS(Графики!$J$7:$J$306,Графики!$D$7:$D$306,DCF!AU$6))</f>
        <v>0</v>
      </c>
      <c r="AV14" s="128" cm="1">
        <f t="array" ref="AV14">TRANSPOSE(SUMIFS(Графики!$J$7:$J$306,Графики!$D$7:$D$306,DCF!AV$6))</f>
        <v>0</v>
      </c>
      <c r="AW14" s="128" cm="1">
        <f t="array" ref="AW14">TRANSPOSE(SUMIFS(Графики!$J$7:$J$306,Графики!$D$7:$D$306,DCF!AW$6))</f>
        <v>0</v>
      </c>
      <c r="AX14" s="128" cm="1">
        <f t="array" ref="AX14">TRANSPOSE(SUMIFS(Графики!$J$7:$J$306,Графики!$D$7:$D$306,DCF!AX$6))</f>
        <v>0</v>
      </c>
      <c r="AY14" s="128" cm="1">
        <f t="array" ref="AY14">TRANSPOSE(SUMIFS(Графики!$J$7:$J$306,Графики!$D$7:$D$306,DCF!AY$6))</f>
        <v>0</v>
      </c>
      <c r="AZ14" s="128" cm="1">
        <f t="array" ref="AZ14">TRANSPOSE(SUMIFS(Графики!$J$7:$J$306,Графики!$D$7:$D$306,DCF!AZ$6))</f>
        <v>0</v>
      </c>
      <c r="BA14" s="128" cm="1">
        <f t="array" ref="BA14">TRANSPOSE(SUMIFS(Графики!$J$7:$J$306,Графики!$D$7:$D$306,DCF!BA$6))</f>
        <v>0</v>
      </c>
      <c r="BB14" s="128" cm="1">
        <f t="array" ref="BB14">TRANSPOSE(SUMIFS(Графики!$J$7:$J$306,Графики!$D$7:$D$306,DCF!BB$6))</f>
        <v>0</v>
      </c>
      <c r="BC14" s="128" cm="1">
        <f t="array" ref="BC14">TRANSPOSE(SUMIFS(Графики!$J$7:$J$306,Графики!$D$7:$D$306,DCF!BC$6))</f>
        <v>0</v>
      </c>
      <c r="BD14" s="128" cm="1">
        <f t="array" ref="BD14">TRANSPOSE(SUMIFS(Графики!$J$7:$J$306,Графики!$D$7:$D$306,DCF!BD$6))</f>
        <v>0</v>
      </c>
      <c r="BE14" s="128" cm="1">
        <f t="array" ref="BE14">TRANSPOSE(SUMIFS(Графики!$J$7:$J$306,Графики!$D$7:$D$306,DCF!BE$6))</f>
        <v>0</v>
      </c>
      <c r="BF14" s="128" cm="1">
        <f t="array" ref="BF14">TRANSPOSE(SUMIFS(Графики!$J$7:$J$306,Графики!$D$7:$D$306,DCF!BF$6))</f>
        <v>0</v>
      </c>
      <c r="BG14" s="128" cm="1">
        <f t="array" ref="BG14">TRANSPOSE(SUMIFS(Графики!$J$7:$J$306,Графики!$D$7:$D$306,DCF!BG$6))</f>
        <v>0</v>
      </c>
      <c r="BH14" s="128" cm="1">
        <f t="array" ref="BH14">TRANSPOSE(SUMIFS(Графики!$J$7:$J$306,Графики!$D$7:$D$306,DCF!BH$6))</f>
        <v>0</v>
      </c>
      <c r="BI14" s="128" cm="1">
        <f t="array" ref="BI14">TRANSPOSE(SUMIFS(Графики!$J$7:$J$306,Графики!$D$7:$D$306,DCF!BI$6))</f>
        <v>0</v>
      </c>
      <c r="BJ14" s="128" cm="1">
        <f t="array" ref="BJ14">TRANSPOSE(SUMIFS(Графики!$J$7:$J$306,Графики!$D$7:$D$306,DCF!BJ$6))</f>
        <v>0</v>
      </c>
      <c r="BK14" s="128" cm="1">
        <f t="array" ref="BK14">TRANSPOSE(SUMIFS(Графики!$J$7:$J$306,Графики!$D$7:$D$306,DCF!BK$6))</f>
        <v>0</v>
      </c>
      <c r="BL14" s="128" cm="1">
        <f t="array" ref="BL14">TRANSPOSE(SUMIFS(Графики!$J$7:$J$306,Графики!$D$7:$D$306,DCF!BL$6))</f>
        <v>0</v>
      </c>
      <c r="BM14" s="128" cm="1">
        <f t="array" ref="BM14">TRANSPOSE(SUMIFS(Графики!$J$7:$J$306,Графики!$D$7:$D$306,DCF!BM$6))</f>
        <v>0</v>
      </c>
      <c r="BN14" s="128" cm="1">
        <f t="array" ref="BN14">TRANSPOSE(SUMIFS(Графики!$J$7:$J$306,Графики!$D$7:$D$306,DCF!BN$6))</f>
        <v>0</v>
      </c>
      <c r="BO14" s="128" cm="1">
        <f t="array" ref="BO14">TRANSPOSE(SUMIFS(Графики!$J$7:$J$306,Графики!$D$7:$D$306,DCF!BO$6))</f>
        <v>0</v>
      </c>
      <c r="BP14" s="128" cm="1">
        <f t="array" ref="BP14">TRANSPOSE(SUMIFS(Графики!$J$7:$J$306,Графики!$D$7:$D$306,DCF!BP$6))</f>
        <v>0</v>
      </c>
      <c r="BQ14" s="128" cm="1">
        <f t="array" ref="BQ14">TRANSPOSE(SUMIFS(Графики!$J$7:$J$306,Графики!$D$7:$D$306,DCF!BQ$6))</f>
        <v>0</v>
      </c>
      <c r="BR14" s="128" cm="1">
        <f t="array" ref="BR14">TRANSPOSE(SUMIFS(Графики!$J$7:$J$306,Графики!$D$7:$D$306,DCF!BR$6))</f>
        <v>0</v>
      </c>
      <c r="BS14" s="128" cm="1">
        <f t="array" ref="BS14">TRANSPOSE(SUMIFS(Графики!$J$7:$J$306,Графики!$D$7:$D$306,DCF!BS$6))</f>
        <v>0</v>
      </c>
      <c r="BT14" s="128" cm="1">
        <f t="array" ref="BT14">TRANSPOSE(SUMIFS(Графики!$J$7:$J$306,Графики!$D$7:$D$306,DCF!BT$6))</f>
        <v>0</v>
      </c>
      <c r="BU14" s="128" cm="1">
        <f t="array" ref="BU14">TRANSPOSE(SUMIFS(Графики!$J$7:$J$306,Графики!$D$7:$D$306,DCF!BU$6))</f>
        <v>0</v>
      </c>
      <c r="BV14" s="128" cm="1">
        <f t="array" ref="BV14">TRANSPOSE(SUMIFS(Графики!$J$7:$J$306,Графики!$D$7:$D$306,DCF!BV$6))</f>
        <v>0</v>
      </c>
      <c r="BW14" s="128" cm="1">
        <f t="array" ref="BW14">TRANSPOSE(SUMIFS(Графики!$J$7:$J$306,Графики!$D$7:$D$306,DCF!BW$6))</f>
        <v>0</v>
      </c>
      <c r="BX14" s="128" cm="1">
        <f t="array" ref="BX14">TRANSPOSE(SUMIFS(Графики!$J$7:$J$306,Графики!$D$7:$D$306,DCF!BX$6))</f>
        <v>0</v>
      </c>
      <c r="BY14" s="128" cm="1">
        <f t="array" ref="BY14">TRANSPOSE(SUMIFS(Графики!$J$7:$J$306,Графики!$D$7:$D$306,DCF!BY$6))</f>
        <v>0</v>
      </c>
      <c r="BZ14" s="128" cm="1">
        <f t="array" ref="BZ14">TRANSPOSE(SUMIFS(Графики!$J$7:$J$306,Графики!$D$7:$D$306,DCF!BZ$6))</f>
        <v>0</v>
      </c>
      <c r="CA14" s="128" cm="1">
        <f t="array" ref="CA14">TRANSPOSE(SUMIFS(Графики!$J$7:$J$306,Графики!$D$7:$D$306,DCF!CA$6))</f>
        <v>0</v>
      </c>
      <c r="CB14" s="128" cm="1">
        <f t="array" ref="CB14">TRANSPOSE(SUMIFS(Графики!$J$7:$J$306,Графики!$D$7:$D$306,DCF!CB$6))</f>
        <v>0</v>
      </c>
      <c r="CC14" s="128" cm="1">
        <f t="array" ref="CC14">TRANSPOSE(SUMIFS(Графики!$J$7:$J$306,Графики!$D$7:$D$306,DCF!CC$6))</f>
        <v>0</v>
      </c>
      <c r="CD14" s="128" cm="1">
        <f t="array" ref="CD14">TRANSPOSE(SUMIFS(Графики!$J$7:$J$306,Графики!$D$7:$D$306,DCF!CD$6))</f>
        <v>0</v>
      </c>
      <c r="CE14" s="128" cm="1">
        <f t="array" ref="CE14">TRANSPOSE(SUMIFS(Графики!$J$7:$J$306,Графики!$D$7:$D$306,DCF!CE$6))</f>
        <v>0</v>
      </c>
      <c r="CF14" s="128" cm="1">
        <f t="array" ref="CF14">TRANSPOSE(SUMIFS(Графики!$J$7:$J$306,Графики!$D$7:$D$306,DCF!CF$6))</f>
        <v>0</v>
      </c>
      <c r="CG14" s="128" cm="1">
        <f t="array" ref="CG14">TRANSPOSE(SUMIFS(Графики!$J$7:$J$306,Графики!$D$7:$D$306,DCF!CG$6))</f>
        <v>0</v>
      </c>
      <c r="CH14" s="128" cm="1">
        <f t="array" ref="CH14">TRANSPOSE(SUMIFS(Графики!$J$7:$J$306,Графики!$D$7:$D$306,DCF!CH$6))</f>
        <v>0</v>
      </c>
      <c r="CI14" s="128" cm="1">
        <f t="array" ref="CI14">TRANSPOSE(SUMIFS(Графики!$J$7:$J$306,Графики!$D$7:$D$306,DCF!CI$6))</f>
        <v>0</v>
      </c>
      <c r="CJ14" s="128" cm="1">
        <f t="array" ref="CJ14">TRANSPOSE(SUMIFS(Графики!$J$7:$J$306,Графики!$D$7:$D$306,DCF!CJ$6))</f>
        <v>0</v>
      </c>
      <c r="CK14" s="128" cm="1">
        <f t="array" ref="CK14">TRANSPOSE(SUMIFS(Графики!$J$7:$J$306,Графики!$D$7:$D$306,DCF!CK$6))</f>
        <v>0</v>
      </c>
      <c r="CL14" s="128" cm="1">
        <f t="array" ref="CL14">TRANSPOSE(SUMIFS(Графики!$J$7:$J$306,Графики!$D$7:$D$306,DCF!CL$6))</f>
        <v>0</v>
      </c>
      <c r="CM14" s="128" cm="1">
        <f t="array" ref="CM14">TRANSPOSE(SUMIFS(Графики!$J$7:$J$306,Графики!$D$7:$D$306,DCF!CM$6))</f>
        <v>0</v>
      </c>
      <c r="CN14" s="128" cm="1">
        <f t="array" ref="CN14">TRANSPOSE(SUMIFS(Графики!$J$7:$J$306,Графики!$D$7:$D$306,DCF!CN$6))</f>
        <v>0</v>
      </c>
      <c r="CO14" s="128" cm="1">
        <f t="array" ref="CO14">TRANSPOSE(SUMIFS(Графики!$J$7:$J$306,Графики!$D$7:$D$306,DCF!CO$6))</f>
        <v>0</v>
      </c>
      <c r="CP14" s="128" cm="1">
        <f t="array" ref="CP14">TRANSPOSE(SUMIFS(Графики!$J$7:$J$306,Графики!$D$7:$D$306,DCF!CP$6))</f>
        <v>0</v>
      </c>
      <c r="CQ14" s="128" cm="1">
        <f t="array" ref="CQ14">TRANSPOSE(SUMIFS(Графики!$J$7:$J$306,Графики!$D$7:$D$306,DCF!CQ$6))</f>
        <v>0</v>
      </c>
      <c r="CR14" s="128" cm="1">
        <f t="array" ref="CR14">TRANSPOSE(SUMIFS(Графики!$J$7:$J$306,Графики!$D$7:$D$306,DCF!CR$6))</f>
        <v>0</v>
      </c>
      <c r="CS14" s="128" cm="1">
        <f t="array" ref="CS14">TRANSPOSE(SUMIFS(Графики!$J$7:$J$306,Графики!$D$7:$D$306,DCF!CS$6))</f>
        <v>0</v>
      </c>
      <c r="CT14" s="128" cm="1">
        <f t="array" ref="CT14">TRANSPOSE(SUMIFS(Графики!$J$7:$J$306,Графики!$D$7:$D$306,DCF!CT$6))</f>
        <v>0</v>
      </c>
      <c r="CU14" s="128" cm="1">
        <f t="array" ref="CU14">TRANSPOSE(SUMIFS(Графики!$J$7:$J$306,Графики!$D$7:$D$306,DCF!CU$6))</f>
        <v>0</v>
      </c>
      <c r="CV14" s="128" cm="1">
        <f t="array" ref="CV14">TRANSPOSE(SUMIFS(Графики!$J$7:$J$306,Графики!$D$7:$D$306,DCF!CV$6))</f>
        <v>0</v>
      </c>
      <c r="CW14" s="128" cm="1">
        <f t="array" ref="CW14">TRANSPOSE(SUMIFS(Графики!$J$7:$J$306,Графики!$D$7:$D$306,DCF!CW$6))</f>
        <v>0</v>
      </c>
      <c r="CX14" s="128" cm="1">
        <f t="array" ref="CX14">TRANSPOSE(SUMIFS(Графики!$J$7:$J$306,Графики!$D$7:$D$306,DCF!CX$6))</f>
        <v>0</v>
      </c>
      <c r="CY14" s="128" cm="1">
        <f t="array" ref="CY14">TRANSPOSE(SUMIFS(Графики!$J$7:$J$306,Графики!$D$7:$D$306,DCF!CY$6))</f>
        <v>0</v>
      </c>
      <c r="CZ14" s="128" cm="1">
        <f t="array" ref="CZ14">TRANSPOSE(SUMIFS(Графики!$J$7:$J$306,Графики!$D$7:$D$306,DCF!CZ$6))</f>
        <v>0</v>
      </c>
      <c r="DA14" s="128" cm="1">
        <f t="array" ref="DA14">TRANSPOSE(SUMIFS(Графики!$J$7:$J$306,Графики!$D$7:$D$306,DCF!DA$6))</f>
        <v>0</v>
      </c>
      <c r="DB14" s="128" cm="1">
        <f t="array" ref="DB14">TRANSPOSE(SUMIFS(Графики!$J$7:$J$306,Графики!$D$7:$D$306,DCF!DB$6))</f>
        <v>0</v>
      </c>
      <c r="DC14" s="128" cm="1">
        <f t="array" ref="DC14">TRANSPOSE(SUMIFS(Графики!$J$7:$J$306,Графики!$D$7:$D$306,DCF!DC$6))</f>
        <v>0</v>
      </c>
      <c r="DD14" s="128" cm="1">
        <f t="array" ref="DD14">TRANSPOSE(SUMIFS(Графики!$J$7:$J$306,Графики!$D$7:$D$306,DCF!DD$6))</f>
        <v>0</v>
      </c>
      <c r="DE14" s="128" cm="1">
        <f t="array" ref="DE14">TRANSPOSE(SUMIFS(Графики!$J$7:$J$306,Графики!$D$7:$D$306,DCF!DE$6))</f>
        <v>0</v>
      </c>
      <c r="DF14" s="128" cm="1">
        <f t="array" ref="DF14">TRANSPOSE(SUMIFS(Графики!$J$7:$J$306,Графики!$D$7:$D$306,DCF!DF$6))</f>
        <v>0</v>
      </c>
      <c r="DG14" s="128" cm="1">
        <f t="array" ref="DG14">TRANSPOSE(SUMIFS(Графики!$J$7:$J$306,Графики!$D$7:$D$306,DCF!DG$6))</f>
        <v>0</v>
      </c>
      <c r="DH14" s="128" cm="1">
        <f t="array" ref="DH14">TRANSPOSE(SUMIFS(Графики!$J$7:$J$306,Графики!$D$7:$D$306,DCF!DH$6))</f>
        <v>0</v>
      </c>
      <c r="DI14" s="128" cm="1">
        <f t="array" ref="DI14">TRANSPOSE(SUMIFS(Графики!$J$7:$J$306,Графики!$D$7:$D$306,DCF!DI$6))</f>
        <v>0</v>
      </c>
      <c r="DJ14" s="128" cm="1">
        <f t="array" ref="DJ14">TRANSPOSE(SUMIFS(Графики!$J$7:$J$306,Графики!$D$7:$D$306,DCF!DJ$6))</f>
        <v>0</v>
      </c>
      <c r="DK14" s="128" cm="1">
        <f t="array" ref="DK14">TRANSPOSE(SUMIFS(Графики!$J$7:$J$306,Графики!$D$7:$D$306,DCF!DK$6))</f>
        <v>0</v>
      </c>
      <c r="DL14" s="128" cm="1">
        <f t="array" ref="DL14">TRANSPOSE(SUMIFS(Графики!$J$7:$J$306,Графики!$D$7:$D$306,DCF!DL$6))</f>
        <v>0</v>
      </c>
      <c r="DM14" s="128" cm="1">
        <f t="array" ref="DM14">TRANSPOSE(SUMIFS(Графики!$J$7:$J$306,Графики!$D$7:$D$306,DCF!DM$6))</f>
        <v>0</v>
      </c>
      <c r="DN14" s="128" cm="1">
        <f t="array" ref="DN14">TRANSPOSE(SUMIFS(Графики!$J$7:$J$306,Графики!$D$7:$D$306,DCF!DN$6))</f>
        <v>0</v>
      </c>
      <c r="DO14" s="128" cm="1">
        <f t="array" ref="DO14">TRANSPOSE(SUMIFS(Графики!$J$7:$J$306,Графики!$D$7:$D$306,DCF!DO$6))</f>
        <v>0</v>
      </c>
      <c r="DP14" s="128" cm="1">
        <f t="array" ref="DP14">TRANSPOSE(SUMIFS(Графики!$J$7:$J$306,Графики!$D$7:$D$306,DCF!DP$6))</f>
        <v>0</v>
      </c>
      <c r="DQ14" s="128" cm="1">
        <f t="array" ref="DQ14">TRANSPOSE(SUMIFS(Графики!$J$7:$J$306,Графики!$D$7:$D$306,DCF!DQ$6))</f>
        <v>0</v>
      </c>
      <c r="DR14" s="128" cm="1">
        <f t="array" ref="DR14">TRANSPOSE(SUMIFS(Графики!$J$7:$J$306,Графики!$D$7:$D$306,DCF!DR$6))</f>
        <v>0</v>
      </c>
      <c r="DS14" s="128" cm="1">
        <f t="array" ref="DS14">TRANSPOSE(SUMIFS(Графики!$J$7:$J$306,Графики!$D$7:$D$306,DCF!DS$6))</f>
        <v>0</v>
      </c>
      <c r="DT14" s="128" cm="1">
        <f t="array" ref="DT14">TRANSPOSE(SUMIFS(Графики!$J$7:$J$306,Графики!$D$7:$D$306,DCF!DT$6))</f>
        <v>0</v>
      </c>
      <c r="DU14" s="128" cm="1">
        <f t="array" ref="DU14">TRANSPOSE(SUMIFS(Графики!$J$7:$J$306,Графики!$D$7:$D$306,DCF!DU$6))</f>
        <v>0</v>
      </c>
      <c r="DV14" s="128" cm="1">
        <f t="array" ref="DV14">TRANSPOSE(SUMIFS(Графики!$J$7:$J$306,Графики!$D$7:$D$306,DCF!DV$6))</f>
        <v>0</v>
      </c>
      <c r="DW14" s="128" cm="1">
        <f t="array" ref="DW14">TRANSPOSE(SUMIFS(Графики!$J$7:$J$306,Графики!$D$7:$D$306,DCF!DW$6))</f>
        <v>0</v>
      </c>
      <c r="DX14" s="128" cm="1">
        <f t="array" ref="DX14">TRANSPOSE(SUMIFS(Графики!$J$7:$J$306,Графики!$D$7:$D$306,DCF!DX$6))</f>
        <v>0</v>
      </c>
      <c r="DY14" s="128" cm="1">
        <f t="array" ref="DY14">TRANSPOSE(SUMIFS(Графики!$J$7:$J$306,Графики!$D$7:$D$306,DCF!DY$6))</f>
        <v>0</v>
      </c>
      <c r="DZ14" s="128" cm="1">
        <f t="array" ref="DZ14">TRANSPOSE(SUMIFS(Графики!$J$7:$J$306,Графики!$D$7:$D$306,DCF!DZ$6))</f>
        <v>0</v>
      </c>
      <c r="EA14" s="128" cm="1">
        <f t="array" ref="EA14">TRANSPOSE(SUMIFS(Графики!$J$7:$J$306,Графики!$D$7:$D$306,DCF!EA$6))</f>
        <v>0</v>
      </c>
      <c r="EB14" s="128" cm="1">
        <f t="array" ref="EB14">TRANSPOSE(SUMIFS(Графики!$J$7:$J$306,Графики!$D$7:$D$306,DCF!EB$6))</f>
        <v>0</v>
      </c>
      <c r="EC14" s="128" cm="1">
        <f t="array" ref="EC14">TRANSPOSE(SUMIFS(Графики!$J$7:$J$306,Графики!$D$7:$D$306,DCF!EC$6))</f>
        <v>0</v>
      </c>
      <c r="ED14" s="128" cm="1">
        <f t="array" ref="ED14">TRANSPOSE(SUMIFS(Графики!$J$7:$J$306,Графики!$D$7:$D$306,DCF!ED$6))</f>
        <v>0</v>
      </c>
      <c r="EE14" s="128" cm="1">
        <f t="array" ref="EE14">TRANSPOSE(SUMIFS(Графики!$J$7:$J$306,Графики!$D$7:$D$306,DCF!EE$6))</f>
        <v>0</v>
      </c>
      <c r="EF14" s="128" cm="1">
        <f t="array" ref="EF14">TRANSPOSE(SUMIFS(Графики!$J$7:$J$306,Графики!$D$7:$D$306,DCF!EF$6))</f>
        <v>0</v>
      </c>
      <c r="EG14" s="128" cm="1">
        <f t="array" ref="EG14">TRANSPOSE(SUMIFS(Графики!$J$7:$J$306,Графики!$D$7:$D$306,DCF!EG$6))</f>
        <v>0</v>
      </c>
      <c r="EH14" s="128" cm="1">
        <f t="array" ref="EH14">TRANSPOSE(SUMIFS(Графики!$J$7:$J$306,Графики!$D$7:$D$306,DCF!EH$6))</f>
        <v>0</v>
      </c>
      <c r="EI14" s="128" cm="1">
        <f t="array" ref="EI14">TRANSPOSE(SUMIFS(Графики!$J$7:$J$306,Графики!$D$7:$D$306,DCF!EI$6))</f>
        <v>0</v>
      </c>
      <c r="EJ14" s="128" cm="1">
        <f t="array" ref="EJ14">TRANSPOSE(SUMIFS(Графики!$J$7:$J$306,Графики!$D$7:$D$306,DCF!EJ$6))</f>
        <v>0</v>
      </c>
      <c r="EK14" s="128" cm="1">
        <f t="array" ref="EK14">TRANSPOSE(SUMIFS(Графики!$J$7:$J$306,Графики!$D$7:$D$306,DCF!EK$6))</f>
        <v>0</v>
      </c>
      <c r="EL14" s="128" cm="1">
        <f t="array" ref="EL14">TRANSPOSE(SUMIFS(Графики!$J$7:$J$306,Графики!$D$7:$D$306,DCF!EL$6))</f>
        <v>0</v>
      </c>
      <c r="EM14" s="128" cm="1">
        <f t="array" ref="EM14">TRANSPOSE(SUMIFS(Графики!$J$7:$J$306,Графики!$D$7:$D$306,DCF!EM$6))</f>
        <v>0</v>
      </c>
      <c r="EN14" s="128" cm="1">
        <f t="array" ref="EN14">TRANSPOSE(SUMIFS(Графики!$J$7:$J$306,Графики!$D$7:$D$306,DCF!EN$6))</f>
        <v>0</v>
      </c>
      <c r="EO14" s="128" cm="1">
        <f t="array" ref="EO14">TRANSPOSE(SUMIFS(Графики!$J$7:$J$306,Графики!$D$7:$D$306,DCF!EO$6))</f>
        <v>0</v>
      </c>
      <c r="EP14" s="128" cm="1">
        <f t="array" ref="EP14">TRANSPOSE(SUMIFS(Графики!$J$7:$J$306,Графики!$D$7:$D$306,DCF!EP$6))</f>
        <v>0</v>
      </c>
      <c r="EQ14" s="128" cm="1">
        <f t="array" ref="EQ14">TRANSPOSE(SUMIFS(Графики!$J$7:$J$306,Графики!$D$7:$D$306,DCF!EQ$6))</f>
        <v>0</v>
      </c>
      <c r="ER14" s="128" cm="1">
        <f t="array" ref="ER14">TRANSPOSE(SUMIFS(Графики!$J$7:$J$306,Графики!$D$7:$D$306,DCF!ER$6))</f>
        <v>0</v>
      </c>
      <c r="ES14" s="128" cm="1">
        <f t="array" ref="ES14">TRANSPOSE(SUMIFS(Графики!$J$7:$J$306,Графики!$D$7:$D$306,DCF!ES$6))</f>
        <v>0</v>
      </c>
      <c r="ET14" s="128" cm="1">
        <f t="array" ref="ET14">TRANSPOSE(SUMIFS(Графики!$J$7:$J$306,Графики!$D$7:$D$306,DCF!ET$6))</f>
        <v>0</v>
      </c>
      <c r="EU14" s="128" cm="1">
        <f t="array" ref="EU14">TRANSPOSE(SUMIFS(Графики!$J$7:$J$306,Графики!$D$7:$D$306,DCF!EU$6))</f>
        <v>0</v>
      </c>
      <c r="EV14" s="128" cm="1">
        <f t="array" ref="EV14">TRANSPOSE(SUMIFS(Графики!$J$7:$J$306,Графики!$D$7:$D$306,DCF!EV$6))</f>
        <v>0</v>
      </c>
      <c r="EW14" s="128" cm="1">
        <f t="array" ref="EW14">TRANSPOSE(SUMIFS(Графики!$J$7:$J$306,Графики!$D$7:$D$306,DCF!EW$6))</f>
        <v>0</v>
      </c>
      <c r="EX14" s="128" cm="1">
        <f t="array" ref="EX14">TRANSPOSE(SUMIFS(Графики!$J$7:$J$306,Графики!$D$7:$D$306,DCF!EX$6))</f>
        <v>0</v>
      </c>
      <c r="EY14" s="128" cm="1">
        <f t="array" ref="EY14">TRANSPOSE(SUMIFS(Графики!$J$7:$J$306,Графики!$D$7:$D$306,DCF!EY$6))</f>
        <v>0</v>
      </c>
      <c r="EZ14" s="128" cm="1">
        <f t="array" ref="EZ14">TRANSPOSE(SUMIFS(Графики!$J$7:$J$306,Графики!$D$7:$D$306,DCF!EZ$6))</f>
        <v>0</v>
      </c>
      <c r="FA14" s="128" cm="1">
        <f t="array" ref="FA14">TRANSPOSE(SUMIFS(Графики!$J$7:$J$306,Графики!$D$7:$D$306,DCF!FA$6))</f>
        <v>0</v>
      </c>
      <c r="FB14" s="128" cm="1">
        <f t="array" ref="FB14">TRANSPOSE(SUMIFS(Графики!$J$7:$J$306,Графики!$D$7:$D$306,DCF!FB$6))</f>
        <v>0</v>
      </c>
      <c r="FC14" s="128" cm="1">
        <f t="array" ref="FC14">TRANSPOSE(SUMIFS(Графики!$J$7:$J$306,Графики!$D$7:$D$306,DCF!FC$6))</f>
        <v>0</v>
      </c>
      <c r="FD14" s="128" cm="1">
        <f t="array" ref="FD14">TRANSPOSE(SUMIFS(Графики!$J$7:$J$306,Графики!$D$7:$D$306,DCF!FD$6))</f>
        <v>0</v>
      </c>
      <c r="FE14" s="128" cm="1">
        <f t="array" ref="FE14">TRANSPOSE(SUMIFS(Графики!$J$7:$J$306,Графики!$D$7:$D$306,DCF!FE$6))</f>
        <v>0</v>
      </c>
      <c r="FF14" s="128" cm="1">
        <f t="array" ref="FF14">TRANSPOSE(SUMIFS(Графики!$J$7:$J$306,Графики!$D$7:$D$306,DCF!FF$6))</f>
        <v>0</v>
      </c>
      <c r="FG14" s="128" cm="1">
        <f t="array" ref="FG14">TRANSPOSE(SUMIFS(Графики!$J$7:$J$306,Графики!$D$7:$D$306,DCF!FG$6))</f>
        <v>0</v>
      </c>
      <c r="FH14" s="128" cm="1">
        <f t="array" ref="FH14">TRANSPOSE(SUMIFS(Графики!$J$7:$J$306,Графики!$D$7:$D$306,DCF!FH$6))</f>
        <v>0</v>
      </c>
      <c r="FI14" s="128" cm="1">
        <f t="array" ref="FI14">TRANSPOSE(SUMIFS(Графики!$J$7:$J$306,Графики!$D$7:$D$306,DCF!FI$6))</f>
        <v>0</v>
      </c>
      <c r="FJ14" s="128" cm="1">
        <f t="array" ref="FJ14">TRANSPOSE(SUMIFS(Графики!$J$7:$J$306,Графики!$D$7:$D$306,DCF!FJ$6))</f>
        <v>0</v>
      </c>
      <c r="FK14" s="128" cm="1">
        <f t="array" ref="FK14">TRANSPOSE(SUMIFS(Графики!$J$7:$J$306,Графики!$D$7:$D$306,DCF!FK$6))</f>
        <v>0</v>
      </c>
      <c r="FL14" s="128" cm="1">
        <f t="array" ref="FL14">TRANSPOSE(SUMIFS(Графики!$J$7:$J$306,Графики!$D$7:$D$306,DCF!FL$6))</f>
        <v>0</v>
      </c>
      <c r="FM14" s="128" cm="1">
        <f t="array" ref="FM14">TRANSPOSE(SUMIFS(Графики!$J$7:$J$306,Графики!$D$7:$D$306,DCF!FM$6))</f>
        <v>0</v>
      </c>
      <c r="FN14" s="128" cm="1">
        <f t="array" ref="FN14">TRANSPOSE(SUMIFS(Графики!$J$7:$J$306,Графики!$D$7:$D$306,DCF!FN$6))</f>
        <v>0</v>
      </c>
      <c r="FO14" s="128" cm="1">
        <f t="array" ref="FO14">TRANSPOSE(SUMIFS(Графики!$J$7:$J$306,Графики!$D$7:$D$306,DCF!FO$6))</f>
        <v>0</v>
      </c>
      <c r="FP14" s="128" cm="1">
        <f t="array" ref="FP14">TRANSPOSE(SUMIFS(Графики!$J$7:$J$306,Графики!$D$7:$D$306,DCF!FP$6))</f>
        <v>0</v>
      </c>
      <c r="FQ14" s="128" cm="1">
        <f t="array" ref="FQ14">TRANSPOSE(SUMIFS(Графики!$J$7:$J$306,Графики!$D$7:$D$306,DCF!FQ$6))</f>
        <v>0</v>
      </c>
      <c r="FR14" s="128" cm="1">
        <f t="array" ref="FR14">TRANSPOSE(SUMIFS(Графики!$J$7:$J$306,Графики!$D$7:$D$306,DCF!FR$6))</f>
        <v>0</v>
      </c>
      <c r="FS14" s="128" cm="1">
        <f t="array" ref="FS14">TRANSPOSE(SUMIFS(Графики!$J$7:$J$306,Графики!$D$7:$D$306,DCF!FS$6))</f>
        <v>0</v>
      </c>
      <c r="FT14" s="128" cm="1">
        <f t="array" ref="FT14">TRANSPOSE(SUMIFS(Графики!$J$7:$J$306,Графики!$D$7:$D$306,DCF!FT$6))</f>
        <v>0</v>
      </c>
      <c r="FU14" s="128" cm="1">
        <f t="array" ref="FU14">TRANSPOSE(SUMIFS(Графики!$J$7:$J$306,Графики!$D$7:$D$306,DCF!FU$6))</f>
        <v>0</v>
      </c>
      <c r="FV14" s="128" cm="1">
        <f t="array" ref="FV14">TRANSPOSE(SUMIFS(Графики!$J$7:$J$306,Графики!$D$7:$D$306,DCF!FV$6))</f>
        <v>0</v>
      </c>
      <c r="FW14" s="128" cm="1">
        <f t="array" ref="FW14">TRANSPOSE(SUMIFS(Графики!$J$7:$J$306,Графики!$D$7:$D$306,DCF!FW$6))</f>
        <v>0</v>
      </c>
      <c r="FX14" s="128" cm="1">
        <f t="array" ref="FX14">TRANSPOSE(SUMIFS(Графики!$J$7:$J$306,Графики!$D$7:$D$306,DCF!FX$6))</f>
        <v>0</v>
      </c>
      <c r="FY14" s="128" cm="1">
        <f t="array" ref="FY14">TRANSPOSE(SUMIFS(Графики!$J$7:$J$306,Графики!$D$7:$D$306,DCF!FY$6))</f>
        <v>0</v>
      </c>
      <c r="FZ14" s="128" cm="1">
        <f t="array" ref="FZ14">TRANSPOSE(SUMIFS(Графики!$J$7:$J$306,Графики!$D$7:$D$306,DCF!FZ$6))</f>
        <v>0</v>
      </c>
      <c r="GA14" s="128" cm="1">
        <f t="array" ref="GA14">TRANSPOSE(SUMIFS(Графики!$J$7:$J$306,Графики!$D$7:$D$306,DCF!GA$6))</f>
        <v>0</v>
      </c>
      <c r="GB14" s="128" cm="1">
        <f t="array" ref="GB14">TRANSPOSE(SUMIFS(Графики!$J$7:$J$306,Графики!$D$7:$D$306,DCF!GB$6))</f>
        <v>0</v>
      </c>
      <c r="GC14" s="128" cm="1">
        <f t="array" ref="GC14">TRANSPOSE(SUMIFS(Графики!$J$7:$J$306,Графики!$D$7:$D$306,DCF!GC$6))</f>
        <v>0</v>
      </c>
      <c r="GD14" s="128" cm="1">
        <f t="array" ref="GD14">TRANSPOSE(SUMIFS(Графики!$J$7:$J$306,Графики!$D$7:$D$306,DCF!GD$6))</f>
        <v>0</v>
      </c>
      <c r="GE14" s="128" cm="1">
        <f t="array" ref="GE14">TRANSPOSE(SUMIFS(Графики!$J$7:$J$306,Графики!$D$7:$D$306,DCF!GE$6))</f>
        <v>0</v>
      </c>
      <c r="GF14" s="128" cm="1">
        <f t="array" ref="GF14">TRANSPOSE(SUMIFS(Графики!$J$7:$J$306,Графики!$D$7:$D$306,DCF!GF$6))</f>
        <v>0</v>
      </c>
      <c r="GG14" s="128" cm="1">
        <f t="array" ref="GG14">TRANSPOSE(SUMIFS(Графики!$J$7:$J$306,Графики!$D$7:$D$306,DCF!GG$6))</f>
        <v>0</v>
      </c>
      <c r="GH14" s="128" cm="1">
        <f t="array" ref="GH14">TRANSPOSE(SUMIFS(Графики!$J$7:$J$306,Графики!$D$7:$D$306,DCF!GH$6))</f>
        <v>0</v>
      </c>
      <c r="GI14" s="128" cm="1">
        <f t="array" ref="GI14">TRANSPOSE(SUMIFS(Графики!$J$7:$J$306,Графики!$D$7:$D$306,DCF!GI$6))</f>
        <v>0</v>
      </c>
      <c r="GJ14" s="128" cm="1">
        <f t="array" ref="GJ14">TRANSPOSE(SUMIFS(Графики!$J$7:$J$306,Графики!$D$7:$D$306,DCF!GJ$6))</f>
        <v>0</v>
      </c>
      <c r="GK14" s="128" cm="1">
        <f t="array" ref="GK14">TRANSPOSE(SUMIFS(Графики!$J$7:$J$306,Графики!$D$7:$D$306,DCF!GK$6))</f>
        <v>0</v>
      </c>
      <c r="GL14" s="128" cm="1">
        <f t="array" ref="GL14">TRANSPOSE(SUMIFS(Графики!$J$7:$J$306,Графики!$D$7:$D$306,DCF!GL$6))</f>
        <v>0</v>
      </c>
      <c r="GM14" s="128" cm="1">
        <f t="array" ref="GM14">TRANSPOSE(SUMIFS(Графики!$J$7:$J$306,Графики!$D$7:$D$306,DCF!GM$6))</f>
        <v>0</v>
      </c>
      <c r="GN14" s="128" cm="1">
        <f t="array" ref="GN14">TRANSPOSE(SUMIFS(Графики!$J$7:$J$306,Графики!$D$7:$D$306,DCF!GN$6))</f>
        <v>0</v>
      </c>
      <c r="GO14" s="128" cm="1">
        <f t="array" ref="GO14">TRANSPOSE(SUMIFS(Графики!$J$7:$J$306,Графики!$D$7:$D$306,DCF!GO$6))</f>
        <v>0</v>
      </c>
      <c r="GP14" s="128" cm="1">
        <f t="array" ref="GP14">TRANSPOSE(SUMIFS(Графики!$J$7:$J$306,Графики!$D$7:$D$306,DCF!GP$6))</f>
        <v>0</v>
      </c>
      <c r="GQ14" s="128" cm="1">
        <f t="array" ref="GQ14">TRANSPOSE(SUMIFS(Графики!$J$7:$J$306,Графики!$D$7:$D$306,DCF!GQ$6))</f>
        <v>0</v>
      </c>
      <c r="GR14" s="128" cm="1">
        <f t="array" ref="GR14">TRANSPOSE(SUMIFS(Графики!$J$7:$J$306,Графики!$D$7:$D$306,DCF!GR$6))</f>
        <v>0</v>
      </c>
      <c r="GS14" s="128" cm="1">
        <f t="array" ref="GS14">TRANSPOSE(SUMIFS(Графики!$J$7:$J$306,Графики!$D$7:$D$306,DCF!GS$6))</f>
        <v>0</v>
      </c>
      <c r="GT14" s="128" cm="1">
        <f t="array" ref="GT14">TRANSPOSE(SUMIFS(Графики!$J$7:$J$306,Графики!$D$7:$D$306,DCF!GT$6))</f>
        <v>0</v>
      </c>
      <c r="GU14" s="128" cm="1">
        <f t="array" ref="GU14">TRANSPOSE(SUMIFS(Графики!$J$7:$J$306,Графики!$D$7:$D$306,DCF!GU$6))</f>
        <v>0</v>
      </c>
      <c r="GV14" s="128" cm="1">
        <f t="array" ref="GV14">TRANSPOSE(SUMIFS(Графики!$J$7:$J$306,Графики!$D$7:$D$306,DCF!GV$6))</f>
        <v>0</v>
      </c>
      <c r="GW14" s="128" cm="1">
        <f t="array" ref="GW14">TRANSPOSE(SUMIFS(Графики!$J$7:$J$306,Графики!$D$7:$D$306,DCF!GW$6))</f>
        <v>0</v>
      </c>
      <c r="GX14" s="128" cm="1">
        <f t="array" ref="GX14">TRANSPOSE(SUMIFS(Графики!$J$7:$J$306,Графики!$D$7:$D$306,DCF!GX$6))</f>
        <v>0</v>
      </c>
      <c r="GY14" s="128" cm="1">
        <f t="array" ref="GY14">TRANSPOSE(SUMIFS(Графики!$J$7:$J$306,Графики!$D$7:$D$306,DCF!GY$6))</f>
        <v>0</v>
      </c>
      <c r="GZ14" s="128" cm="1">
        <f t="array" ref="GZ14">TRANSPOSE(SUMIFS(Графики!$J$7:$J$306,Графики!$D$7:$D$306,DCF!GZ$6))</f>
        <v>0</v>
      </c>
      <c r="HA14" s="128" cm="1">
        <f t="array" ref="HA14">TRANSPOSE(SUMIFS(Графики!$J$7:$J$306,Графики!$D$7:$D$306,DCF!HA$6))</f>
        <v>0</v>
      </c>
      <c r="HB14" s="128" cm="1">
        <f t="array" ref="HB14">TRANSPOSE(SUMIFS(Графики!$J$7:$J$306,Графики!$D$7:$D$306,DCF!HB$6))</f>
        <v>0</v>
      </c>
      <c r="HC14" s="128" cm="1">
        <f t="array" ref="HC14">TRANSPOSE(SUMIFS(Графики!$J$7:$J$306,Графики!$D$7:$D$306,DCF!HC$6))</f>
        <v>0</v>
      </c>
      <c r="HD14" s="128" cm="1">
        <f t="array" ref="HD14">TRANSPOSE(SUMIFS(Графики!$J$7:$J$306,Графики!$D$7:$D$306,DCF!HD$6))</f>
        <v>0</v>
      </c>
      <c r="HE14" s="128" cm="1">
        <f t="array" ref="HE14">TRANSPOSE(SUMIFS(Графики!$J$7:$J$306,Графики!$D$7:$D$306,DCF!HE$6))</f>
        <v>0</v>
      </c>
      <c r="HF14" s="128" cm="1">
        <f t="array" ref="HF14">TRANSPOSE(SUMIFS(Графики!$J$7:$J$306,Графики!$D$7:$D$306,DCF!HF$6))</f>
        <v>0</v>
      </c>
      <c r="HG14" s="128" cm="1">
        <f t="array" ref="HG14">TRANSPOSE(SUMIFS(Графики!$J$7:$J$306,Графики!$D$7:$D$306,DCF!HG$6))</f>
        <v>0</v>
      </c>
      <c r="HH14" s="128" cm="1">
        <f t="array" ref="HH14">TRANSPOSE(SUMIFS(Графики!$J$7:$J$306,Графики!$D$7:$D$306,DCF!HH$6))</f>
        <v>0</v>
      </c>
      <c r="HI14" s="128" cm="1">
        <f t="array" ref="HI14">TRANSPOSE(SUMIFS(Графики!$J$7:$J$306,Графики!$D$7:$D$306,DCF!HI$6))</f>
        <v>0</v>
      </c>
      <c r="HJ14" s="128" cm="1">
        <f t="array" ref="HJ14">TRANSPOSE(SUMIFS(Графики!$J$7:$J$306,Графики!$D$7:$D$306,DCF!HJ$6))</f>
        <v>0</v>
      </c>
      <c r="HK14" s="128" cm="1">
        <f t="array" ref="HK14">TRANSPOSE(SUMIFS(Графики!$J$7:$J$306,Графики!$D$7:$D$306,DCF!HK$6))</f>
        <v>0</v>
      </c>
      <c r="HL14" s="128" cm="1">
        <f t="array" ref="HL14">TRANSPOSE(SUMIFS(Графики!$J$7:$J$306,Графики!$D$7:$D$306,DCF!HL$6))</f>
        <v>0</v>
      </c>
      <c r="HM14" s="128" cm="1">
        <f t="array" ref="HM14">TRANSPOSE(SUMIFS(Графики!$J$7:$J$306,Графики!$D$7:$D$306,DCF!HM$6))</f>
        <v>0</v>
      </c>
      <c r="HN14" s="128" cm="1">
        <f t="array" ref="HN14">TRANSPOSE(SUMIFS(Графики!$J$7:$J$306,Графики!$D$7:$D$306,DCF!HN$6))</f>
        <v>0</v>
      </c>
      <c r="HO14" s="128" cm="1">
        <f t="array" ref="HO14">TRANSPOSE(SUMIFS(Графики!$J$7:$J$306,Графики!$D$7:$D$306,DCF!HO$6))</f>
        <v>0</v>
      </c>
      <c r="HP14" s="128" cm="1">
        <f t="array" ref="HP14">TRANSPOSE(SUMIFS(Графики!$J$7:$J$306,Графики!$D$7:$D$306,DCF!HP$6))</f>
        <v>0</v>
      </c>
      <c r="HQ14" s="128" cm="1">
        <f t="array" ref="HQ14">TRANSPOSE(SUMIFS(Графики!$J$7:$J$306,Графики!$D$7:$D$306,DCF!HQ$6))</f>
        <v>0</v>
      </c>
      <c r="HR14" s="128" cm="1">
        <f t="array" ref="HR14">TRANSPOSE(SUMIFS(Графики!$J$7:$J$306,Графики!$D$7:$D$306,DCF!HR$6))</f>
        <v>0</v>
      </c>
      <c r="HS14" s="128" cm="1">
        <f t="array" ref="HS14">TRANSPOSE(SUMIFS(Графики!$J$7:$J$306,Графики!$D$7:$D$306,DCF!HS$6))</f>
        <v>0</v>
      </c>
      <c r="HT14" s="128" cm="1">
        <f t="array" ref="HT14">TRANSPOSE(SUMIFS(Графики!$J$7:$J$306,Графики!$D$7:$D$306,DCF!HT$6))</f>
        <v>0</v>
      </c>
      <c r="HU14" s="128" cm="1">
        <f t="array" ref="HU14">TRANSPOSE(SUMIFS(Графики!$J$7:$J$306,Графики!$D$7:$D$306,DCF!HU$6))</f>
        <v>0</v>
      </c>
      <c r="HV14" s="128" cm="1">
        <f t="array" ref="HV14">TRANSPOSE(SUMIFS(Графики!$J$7:$J$306,Графики!$D$7:$D$306,DCF!HV$6))</f>
        <v>0</v>
      </c>
      <c r="HW14" s="128" cm="1">
        <f t="array" ref="HW14">TRANSPOSE(SUMIFS(Графики!$J$7:$J$306,Графики!$D$7:$D$306,DCF!HW$6))</f>
        <v>0</v>
      </c>
      <c r="HX14" s="128" cm="1">
        <f t="array" ref="HX14">TRANSPOSE(SUMIFS(Графики!$J$7:$J$306,Графики!$D$7:$D$306,DCF!HX$6))</f>
        <v>0</v>
      </c>
      <c r="HY14" s="128" cm="1">
        <f t="array" ref="HY14">TRANSPOSE(SUMIFS(Графики!$J$7:$J$306,Графики!$D$7:$D$306,DCF!HY$6))</f>
        <v>0</v>
      </c>
      <c r="HZ14" s="128" cm="1">
        <f t="array" ref="HZ14">TRANSPOSE(SUMIFS(Графики!$J$7:$J$306,Графики!$D$7:$D$306,DCF!HZ$6))</f>
        <v>0</v>
      </c>
      <c r="IA14" s="128" cm="1">
        <f t="array" ref="IA14">TRANSPOSE(SUMIFS(Графики!$J$7:$J$306,Графики!$D$7:$D$306,DCF!IA$6))</f>
        <v>0</v>
      </c>
      <c r="IB14" s="128" cm="1">
        <f t="array" ref="IB14">TRANSPOSE(SUMIFS(Графики!$J$7:$J$306,Графики!$D$7:$D$306,DCF!IB$6))</f>
        <v>0</v>
      </c>
      <c r="IC14" s="128" cm="1">
        <f t="array" ref="IC14">TRANSPOSE(SUMIFS(Графики!$J$7:$J$306,Графики!$D$7:$D$306,DCF!IC$6))</f>
        <v>0</v>
      </c>
      <c r="ID14" s="128" cm="1">
        <f t="array" ref="ID14">TRANSPOSE(SUMIFS(Графики!$J$7:$J$306,Графики!$D$7:$D$306,DCF!ID$6))</f>
        <v>0</v>
      </c>
      <c r="IE14" s="128" cm="1">
        <f t="array" ref="IE14">TRANSPOSE(SUMIFS(Графики!$J$7:$J$306,Графики!$D$7:$D$306,DCF!IE$6))</f>
        <v>0</v>
      </c>
      <c r="IF14" s="128" cm="1">
        <f t="array" ref="IF14">TRANSPOSE(SUMIFS(Графики!$J$7:$J$306,Графики!$D$7:$D$306,DCF!IF$6))</f>
        <v>0</v>
      </c>
      <c r="IG14" s="128" cm="1">
        <f t="array" ref="IG14">TRANSPOSE(SUMIFS(Графики!$J$7:$J$306,Графики!$D$7:$D$306,DCF!IG$6))</f>
        <v>0</v>
      </c>
      <c r="IH14" s="128" cm="1">
        <f t="array" ref="IH14">TRANSPOSE(SUMIFS(Графики!$J$7:$J$306,Графики!$D$7:$D$306,DCF!IH$6))</f>
        <v>0</v>
      </c>
      <c r="II14" s="128" cm="1">
        <f t="array" ref="II14">TRANSPOSE(SUMIFS(Графики!$J$7:$J$306,Графики!$D$7:$D$306,DCF!II$6))</f>
        <v>0</v>
      </c>
      <c r="IJ14" s="128" cm="1">
        <f t="array" ref="IJ14">TRANSPOSE(SUMIFS(Графики!$J$7:$J$306,Графики!$D$7:$D$306,DCF!IJ$6))</f>
        <v>0</v>
      </c>
      <c r="IK14" s="128" cm="1">
        <f t="array" ref="IK14">TRANSPOSE(SUMIFS(Графики!$J$7:$J$306,Графики!$D$7:$D$306,DCF!IK$6))</f>
        <v>0</v>
      </c>
      <c r="IL14" s="128" cm="1">
        <f t="array" ref="IL14">TRANSPOSE(SUMIFS(Графики!$J$7:$J$306,Графики!$D$7:$D$306,DCF!IL$6))</f>
        <v>0</v>
      </c>
      <c r="IM14" s="128" cm="1">
        <f t="array" ref="IM14">TRANSPOSE(SUMIFS(Графики!$J$7:$J$306,Графики!$D$7:$D$306,DCF!IM$6))</f>
        <v>0</v>
      </c>
      <c r="IN14" s="128" cm="1">
        <f t="array" ref="IN14">TRANSPOSE(SUMIFS(Графики!$J$7:$J$306,Графики!$D$7:$D$306,DCF!IN$6))</f>
        <v>0</v>
      </c>
      <c r="IO14" s="128" cm="1">
        <f t="array" ref="IO14">TRANSPOSE(SUMIFS(Графики!$J$7:$J$306,Графики!$D$7:$D$306,DCF!IO$6))</f>
        <v>0</v>
      </c>
      <c r="IP14" s="128" cm="1">
        <f t="array" ref="IP14">TRANSPOSE(SUMIFS(Графики!$J$7:$J$306,Графики!$D$7:$D$306,DCF!IP$6))</f>
        <v>0</v>
      </c>
      <c r="IQ14" s="128" cm="1">
        <f t="array" ref="IQ14">TRANSPOSE(SUMIFS(Графики!$J$7:$J$306,Графики!$D$7:$D$306,DCF!IQ$6))</f>
        <v>0</v>
      </c>
      <c r="IR14" s="128" cm="1">
        <f t="array" ref="IR14">TRANSPOSE(SUMIFS(Графики!$J$7:$J$306,Графики!$D$7:$D$306,DCF!IR$6))</f>
        <v>0</v>
      </c>
      <c r="IS14" s="128" cm="1">
        <f t="array" ref="IS14">TRANSPOSE(SUMIFS(Графики!$J$7:$J$306,Графики!$D$7:$D$306,DCF!IS$6))</f>
        <v>0</v>
      </c>
      <c r="IT14" s="128" cm="1">
        <f t="array" ref="IT14">TRANSPOSE(SUMIFS(Графики!$J$7:$J$306,Графики!$D$7:$D$306,DCF!IT$6))</f>
        <v>0</v>
      </c>
      <c r="IU14" s="128" cm="1">
        <f t="array" ref="IU14">TRANSPOSE(SUMIFS(Графики!$J$7:$J$306,Графики!$D$7:$D$306,DCF!IU$6))</f>
        <v>0</v>
      </c>
      <c r="IV14" s="128" cm="1">
        <f t="array" ref="IV14">TRANSPOSE(SUMIFS(Графики!$J$7:$J$306,Графики!$D$7:$D$306,DCF!IV$6))</f>
        <v>0</v>
      </c>
      <c r="IW14" s="128" cm="1">
        <f t="array" ref="IW14">TRANSPOSE(SUMIFS(Графики!$J$7:$J$306,Графики!$D$7:$D$306,DCF!IW$6))</f>
        <v>0</v>
      </c>
      <c r="IX14" s="128" cm="1">
        <f t="array" ref="IX14">TRANSPOSE(SUMIFS(Графики!$J$7:$J$306,Графики!$D$7:$D$306,DCF!IX$6))</f>
        <v>0</v>
      </c>
      <c r="IY14" s="128" cm="1">
        <f t="array" ref="IY14">TRANSPOSE(SUMIFS(Графики!$J$7:$J$306,Графики!$D$7:$D$306,DCF!IY$6))</f>
        <v>0</v>
      </c>
      <c r="IZ14" s="128" cm="1">
        <f t="array" ref="IZ14">TRANSPOSE(SUMIFS(Графики!$J$7:$J$306,Графики!$D$7:$D$306,DCF!IZ$6))</f>
        <v>0</v>
      </c>
      <c r="JA14" s="128" cm="1">
        <f t="array" ref="JA14">TRANSPOSE(SUMIFS(Графики!$J$7:$J$306,Графики!$D$7:$D$306,DCF!JA$6))</f>
        <v>0</v>
      </c>
      <c r="JB14" s="128" cm="1">
        <f t="array" ref="JB14">TRANSPOSE(SUMIFS(Графики!$J$7:$J$306,Графики!$D$7:$D$306,DCF!JB$6))</f>
        <v>0</v>
      </c>
      <c r="JC14" s="128" cm="1">
        <f t="array" ref="JC14">TRANSPOSE(SUMIFS(Графики!$J$7:$J$306,Графики!$D$7:$D$306,DCF!JC$6))</f>
        <v>0</v>
      </c>
      <c r="JD14" s="128" cm="1">
        <f t="array" ref="JD14">TRANSPOSE(SUMIFS(Графики!$J$7:$J$306,Графики!$D$7:$D$306,DCF!JD$6))</f>
        <v>0</v>
      </c>
      <c r="JE14" s="128" cm="1">
        <f t="array" ref="JE14">TRANSPOSE(SUMIFS(Графики!$J$7:$J$306,Графики!$D$7:$D$306,DCF!JE$6))</f>
        <v>0</v>
      </c>
      <c r="JF14" s="128" cm="1">
        <f t="array" ref="JF14">TRANSPOSE(SUMIFS(Графики!$J$7:$J$306,Графики!$D$7:$D$306,DCF!JF$6))</f>
        <v>0</v>
      </c>
      <c r="JG14" s="128" cm="1">
        <f t="array" ref="JG14">TRANSPOSE(SUMIFS(Графики!$J$7:$J$306,Графики!$D$7:$D$306,DCF!JG$6))</f>
        <v>0</v>
      </c>
      <c r="JH14" s="128" cm="1">
        <f t="array" ref="JH14">TRANSPOSE(SUMIFS(Графики!$J$7:$J$306,Графики!$D$7:$D$306,DCF!JH$6))</f>
        <v>0</v>
      </c>
      <c r="JI14" s="128" cm="1">
        <f t="array" ref="JI14">TRANSPOSE(SUMIFS(Графики!$J$7:$J$306,Графики!$D$7:$D$306,DCF!JI$6))</f>
        <v>0</v>
      </c>
      <c r="JJ14" s="128" cm="1">
        <f t="array" ref="JJ14">TRANSPOSE(SUMIFS(Графики!$J$7:$J$306,Графики!$D$7:$D$306,DCF!JJ$6))</f>
        <v>0</v>
      </c>
      <c r="JK14" s="128" cm="1">
        <f t="array" ref="JK14">TRANSPOSE(SUMIFS(Графики!$J$7:$J$306,Графики!$D$7:$D$306,DCF!JK$6))</f>
        <v>0</v>
      </c>
      <c r="JL14" s="128" cm="1">
        <f t="array" ref="JL14">TRANSPOSE(SUMIFS(Графики!$J$7:$J$306,Графики!$D$7:$D$306,DCF!JL$6))</f>
        <v>0</v>
      </c>
      <c r="JM14" s="128" cm="1">
        <f t="array" ref="JM14">TRANSPOSE(SUMIFS(Графики!$J$7:$J$306,Графики!$D$7:$D$306,DCF!JM$6))</f>
        <v>0</v>
      </c>
      <c r="JN14" s="128" cm="1">
        <f t="array" ref="JN14">TRANSPOSE(SUMIFS(Графики!$J$7:$J$306,Графики!$D$7:$D$306,DCF!JN$6))</f>
        <v>0</v>
      </c>
      <c r="JO14" s="128" cm="1">
        <f t="array" ref="JO14">TRANSPOSE(SUMIFS(Графики!$J$7:$J$306,Графики!$D$7:$D$306,DCF!JO$6))</f>
        <v>0</v>
      </c>
      <c r="JP14" s="128" cm="1">
        <f t="array" ref="JP14">TRANSPOSE(SUMIFS(Графики!$J$7:$J$306,Графики!$D$7:$D$306,DCF!JP$6))</f>
        <v>0</v>
      </c>
      <c r="JQ14" s="128" cm="1">
        <f t="array" ref="JQ14">TRANSPOSE(SUMIFS(Графики!$J$7:$J$306,Графики!$D$7:$D$306,DCF!JQ$6))</f>
        <v>0</v>
      </c>
      <c r="JR14" s="128" cm="1">
        <f t="array" ref="JR14">TRANSPOSE(SUMIFS(Графики!$J$7:$J$306,Графики!$D$7:$D$306,DCF!JR$6))</f>
        <v>0</v>
      </c>
      <c r="JS14" s="128" cm="1">
        <f t="array" ref="JS14">TRANSPOSE(SUMIFS(Графики!$J$7:$J$306,Графики!$D$7:$D$306,DCF!JS$6))</f>
        <v>0</v>
      </c>
      <c r="JT14" s="128" cm="1">
        <f t="array" ref="JT14">TRANSPOSE(SUMIFS(Графики!$J$7:$J$306,Графики!$D$7:$D$306,DCF!JT$6))</f>
        <v>0</v>
      </c>
      <c r="JU14" s="128" cm="1">
        <f t="array" ref="JU14">TRANSPOSE(SUMIFS(Графики!$J$7:$J$306,Графики!$D$7:$D$306,DCF!JU$6))</f>
        <v>0</v>
      </c>
      <c r="JV14" s="128" cm="1">
        <f t="array" ref="JV14">TRANSPOSE(SUMIFS(Графики!$J$7:$J$306,Графики!$D$7:$D$306,DCF!JV$6))</f>
        <v>0</v>
      </c>
      <c r="JW14" s="128" cm="1">
        <f t="array" ref="JW14">TRANSPOSE(SUMIFS(Графики!$J$7:$J$306,Графики!$D$7:$D$306,DCF!JW$6))</f>
        <v>0</v>
      </c>
      <c r="JX14" s="128" cm="1">
        <f t="array" ref="JX14">TRANSPOSE(SUMIFS(Графики!$J$7:$J$306,Графики!$D$7:$D$306,DCF!JX$6))</f>
        <v>0</v>
      </c>
      <c r="JY14" s="128" cm="1">
        <f t="array" ref="JY14">TRANSPOSE(SUMIFS(Графики!$J$7:$J$306,Графики!$D$7:$D$306,DCF!JY$6))</f>
        <v>0</v>
      </c>
      <c r="JZ14" s="128" cm="1">
        <f t="array" ref="JZ14">TRANSPOSE(SUMIFS(Графики!$J$7:$J$306,Графики!$D$7:$D$306,DCF!JZ$6))</f>
        <v>0</v>
      </c>
      <c r="KA14" s="128" cm="1">
        <f t="array" ref="KA14">TRANSPOSE(SUMIFS(Графики!$J$7:$J$306,Графики!$D$7:$D$306,DCF!KA$6))</f>
        <v>0</v>
      </c>
      <c r="KB14" s="128" cm="1">
        <f t="array" ref="KB14">TRANSPOSE(SUMIFS(Графики!$J$7:$J$306,Графики!$D$7:$D$306,DCF!KB$6))</f>
        <v>0</v>
      </c>
      <c r="KC14" s="128" cm="1">
        <f t="array" ref="KC14">TRANSPOSE(SUMIFS(Графики!$J$7:$J$306,Графики!$D$7:$D$306,DCF!KC$6))</f>
        <v>0</v>
      </c>
      <c r="KD14" s="128" cm="1">
        <f t="array" ref="KD14">TRANSPOSE(SUMIFS(Графики!$J$7:$J$306,Графики!$D$7:$D$306,DCF!KD$6))</f>
        <v>0</v>
      </c>
      <c r="KE14" s="128" cm="1">
        <f t="array" ref="KE14">TRANSPOSE(SUMIFS(Графики!$J$7:$J$306,Графики!$D$7:$D$306,DCF!KE$6))</f>
        <v>0</v>
      </c>
      <c r="KF14" s="128" cm="1">
        <f t="array" ref="KF14">TRANSPOSE(SUMIFS(Графики!$J$7:$J$306,Графики!$D$7:$D$306,DCF!KF$6))</f>
        <v>0</v>
      </c>
      <c r="KG14" s="128" cm="1">
        <f t="array" ref="KG14">TRANSPOSE(SUMIFS(Графики!$J$7:$J$306,Графики!$D$7:$D$306,DCF!KG$6))</f>
        <v>0</v>
      </c>
      <c r="KH14" s="128" cm="1">
        <f t="array" ref="KH14">TRANSPOSE(SUMIFS(Графики!$J$7:$J$306,Графики!$D$7:$D$306,DCF!KH$6))</f>
        <v>0</v>
      </c>
      <c r="KI14" s="128" cm="1">
        <f t="array" ref="KI14">TRANSPOSE(SUMIFS(Графики!$J$7:$J$306,Графики!$D$7:$D$306,DCF!KI$6))</f>
        <v>0</v>
      </c>
      <c r="KJ14" s="128" cm="1">
        <f t="array" ref="KJ14">TRANSPOSE(SUMIFS(Графики!$J$7:$J$306,Графики!$D$7:$D$306,DCF!KJ$6))</f>
        <v>0</v>
      </c>
      <c r="KK14" s="128" cm="1">
        <f t="array" ref="KK14">TRANSPOSE(SUMIFS(Графики!$J$7:$J$306,Графики!$D$7:$D$306,DCF!KK$6))</f>
        <v>0</v>
      </c>
      <c r="KL14" s="128" cm="1">
        <f t="array" ref="KL14">TRANSPOSE(SUMIFS(Графики!$J$7:$J$306,Графики!$D$7:$D$306,DCF!KL$6))</f>
        <v>0</v>
      </c>
      <c r="KM14" s="128" cm="1">
        <f t="array" ref="KM14">TRANSPOSE(SUMIFS(Графики!$J$7:$J$306,Графики!$D$7:$D$306,DCF!KM$6))</f>
        <v>0</v>
      </c>
      <c r="KN14" s="128" cm="1">
        <f t="array" ref="KN14">TRANSPOSE(SUMIFS(Графики!$J$7:$J$306,Графики!$D$7:$D$306,DCF!KN$6))</f>
        <v>0</v>
      </c>
      <c r="KO14" s="128" cm="1">
        <f t="array" ref="KO14">TRANSPOSE(SUMIFS(Графики!$J$7:$J$306,Графики!$D$7:$D$306,DCF!KO$6))</f>
        <v>0</v>
      </c>
      <c r="KP14" s="128" cm="1">
        <f t="array" ref="KP14">TRANSPOSE(SUMIFS(Графики!$J$7:$J$306,Графики!$D$7:$D$306,DCF!KP$6))</f>
        <v>0</v>
      </c>
      <c r="KQ14" s="128" cm="1">
        <f t="array" ref="KQ14">TRANSPOSE(SUMIFS(Графики!$J$7:$J$306,Графики!$D$7:$D$306,DCF!KQ$6))</f>
        <v>0</v>
      </c>
    </row>
    <row r="15" spans="2:303" x14ac:dyDescent="0.35">
      <c r="B15" s="129" t="s">
        <v>111</v>
      </c>
      <c r="C15" s="248">
        <f>SUM(D15:KQ15)</f>
        <v>3438475132.3627601</v>
      </c>
      <c r="D15" s="131">
        <f>D11-SUM(D12:D14)</f>
        <v>76253937.56400001</v>
      </c>
      <c r="E15" s="131">
        <f t="shared" ref="E15:BO15" si="331">E11-SUM(E12:E14)</f>
        <v>76910187.56400001</v>
      </c>
      <c r="F15" s="131">
        <f t="shared" si="331"/>
        <v>77566437.56400001</v>
      </c>
      <c r="G15" s="131">
        <f t="shared" si="331"/>
        <v>19889546.954999983</v>
      </c>
      <c r="H15" s="131">
        <f t="shared" si="331"/>
        <v>-3126475.9898275286</v>
      </c>
      <c r="I15" s="131">
        <f t="shared" si="331"/>
        <v>31915346.954999983</v>
      </c>
      <c r="J15" s="131">
        <f t="shared" si="331"/>
        <v>32571596.954999983</v>
      </c>
      <c r="K15" s="131">
        <f t="shared" si="331"/>
        <v>-59490866.598827496</v>
      </c>
      <c r="L15" s="131">
        <f t="shared" si="331"/>
        <v>-13735743.653999984</v>
      </c>
      <c r="M15" s="131">
        <f t="shared" si="331"/>
        <v>-13079493.653999984</v>
      </c>
      <c r="N15" s="131">
        <f t="shared" si="331"/>
        <v>-175124936.16696548</v>
      </c>
      <c r="O15" s="131">
        <f t="shared" si="331"/>
        <v>-11766993.653999984</v>
      </c>
      <c r="P15" s="131">
        <f t="shared" si="331"/>
        <v>-11110743.653999984</v>
      </c>
      <c r="Q15" s="131">
        <f t="shared" si="331"/>
        <v>-34126766.598827496</v>
      </c>
      <c r="R15" s="131">
        <f t="shared" si="331"/>
        <v>47581568.833200097</v>
      </c>
      <c r="S15" s="131">
        <f t="shared" si="331"/>
        <v>48237818.833200097</v>
      </c>
      <c r="T15" s="131">
        <f t="shared" si="331"/>
        <v>14508495.888372585</v>
      </c>
      <c r="U15" s="131">
        <f t="shared" si="331"/>
        <v>49550318.833200097</v>
      </c>
      <c r="V15" s="131">
        <f t="shared" si="331"/>
        <v>466239718.83319998</v>
      </c>
      <c r="W15" s="131">
        <f t="shared" si="331"/>
        <v>253788455.82758725</v>
      </c>
      <c r="X15" s="131">
        <f t="shared" si="331"/>
        <v>769572049.99999988</v>
      </c>
      <c r="Y15" s="131">
        <f t="shared" si="331"/>
        <v>769572049.99999988</v>
      </c>
      <c r="Z15" s="131">
        <f t="shared" si="331"/>
        <v>256307571.72744787</v>
      </c>
      <c r="AA15" s="131">
        <f t="shared" si="331"/>
        <v>769572049.99999988</v>
      </c>
      <c r="AB15" s="131">
        <f t="shared" si="331"/>
        <v>0</v>
      </c>
      <c r="AC15" s="131">
        <f t="shared" si="331"/>
        <v>0</v>
      </c>
      <c r="AD15" s="131">
        <f t="shared" si="331"/>
        <v>0</v>
      </c>
      <c r="AE15" s="131">
        <f t="shared" si="331"/>
        <v>0</v>
      </c>
      <c r="AF15" s="131">
        <f t="shared" si="331"/>
        <v>0</v>
      </c>
      <c r="AG15" s="131">
        <f t="shared" si="331"/>
        <v>0</v>
      </c>
      <c r="AH15" s="131">
        <f t="shared" si="331"/>
        <v>0</v>
      </c>
      <c r="AI15" s="131">
        <f t="shared" si="331"/>
        <v>0</v>
      </c>
      <c r="AJ15" s="131">
        <f t="shared" si="331"/>
        <v>0</v>
      </c>
      <c r="AK15" s="131">
        <f t="shared" si="331"/>
        <v>0</v>
      </c>
      <c r="AL15" s="131">
        <f t="shared" si="331"/>
        <v>0</v>
      </c>
      <c r="AM15" s="131">
        <f t="shared" si="331"/>
        <v>0</v>
      </c>
      <c r="AN15" s="131">
        <f t="shared" si="331"/>
        <v>0</v>
      </c>
      <c r="AO15" s="131">
        <f t="shared" si="331"/>
        <v>0</v>
      </c>
      <c r="AP15" s="131">
        <f t="shared" si="331"/>
        <v>0</v>
      </c>
      <c r="AQ15" s="131">
        <f t="shared" si="331"/>
        <v>0</v>
      </c>
      <c r="AR15" s="131">
        <f t="shared" si="331"/>
        <v>0</v>
      </c>
      <c r="AS15" s="131">
        <f t="shared" si="331"/>
        <v>0</v>
      </c>
      <c r="AT15" s="131">
        <f t="shared" si="331"/>
        <v>0</v>
      </c>
      <c r="AU15" s="131">
        <f t="shared" si="331"/>
        <v>0</v>
      </c>
      <c r="AV15" s="131">
        <f t="shared" si="331"/>
        <v>0</v>
      </c>
      <c r="AW15" s="131">
        <f t="shared" si="331"/>
        <v>0</v>
      </c>
      <c r="AX15" s="131">
        <f t="shared" si="331"/>
        <v>0</v>
      </c>
      <c r="AY15" s="131">
        <f t="shared" si="331"/>
        <v>0</v>
      </c>
      <c r="AZ15" s="131">
        <f t="shared" si="331"/>
        <v>0</v>
      </c>
      <c r="BA15" s="131">
        <f t="shared" si="331"/>
        <v>0</v>
      </c>
      <c r="BB15" s="131">
        <f t="shared" si="331"/>
        <v>0</v>
      </c>
      <c r="BC15" s="131">
        <f t="shared" si="331"/>
        <v>0</v>
      </c>
      <c r="BD15" s="131">
        <f t="shared" si="331"/>
        <v>0</v>
      </c>
      <c r="BE15" s="131">
        <f t="shared" si="331"/>
        <v>0</v>
      </c>
      <c r="BF15" s="131">
        <f t="shared" si="331"/>
        <v>0</v>
      </c>
      <c r="BG15" s="131">
        <f t="shared" si="331"/>
        <v>0</v>
      </c>
      <c r="BH15" s="131">
        <f t="shared" si="331"/>
        <v>0</v>
      </c>
      <c r="BI15" s="131">
        <f t="shared" si="331"/>
        <v>0</v>
      </c>
      <c r="BJ15" s="131">
        <f t="shared" si="331"/>
        <v>0</v>
      </c>
      <c r="BK15" s="131">
        <f t="shared" si="331"/>
        <v>0</v>
      </c>
      <c r="BL15" s="131">
        <f t="shared" si="331"/>
        <v>0</v>
      </c>
      <c r="BM15" s="131">
        <f t="shared" si="331"/>
        <v>0</v>
      </c>
      <c r="BN15" s="131">
        <f t="shared" si="331"/>
        <v>0</v>
      </c>
      <c r="BO15" s="131">
        <f t="shared" si="331"/>
        <v>0</v>
      </c>
      <c r="BP15" s="131">
        <f t="shared" ref="BP15:EA15" si="332">BP11-SUM(BP12:BP14)</f>
        <v>0</v>
      </c>
      <c r="BQ15" s="131">
        <f t="shared" si="332"/>
        <v>0</v>
      </c>
      <c r="BR15" s="131">
        <f t="shared" si="332"/>
        <v>0</v>
      </c>
      <c r="BS15" s="131">
        <f t="shared" si="332"/>
        <v>0</v>
      </c>
      <c r="BT15" s="131">
        <f t="shared" si="332"/>
        <v>0</v>
      </c>
      <c r="BU15" s="131">
        <f t="shared" si="332"/>
        <v>0</v>
      </c>
      <c r="BV15" s="131">
        <f t="shared" si="332"/>
        <v>0</v>
      </c>
      <c r="BW15" s="131">
        <f t="shared" si="332"/>
        <v>0</v>
      </c>
      <c r="BX15" s="131">
        <f t="shared" si="332"/>
        <v>0</v>
      </c>
      <c r="BY15" s="131">
        <f t="shared" si="332"/>
        <v>0</v>
      </c>
      <c r="BZ15" s="131">
        <f t="shared" si="332"/>
        <v>0</v>
      </c>
      <c r="CA15" s="131">
        <f t="shared" si="332"/>
        <v>0</v>
      </c>
      <c r="CB15" s="131">
        <f t="shared" si="332"/>
        <v>0</v>
      </c>
      <c r="CC15" s="131">
        <f t="shared" si="332"/>
        <v>0</v>
      </c>
      <c r="CD15" s="131">
        <f t="shared" si="332"/>
        <v>0</v>
      </c>
      <c r="CE15" s="131">
        <f t="shared" si="332"/>
        <v>0</v>
      </c>
      <c r="CF15" s="131">
        <f t="shared" si="332"/>
        <v>0</v>
      </c>
      <c r="CG15" s="131">
        <f t="shared" si="332"/>
        <v>0</v>
      </c>
      <c r="CH15" s="131">
        <f t="shared" si="332"/>
        <v>0</v>
      </c>
      <c r="CI15" s="131">
        <f t="shared" si="332"/>
        <v>0</v>
      </c>
      <c r="CJ15" s="131">
        <f t="shared" si="332"/>
        <v>0</v>
      </c>
      <c r="CK15" s="131">
        <f t="shared" si="332"/>
        <v>0</v>
      </c>
      <c r="CL15" s="131">
        <f t="shared" si="332"/>
        <v>0</v>
      </c>
      <c r="CM15" s="131">
        <f t="shared" si="332"/>
        <v>0</v>
      </c>
      <c r="CN15" s="131">
        <f t="shared" si="332"/>
        <v>0</v>
      </c>
      <c r="CO15" s="131">
        <f t="shared" si="332"/>
        <v>0</v>
      </c>
      <c r="CP15" s="131">
        <f t="shared" si="332"/>
        <v>0</v>
      </c>
      <c r="CQ15" s="131">
        <f t="shared" si="332"/>
        <v>0</v>
      </c>
      <c r="CR15" s="131">
        <f t="shared" si="332"/>
        <v>0</v>
      </c>
      <c r="CS15" s="131">
        <f t="shared" si="332"/>
        <v>0</v>
      </c>
      <c r="CT15" s="131">
        <f t="shared" si="332"/>
        <v>0</v>
      </c>
      <c r="CU15" s="131">
        <f t="shared" si="332"/>
        <v>0</v>
      </c>
      <c r="CV15" s="131">
        <f t="shared" si="332"/>
        <v>0</v>
      </c>
      <c r="CW15" s="131">
        <f t="shared" si="332"/>
        <v>0</v>
      </c>
      <c r="CX15" s="131">
        <f t="shared" si="332"/>
        <v>0</v>
      </c>
      <c r="CY15" s="131">
        <f t="shared" si="332"/>
        <v>0</v>
      </c>
      <c r="CZ15" s="131">
        <f t="shared" si="332"/>
        <v>0</v>
      </c>
      <c r="DA15" s="131">
        <f t="shared" si="332"/>
        <v>0</v>
      </c>
      <c r="DB15" s="131">
        <f t="shared" si="332"/>
        <v>0</v>
      </c>
      <c r="DC15" s="131">
        <f t="shared" si="332"/>
        <v>0</v>
      </c>
      <c r="DD15" s="131">
        <f t="shared" si="332"/>
        <v>0</v>
      </c>
      <c r="DE15" s="131">
        <f t="shared" si="332"/>
        <v>0</v>
      </c>
      <c r="DF15" s="131">
        <f t="shared" si="332"/>
        <v>0</v>
      </c>
      <c r="DG15" s="131">
        <f t="shared" si="332"/>
        <v>0</v>
      </c>
      <c r="DH15" s="131">
        <f t="shared" si="332"/>
        <v>0</v>
      </c>
      <c r="DI15" s="131">
        <f t="shared" si="332"/>
        <v>0</v>
      </c>
      <c r="DJ15" s="131">
        <f t="shared" si="332"/>
        <v>0</v>
      </c>
      <c r="DK15" s="131">
        <f t="shared" si="332"/>
        <v>0</v>
      </c>
      <c r="DL15" s="131">
        <f t="shared" si="332"/>
        <v>0</v>
      </c>
      <c r="DM15" s="131">
        <f t="shared" si="332"/>
        <v>0</v>
      </c>
      <c r="DN15" s="131">
        <f t="shared" si="332"/>
        <v>0</v>
      </c>
      <c r="DO15" s="131">
        <f t="shared" si="332"/>
        <v>0</v>
      </c>
      <c r="DP15" s="131">
        <f t="shared" si="332"/>
        <v>0</v>
      </c>
      <c r="DQ15" s="131">
        <f t="shared" si="332"/>
        <v>0</v>
      </c>
      <c r="DR15" s="131">
        <f t="shared" si="332"/>
        <v>0</v>
      </c>
      <c r="DS15" s="131">
        <f t="shared" si="332"/>
        <v>0</v>
      </c>
      <c r="DT15" s="131">
        <f t="shared" si="332"/>
        <v>0</v>
      </c>
      <c r="DU15" s="131">
        <f t="shared" si="332"/>
        <v>0</v>
      </c>
      <c r="DV15" s="131">
        <f t="shared" si="332"/>
        <v>0</v>
      </c>
      <c r="DW15" s="131">
        <f t="shared" si="332"/>
        <v>0</v>
      </c>
      <c r="DX15" s="131">
        <f t="shared" si="332"/>
        <v>0</v>
      </c>
      <c r="DY15" s="131">
        <f t="shared" si="332"/>
        <v>0</v>
      </c>
      <c r="DZ15" s="131">
        <f t="shared" si="332"/>
        <v>0</v>
      </c>
      <c r="EA15" s="131">
        <f t="shared" si="332"/>
        <v>0</v>
      </c>
      <c r="EB15" s="131">
        <f t="shared" ref="EB15:GM15" si="333">EB11-SUM(EB12:EB14)</f>
        <v>0</v>
      </c>
      <c r="EC15" s="131">
        <f t="shared" si="333"/>
        <v>0</v>
      </c>
      <c r="ED15" s="131">
        <f t="shared" si="333"/>
        <v>0</v>
      </c>
      <c r="EE15" s="131">
        <f t="shared" si="333"/>
        <v>0</v>
      </c>
      <c r="EF15" s="131">
        <f t="shared" si="333"/>
        <v>0</v>
      </c>
      <c r="EG15" s="131">
        <f t="shared" si="333"/>
        <v>0</v>
      </c>
      <c r="EH15" s="131">
        <f t="shared" si="333"/>
        <v>0</v>
      </c>
      <c r="EI15" s="131">
        <f t="shared" si="333"/>
        <v>0</v>
      </c>
      <c r="EJ15" s="131">
        <f t="shared" si="333"/>
        <v>0</v>
      </c>
      <c r="EK15" s="131">
        <f t="shared" si="333"/>
        <v>0</v>
      </c>
      <c r="EL15" s="131">
        <f t="shared" si="333"/>
        <v>0</v>
      </c>
      <c r="EM15" s="131">
        <f t="shared" si="333"/>
        <v>0</v>
      </c>
      <c r="EN15" s="131">
        <f t="shared" si="333"/>
        <v>0</v>
      </c>
      <c r="EO15" s="131">
        <f t="shared" si="333"/>
        <v>0</v>
      </c>
      <c r="EP15" s="131">
        <f t="shared" si="333"/>
        <v>0</v>
      </c>
      <c r="EQ15" s="131">
        <f t="shared" si="333"/>
        <v>0</v>
      </c>
      <c r="ER15" s="131">
        <f t="shared" si="333"/>
        <v>0</v>
      </c>
      <c r="ES15" s="131">
        <f t="shared" si="333"/>
        <v>0</v>
      </c>
      <c r="ET15" s="131">
        <f t="shared" si="333"/>
        <v>0</v>
      </c>
      <c r="EU15" s="131">
        <f t="shared" si="333"/>
        <v>0</v>
      </c>
      <c r="EV15" s="131">
        <f t="shared" si="333"/>
        <v>0</v>
      </c>
      <c r="EW15" s="131">
        <f t="shared" si="333"/>
        <v>0</v>
      </c>
      <c r="EX15" s="131">
        <f t="shared" si="333"/>
        <v>0</v>
      </c>
      <c r="EY15" s="131">
        <f t="shared" si="333"/>
        <v>0</v>
      </c>
      <c r="EZ15" s="131">
        <f t="shared" si="333"/>
        <v>0</v>
      </c>
      <c r="FA15" s="131">
        <f t="shared" si="333"/>
        <v>0</v>
      </c>
      <c r="FB15" s="131">
        <f t="shared" si="333"/>
        <v>0</v>
      </c>
      <c r="FC15" s="131">
        <f t="shared" si="333"/>
        <v>0</v>
      </c>
      <c r="FD15" s="131">
        <f t="shared" si="333"/>
        <v>0</v>
      </c>
      <c r="FE15" s="131">
        <f t="shared" si="333"/>
        <v>0</v>
      </c>
      <c r="FF15" s="131">
        <f t="shared" si="333"/>
        <v>0</v>
      </c>
      <c r="FG15" s="131">
        <f t="shared" si="333"/>
        <v>0</v>
      </c>
      <c r="FH15" s="131">
        <f t="shared" si="333"/>
        <v>0</v>
      </c>
      <c r="FI15" s="131">
        <f t="shared" si="333"/>
        <v>0</v>
      </c>
      <c r="FJ15" s="131">
        <f t="shared" si="333"/>
        <v>0</v>
      </c>
      <c r="FK15" s="131">
        <f t="shared" si="333"/>
        <v>0</v>
      </c>
      <c r="FL15" s="131">
        <f t="shared" si="333"/>
        <v>0</v>
      </c>
      <c r="FM15" s="131">
        <f t="shared" si="333"/>
        <v>0</v>
      </c>
      <c r="FN15" s="131">
        <f t="shared" si="333"/>
        <v>0</v>
      </c>
      <c r="FO15" s="131">
        <f t="shared" si="333"/>
        <v>0</v>
      </c>
      <c r="FP15" s="131">
        <f t="shared" si="333"/>
        <v>0</v>
      </c>
      <c r="FQ15" s="131">
        <f t="shared" si="333"/>
        <v>0</v>
      </c>
      <c r="FR15" s="131">
        <f t="shared" si="333"/>
        <v>0</v>
      </c>
      <c r="FS15" s="131">
        <f t="shared" si="333"/>
        <v>0</v>
      </c>
      <c r="FT15" s="131">
        <f t="shared" si="333"/>
        <v>0</v>
      </c>
      <c r="FU15" s="131">
        <f t="shared" si="333"/>
        <v>0</v>
      </c>
      <c r="FV15" s="131">
        <f t="shared" si="333"/>
        <v>0</v>
      </c>
      <c r="FW15" s="131">
        <f t="shared" si="333"/>
        <v>0</v>
      </c>
      <c r="FX15" s="131">
        <f t="shared" si="333"/>
        <v>0</v>
      </c>
      <c r="FY15" s="131">
        <f t="shared" si="333"/>
        <v>0</v>
      </c>
      <c r="FZ15" s="131">
        <f t="shared" si="333"/>
        <v>0</v>
      </c>
      <c r="GA15" s="131">
        <f t="shared" si="333"/>
        <v>0</v>
      </c>
      <c r="GB15" s="131">
        <f t="shared" si="333"/>
        <v>0</v>
      </c>
      <c r="GC15" s="131">
        <f t="shared" si="333"/>
        <v>0</v>
      </c>
      <c r="GD15" s="131">
        <f t="shared" si="333"/>
        <v>0</v>
      </c>
      <c r="GE15" s="131">
        <f t="shared" si="333"/>
        <v>0</v>
      </c>
      <c r="GF15" s="131">
        <f t="shared" si="333"/>
        <v>0</v>
      </c>
      <c r="GG15" s="131">
        <f t="shared" si="333"/>
        <v>0</v>
      </c>
      <c r="GH15" s="131">
        <f t="shared" si="333"/>
        <v>0</v>
      </c>
      <c r="GI15" s="131">
        <f t="shared" si="333"/>
        <v>0</v>
      </c>
      <c r="GJ15" s="131">
        <f t="shared" si="333"/>
        <v>0</v>
      </c>
      <c r="GK15" s="131">
        <f t="shared" si="333"/>
        <v>0</v>
      </c>
      <c r="GL15" s="131">
        <f t="shared" si="333"/>
        <v>0</v>
      </c>
      <c r="GM15" s="131">
        <f t="shared" si="333"/>
        <v>0</v>
      </c>
      <c r="GN15" s="131">
        <f t="shared" ref="GN15:IY15" si="334">GN11-SUM(GN12:GN14)</f>
        <v>0</v>
      </c>
      <c r="GO15" s="131">
        <f t="shared" si="334"/>
        <v>0</v>
      </c>
      <c r="GP15" s="131">
        <f t="shared" si="334"/>
        <v>0</v>
      </c>
      <c r="GQ15" s="131">
        <f t="shared" si="334"/>
        <v>0</v>
      </c>
      <c r="GR15" s="131">
        <f t="shared" si="334"/>
        <v>0</v>
      </c>
      <c r="GS15" s="131">
        <f t="shared" si="334"/>
        <v>0</v>
      </c>
      <c r="GT15" s="131">
        <f t="shared" si="334"/>
        <v>0</v>
      </c>
      <c r="GU15" s="131">
        <f t="shared" si="334"/>
        <v>0</v>
      </c>
      <c r="GV15" s="131">
        <f t="shared" si="334"/>
        <v>0</v>
      </c>
      <c r="GW15" s="131">
        <f t="shared" si="334"/>
        <v>0</v>
      </c>
      <c r="GX15" s="131">
        <f t="shared" si="334"/>
        <v>0</v>
      </c>
      <c r="GY15" s="131">
        <f t="shared" si="334"/>
        <v>0</v>
      </c>
      <c r="GZ15" s="131">
        <f t="shared" si="334"/>
        <v>0</v>
      </c>
      <c r="HA15" s="131">
        <f t="shared" si="334"/>
        <v>0</v>
      </c>
      <c r="HB15" s="131">
        <f t="shared" si="334"/>
        <v>0</v>
      </c>
      <c r="HC15" s="131">
        <f t="shared" si="334"/>
        <v>0</v>
      </c>
      <c r="HD15" s="131">
        <f t="shared" si="334"/>
        <v>0</v>
      </c>
      <c r="HE15" s="131">
        <f t="shared" si="334"/>
        <v>0</v>
      </c>
      <c r="HF15" s="131">
        <f t="shared" si="334"/>
        <v>0</v>
      </c>
      <c r="HG15" s="131">
        <f t="shared" si="334"/>
        <v>0</v>
      </c>
      <c r="HH15" s="131">
        <f t="shared" si="334"/>
        <v>0</v>
      </c>
      <c r="HI15" s="131">
        <f t="shared" si="334"/>
        <v>0</v>
      </c>
      <c r="HJ15" s="131">
        <f t="shared" si="334"/>
        <v>0</v>
      </c>
      <c r="HK15" s="131">
        <f t="shared" si="334"/>
        <v>0</v>
      </c>
      <c r="HL15" s="131">
        <f t="shared" si="334"/>
        <v>0</v>
      </c>
      <c r="HM15" s="131">
        <f t="shared" si="334"/>
        <v>0</v>
      </c>
      <c r="HN15" s="131">
        <f t="shared" si="334"/>
        <v>0</v>
      </c>
      <c r="HO15" s="131">
        <f t="shared" si="334"/>
        <v>0</v>
      </c>
      <c r="HP15" s="131">
        <f t="shared" si="334"/>
        <v>0</v>
      </c>
      <c r="HQ15" s="131">
        <f t="shared" si="334"/>
        <v>0</v>
      </c>
      <c r="HR15" s="131">
        <f t="shared" si="334"/>
        <v>0</v>
      </c>
      <c r="HS15" s="131">
        <f t="shared" si="334"/>
        <v>0</v>
      </c>
      <c r="HT15" s="131">
        <f t="shared" si="334"/>
        <v>0</v>
      </c>
      <c r="HU15" s="131">
        <f t="shared" si="334"/>
        <v>0</v>
      </c>
      <c r="HV15" s="131">
        <f t="shared" si="334"/>
        <v>0</v>
      </c>
      <c r="HW15" s="131">
        <f t="shared" si="334"/>
        <v>0</v>
      </c>
      <c r="HX15" s="131">
        <f t="shared" si="334"/>
        <v>0</v>
      </c>
      <c r="HY15" s="131">
        <f t="shared" si="334"/>
        <v>0</v>
      </c>
      <c r="HZ15" s="131">
        <f t="shared" si="334"/>
        <v>0</v>
      </c>
      <c r="IA15" s="131">
        <f t="shared" si="334"/>
        <v>0</v>
      </c>
      <c r="IB15" s="131">
        <f t="shared" si="334"/>
        <v>0</v>
      </c>
      <c r="IC15" s="131">
        <f t="shared" si="334"/>
        <v>0</v>
      </c>
      <c r="ID15" s="131">
        <f t="shared" si="334"/>
        <v>0</v>
      </c>
      <c r="IE15" s="131">
        <f t="shared" si="334"/>
        <v>0</v>
      </c>
      <c r="IF15" s="131">
        <f t="shared" si="334"/>
        <v>0</v>
      </c>
      <c r="IG15" s="131">
        <f t="shared" si="334"/>
        <v>0</v>
      </c>
      <c r="IH15" s="131">
        <f t="shared" si="334"/>
        <v>0</v>
      </c>
      <c r="II15" s="131">
        <f t="shared" si="334"/>
        <v>0</v>
      </c>
      <c r="IJ15" s="131">
        <f t="shared" si="334"/>
        <v>0</v>
      </c>
      <c r="IK15" s="131">
        <f t="shared" si="334"/>
        <v>0</v>
      </c>
      <c r="IL15" s="131">
        <f t="shared" si="334"/>
        <v>0</v>
      </c>
      <c r="IM15" s="131">
        <f t="shared" si="334"/>
        <v>0</v>
      </c>
      <c r="IN15" s="131">
        <f t="shared" si="334"/>
        <v>0</v>
      </c>
      <c r="IO15" s="131">
        <f t="shared" si="334"/>
        <v>0</v>
      </c>
      <c r="IP15" s="131">
        <f t="shared" si="334"/>
        <v>0</v>
      </c>
      <c r="IQ15" s="131">
        <f t="shared" si="334"/>
        <v>0</v>
      </c>
      <c r="IR15" s="131">
        <f t="shared" si="334"/>
        <v>0</v>
      </c>
      <c r="IS15" s="131">
        <f t="shared" si="334"/>
        <v>0</v>
      </c>
      <c r="IT15" s="131">
        <f t="shared" si="334"/>
        <v>0</v>
      </c>
      <c r="IU15" s="131">
        <f t="shared" si="334"/>
        <v>0</v>
      </c>
      <c r="IV15" s="131">
        <f t="shared" si="334"/>
        <v>0</v>
      </c>
      <c r="IW15" s="131">
        <f t="shared" si="334"/>
        <v>0</v>
      </c>
      <c r="IX15" s="131">
        <f t="shared" si="334"/>
        <v>0</v>
      </c>
      <c r="IY15" s="131">
        <f t="shared" si="334"/>
        <v>0</v>
      </c>
      <c r="IZ15" s="131">
        <f t="shared" ref="IZ15:KQ15" si="335">IZ11-SUM(IZ12:IZ14)</f>
        <v>0</v>
      </c>
      <c r="JA15" s="131">
        <f t="shared" si="335"/>
        <v>0</v>
      </c>
      <c r="JB15" s="131">
        <f t="shared" si="335"/>
        <v>0</v>
      </c>
      <c r="JC15" s="131">
        <f t="shared" si="335"/>
        <v>0</v>
      </c>
      <c r="JD15" s="131">
        <f t="shared" si="335"/>
        <v>0</v>
      </c>
      <c r="JE15" s="131">
        <f t="shared" si="335"/>
        <v>0</v>
      </c>
      <c r="JF15" s="131">
        <f t="shared" si="335"/>
        <v>0</v>
      </c>
      <c r="JG15" s="131">
        <f t="shared" si="335"/>
        <v>0</v>
      </c>
      <c r="JH15" s="131">
        <f t="shared" si="335"/>
        <v>0</v>
      </c>
      <c r="JI15" s="131">
        <f t="shared" si="335"/>
        <v>0</v>
      </c>
      <c r="JJ15" s="131">
        <f t="shared" si="335"/>
        <v>0</v>
      </c>
      <c r="JK15" s="131">
        <f t="shared" si="335"/>
        <v>0</v>
      </c>
      <c r="JL15" s="131">
        <f t="shared" si="335"/>
        <v>0</v>
      </c>
      <c r="JM15" s="131">
        <f t="shared" si="335"/>
        <v>0</v>
      </c>
      <c r="JN15" s="131">
        <f t="shared" si="335"/>
        <v>0</v>
      </c>
      <c r="JO15" s="131">
        <f t="shared" si="335"/>
        <v>0</v>
      </c>
      <c r="JP15" s="131">
        <f t="shared" si="335"/>
        <v>0</v>
      </c>
      <c r="JQ15" s="131">
        <f t="shared" si="335"/>
        <v>0</v>
      </c>
      <c r="JR15" s="131">
        <f t="shared" si="335"/>
        <v>0</v>
      </c>
      <c r="JS15" s="131">
        <f t="shared" si="335"/>
        <v>0</v>
      </c>
      <c r="JT15" s="131">
        <f t="shared" si="335"/>
        <v>0</v>
      </c>
      <c r="JU15" s="131">
        <f t="shared" si="335"/>
        <v>0</v>
      </c>
      <c r="JV15" s="131">
        <f t="shared" si="335"/>
        <v>0</v>
      </c>
      <c r="JW15" s="131">
        <f t="shared" si="335"/>
        <v>0</v>
      </c>
      <c r="JX15" s="131">
        <f t="shared" si="335"/>
        <v>0</v>
      </c>
      <c r="JY15" s="131">
        <f t="shared" si="335"/>
        <v>0</v>
      </c>
      <c r="JZ15" s="131">
        <f t="shared" si="335"/>
        <v>0</v>
      </c>
      <c r="KA15" s="131">
        <f t="shared" si="335"/>
        <v>0</v>
      </c>
      <c r="KB15" s="131">
        <f t="shared" si="335"/>
        <v>0</v>
      </c>
      <c r="KC15" s="131">
        <f t="shared" si="335"/>
        <v>0</v>
      </c>
      <c r="KD15" s="131">
        <f t="shared" si="335"/>
        <v>0</v>
      </c>
      <c r="KE15" s="131">
        <f t="shared" si="335"/>
        <v>0</v>
      </c>
      <c r="KF15" s="131">
        <f t="shared" si="335"/>
        <v>0</v>
      </c>
      <c r="KG15" s="131">
        <f t="shared" si="335"/>
        <v>0</v>
      </c>
      <c r="KH15" s="131">
        <f t="shared" si="335"/>
        <v>0</v>
      </c>
      <c r="KI15" s="131">
        <f t="shared" si="335"/>
        <v>0</v>
      </c>
      <c r="KJ15" s="131">
        <f t="shared" si="335"/>
        <v>0</v>
      </c>
      <c r="KK15" s="131">
        <f t="shared" si="335"/>
        <v>0</v>
      </c>
      <c r="KL15" s="131">
        <f t="shared" si="335"/>
        <v>0</v>
      </c>
      <c r="KM15" s="131">
        <f t="shared" si="335"/>
        <v>0</v>
      </c>
      <c r="KN15" s="131">
        <f t="shared" si="335"/>
        <v>0</v>
      </c>
      <c r="KO15" s="131">
        <f t="shared" si="335"/>
        <v>0</v>
      </c>
      <c r="KP15" s="131">
        <f t="shared" si="335"/>
        <v>0</v>
      </c>
      <c r="KQ15" s="131">
        <f t="shared" si="335"/>
        <v>0</v>
      </c>
    </row>
    <row r="16" spans="2:303" x14ac:dyDescent="0.35">
      <c r="B16" s="126" t="s">
        <v>112</v>
      </c>
      <c r="C16" s="123">
        <f t="shared" ref="C16:C17" si="336">SUM(D16:KQ16)</f>
        <v>675000000</v>
      </c>
      <c r="D16" s="244" cm="1">
        <f t="array" ref="D16">TRANSPOSE(SUMIFS(Графики!$E$7:$E$306,Графики!$D$7:$D$306,DCF!D$6))</f>
        <v>0</v>
      </c>
      <c r="E16" s="244" cm="1">
        <f t="array" ref="E16">TRANSPOSE(SUMIFS(Графики!$E$7:$E$306,Графики!$D$7:$D$306,DCF!E$6))</f>
        <v>0</v>
      </c>
      <c r="F16" s="244" cm="1">
        <f t="array" ref="F16">TRANSPOSE(SUMIFS(Графики!$E$7:$E$306,Графики!$D$7:$D$306,DCF!F$6))</f>
        <v>0</v>
      </c>
      <c r="G16" s="244" cm="1">
        <f t="array" ref="G16">TRANSPOSE(SUMIFS(Графики!$E$7:$E$306,Графики!$D$7:$D$306,DCF!G$6))</f>
        <v>0</v>
      </c>
      <c r="H16" s="244" cm="1">
        <f t="array" ref="H16">TRANSPOSE(SUMIFS(Графики!$E$7:$E$306,Графики!$D$7:$D$306,DCF!H$6))</f>
        <v>0</v>
      </c>
      <c r="I16" s="244" cm="1">
        <f t="array" ref="I16">TRANSPOSE(SUMIFS(Графики!$E$7:$E$306,Графики!$D$7:$D$306,DCF!I$6))</f>
        <v>0</v>
      </c>
      <c r="J16" s="244" cm="1">
        <f t="array" ref="J16">TRANSPOSE(SUMIFS(Графики!$E$7:$E$306,Графики!$D$7:$D$306,DCF!J$6))</f>
        <v>0</v>
      </c>
      <c r="K16" s="244" cm="1">
        <f t="array" ref="K16">TRANSPOSE(SUMIFS(Графики!$E$7:$E$306,Графики!$D$7:$D$306,DCF!K$6))</f>
        <v>0</v>
      </c>
      <c r="L16" s="244" cm="1">
        <f t="array" ref="L16">TRANSPOSE(SUMIFS(Графики!$E$7:$E$306,Графики!$D$7:$D$306,DCF!L$6))</f>
        <v>0</v>
      </c>
      <c r="M16" s="244" cm="1">
        <f t="array" ref="M16">TRANSPOSE(SUMIFS(Графики!$E$7:$E$306,Графики!$D$7:$D$306,DCF!M$6))</f>
        <v>0</v>
      </c>
      <c r="N16" s="244" cm="1">
        <f t="array" ref="N16">TRANSPOSE(SUMIFS(Графики!$E$7:$E$306,Графики!$D$7:$D$306,DCF!N$6))</f>
        <v>0</v>
      </c>
      <c r="O16" s="244" cm="1">
        <f t="array" ref="O16">TRANSPOSE(SUMIFS(Графики!$E$7:$E$306,Графики!$D$7:$D$306,DCF!O$6))</f>
        <v>0</v>
      </c>
      <c r="P16" s="244" cm="1">
        <f t="array" ref="P16">TRANSPOSE(SUMIFS(Графики!$E$7:$E$306,Графики!$D$7:$D$306,DCF!P$6))</f>
        <v>0</v>
      </c>
      <c r="Q16" s="244" cm="1">
        <f t="array" ref="Q16">TRANSPOSE(SUMIFS(Графики!$E$7:$E$306,Графики!$D$7:$D$306,DCF!Q$6))</f>
        <v>0</v>
      </c>
      <c r="R16" s="244" cm="1">
        <f t="array" ref="R16">TRANSPOSE(SUMIFS(Графики!$E$7:$E$306,Графики!$D$7:$D$306,DCF!R$6))</f>
        <v>0</v>
      </c>
      <c r="S16" s="244" cm="1">
        <f t="array" ref="S16">TRANSPOSE(SUMIFS(Графики!$E$7:$E$306,Графики!$D$7:$D$306,DCF!S$6))</f>
        <v>0</v>
      </c>
      <c r="T16" s="244" cm="1">
        <f t="array" ref="T16">TRANSPOSE(SUMIFS(Графики!$E$7:$E$306,Графики!$D$7:$D$306,DCF!T$6))</f>
        <v>0</v>
      </c>
      <c r="U16" s="244" cm="1">
        <f t="array" ref="U16">TRANSPOSE(SUMIFS(Графики!$E$7:$E$306,Графики!$D$7:$D$306,DCF!U$6))</f>
        <v>0</v>
      </c>
      <c r="V16" s="244" cm="1">
        <f t="array" ref="V16">TRANSPOSE(SUMIFS(Графики!$E$7:$E$306,Графики!$D$7:$D$306,DCF!V$6))</f>
        <v>0</v>
      </c>
      <c r="W16" s="244" cm="1">
        <f t="array" ref="W16">TRANSPOSE(SUMIFS(Графики!$E$7:$E$306,Графики!$D$7:$D$306,DCF!W$6))</f>
        <v>675000000</v>
      </c>
      <c r="X16" s="244" cm="1">
        <f t="array" ref="X16">TRANSPOSE(SUMIFS(Графики!$E$7:$E$306,Графики!$D$7:$D$306,DCF!X$6))</f>
        <v>0</v>
      </c>
      <c r="Y16" s="244" cm="1">
        <f t="array" ref="Y16">TRANSPOSE(SUMIFS(Графики!$E$7:$E$306,Графики!$D$7:$D$306,DCF!Y$6))</f>
        <v>0</v>
      </c>
      <c r="Z16" s="244" cm="1">
        <f t="array" ref="Z16">TRANSPOSE(SUMIFS(Графики!$E$7:$E$306,Графики!$D$7:$D$306,DCF!Z$6))</f>
        <v>0</v>
      </c>
      <c r="AA16" s="244" cm="1">
        <f t="array" ref="AA16">TRANSPOSE(SUMIFS(Графики!$E$7:$E$306,Графики!$D$7:$D$306,DCF!AA$6))</f>
        <v>0</v>
      </c>
      <c r="AB16" s="244" cm="1">
        <f t="array" ref="AB16">TRANSPOSE(SUMIFS(Графики!$E$7:$E$306,Графики!$D$7:$D$306,DCF!AB$6))</f>
        <v>0</v>
      </c>
      <c r="AC16" s="244" cm="1">
        <f t="array" ref="AC16">TRANSPOSE(SUMIFS(Графики!$E$7:$E$306,Графики!$D$7:$D$306,DCF!AC$6))</f>
        <v>0</v>
      </c>
      <c r="AD16" s="244" cm="1">
        <f t="array" ref="AD16">TRANSPOSE(SUMIFS(Графики!$E$7:$E$306,Графики!$D$7:$D$306,DCF!AD$6))</f>
        <v>0</v>
      </c>
      <c r="AE16" s="244" cm="1">
        <f t="array" ref="AE16">TRANSPOSE(SUMIFS(Графики!$E$7:$E$306,Графики!$D$7:$D$306,DCF!AE$6))</f>
        <v>0</v>
      </c>
      <c r="AF16" s="244" cm="1">
        <f t="array" ref="AF16">TRANSPOSE(SUMIFS(Графики!$E$7:$E$306,Графики!$D$7:$D$306,DCF!AF$6))</f>
        <v>0</v>
      </c>
      <c r="AG16" s="244" cm="1">
        <f t="array" ref="AG16">TRANSPOSE(SUMIFS(Графики!$E$7:$E$306,Графики!$D$7:$D$306,DCF!AG$6))</f>
        <v>0</v>
      </c>
      <c r="AH16" s="244" cm="1">
        <f t="array" ref="AH16">TRANSPOSE(SUMIFS(Графики!$E$7:$E$306,Графики!$D$7:$D$306,DCF!AH$6))</f>
        <v>0</v>
      </c>
      <c r="AI16" s="244" cm="1">
        <f t="array" ref="AI16">TRANSPOSE(SUMIFS(Графики!$E$7:$E$306,Графики!$D$7:$D$306,DCF!AI$6))</f>
        <v>0</v>
      </c>
      <c r="AJ16" s="244" cm="1">
        <f t="array" ref="AJ16">TRANSPOSE(SUMIFS(Графики!$E$7:$E$306,Графики!$D$7:$D$306,DCF!AJ$6))</f>
        <v>0</v>
      </c>
      <c r="AK16" s="244" cm="1">
        <f t="array" ref="AK16">TRANSPOSE(SUMIFS(Графики!$E$7:$E$306,Графики!$D$7:$D$306,DCF!AK$6))</f>
        <v>0</v>
      </c>
      <c r="AL16" s="244" cm="1">
        <f t="array" ref="AL16">TRANSPOSE(SUMIFS(Графики!$E$7:$E$306,Графики!$D$7:$D$306,DCF!AL$6))</f>
        <v>0</v>
      </c>
      <c r="AM16" s="244" cm="1">
        <f t="array" ref="AM16">TRANSPOSE(SUMIFS(Графики!$E$7:$E$306,Графики!$D$7:$D$306,DCF!AM$6))</f>
        <v>0</v>
      </c>
      <c r="AN16" s="244" cm="1">
        <f t="array" ref="AN16">TRANSPOSE(SUMIFS(Графики!$E$7:$E$306,Графики!$D$7:$D$306,DCF!AN$6))</f>
        <v>0</v>
      </c>
      <c r="AO16" s="244" cm="1">
        <f t="array" ref="AO16">TRANSPOSE(SUMIFS(Графики!$E$7:$E$306,Графики!$D$7:$D$306,DCF!AO$6))</f>
        <v>0</v>
      </c>
      <c r="AP16" s="244" cm="1">
        <f t="array" ref="AP16">TRANSPOSE(SUMIFS(Графики!$E$7:$E$306,Графики!$D$7:$D$306,DCF!AP$6))</f>
        <v>0</v>
      </c>
      <c r="AQ16" s="244" cm="1">
        <f t="array" ref="AQ16">TRANSPOSE(SUMIFS(Графики!$E$7:$E$306,Графики!$D$7:$D$306,DCF!AQ$6))</f>
        <v>0</v>
      </c>
      <c r="AR16" s="244" cm="1">
        <f t="array" ref="AR16">TRANSPOSE(SUMIFS(Графики!$E$7:$E$306,Графики!$D$7:$D$306,DCF!AR$6))</f>
        <v>0</v>
      </c>
      <c r="AS16" s="244" cm="1">
        <f t="array" ref="AS16">TRANSPOSE(SUMIFS(Графики!$E$7:$E$306,Графики!$D$7:$D$306,DCF!AS$6))</f>
        <v>0</v>
      </c>
      <c r="AT16" s="244" cm="1">
        <f t="array" ref="AT16">TRANSPOSE(SUMIFS(Графики!$E$7:$E$306,Графики!$D$7:$D$306,DCF!AT$6))</f>
        <v>0</v>
      </c>
      <c r="AU16" s="244" cm="1">
        <f t="array" ref="AU16">TRANSPOSE(SUMIFS(Графики!$E$7:$E$306,Графики!$D$7:$D$306,DCF!AU$6))</f>
        <v>0</v>
      </c>
      <c r="AV16" s="244" cm="1">
        <f t="array" ref="AV16">TRANSPOSE(SUMIFS(Графики!$E$7:$E$306,Графики!$D$7:$D$306,DCF!AV$6))</f>
        <v>0</v>
      </c>
      <c r="AW16" s="244" cm="1">
        <f t="array" ref="AW16">TRANSPOSE(SUMIFS(Графики!$E$7:$E$306,Графики!$D$7:$D$306,DCF!AW$6))</f>
        <v>0</v>
      </c>
      <c r="AX16" s="244" cm="1">
        <f t="array" ref="AX16">TRANSPOSE(SUMIFS(Графики!$E$7:$E$306,Графики!$D$7:$D$306,DCF!AX$6))</f>
        <v>0</v>
      </c>
      <c r="AY16" s="244" cm="1">
        <f t="array" ref="AY16">TRANSPOSE(SUMIFS(Графики!$E$7:$E$306,Графики!$D$7:$D$306,DCF!AY$6))</f>
        <v>0</v>
      </c>
      <c r="AZ16" s="244" cm="1">
        <f t="array" ref="AZ16">TRANSPOSE(SUMIFS(Графики!$E$7:$E$306,Графики!$D$7:$D$306,DCF!AZ$6))</f>
        <v>0</v>
      </c>
      <c r="BA16" s="244" cm="1">
        <f t="array" ref="BA16">TRANSPOSE(SUMIFS(Графики!$E$7:$E$306,Графики!$D$7:$D$306,DCF!BA$6))</f>
        <v>0</v>
      </c>
      <c r="BB16" s="244" cm="1">
        <f t="array" ref="BB16">TRANSPOSE(SUMIFS(Графики!$E$7:$E$306,Графики!$D$7:$D$306,DCF!BB$6))</f>
        <v>0</v>
      </c>
      <c r="BC16" s="244" cm="1">
        <f t="array" ref="BC16">TRANSPOSE(SUMIFS(Графики!$E$7:$E$306,Графики!$D$7:$D$306,DCF!BC$6))</f>
        <v>0</v>
      </c>
      <c r="BD16" s="244" cm="1">
        <f t="array" ref="BD16">TRANSPOSE(SUMIFS(Графики!$E$7:$E$306,Графики!$D$7:$D$306,DCF!BD$6))</f>
        <v>0</v>
      </c>
      <c r="BE16" s="244" cm="1">
        <f t="array" ref="BE16">TRANSPOSE(SUMIFS(Графики!$E$7:$E$306,Графики!$D$7:$D$306,DCF!BE$6))</f>
        <v>0</v>
      </c>
      <c r="BF16" s="244" cm="1">
        <f t="array" ref="BF16">TRANSPOSE(SUMIFS(Графики!$E$7:$E$306,Графики!$D$7:$D$306,DCF!BF$6))</f>
        <v>0</v>
      </c>
      <c r="BG16" s="244" cm="1">
        <f t="array" ref="BG16">TRANSPOSE(SUMIFS(Графики!$E$7:$E$306,Графики!$D$7:$D$306,DCF!BG$6))</f>
        <v>0</v>
      </c>
      <c r="BH16" s="244" cm="1">
        <f t="array" ref="BH16">TRANSPOSE(SUMIFS(Графики!$E$7:$E$306,Графики!$D$7:$D$306,DCF!BH$6))</f>
        <v>0</v>
      </c>
      <c r="BI16" s="244" cm="1">
        <f t="array" ref="BI16">TRANSPOSE(SUMIFS(Графики!$E$7:$E$306,Графики!$D$7:$D$306,DCF!BI$6))</f>
        <v>0</v>
      </c>
      <c r="BJ16" s="244" cm="1">
        <f t="array" ref="BJ16">TRANSPOSE(SUMIFS(Графики!$E$7:$E$306,Графики!$D$7:$D$306,DCF!BJ$6))</f>
        <v>0</v>
      </c>
      <c r="BK16" s="244" cm="1">
        <f t="array" ref="BK16">TRANSPOSE(SUMIFS(Графики!$E$7:$E$306,Графики!$D$7:$D$306,DCF!BK$6))</f>
        <v>0</v>
      </c>
      <c r="BL16" s="244" cm="1">
        <f t="array" ref="BL16">TRANSPOSE(SUMIFS(Графики!$E$7:$E$306,Графики!$D$7:$D$306,DCF!BL$6))</f>
        <v>0</v>
      </c>
      <c r="BM16" s="244" cm="1">
        <f t="array" ref="BM16">TRANSPOSE(SUMIFS(Графики!$E$7:$E$306,Графики!$D$7:$D$306,DCF!BM$6))</f>
        <v>0</v>
      </c>
      <c r="BN16" s="244" cm="1">
        <f t="array" ref="BN16">TRANSPOSE(SUMIFS(Графики!$E$7:$E$306,Графики!$D$7:$D$306,DCF!BN$6))</f>
        <v>0</v>
      </c>
      <c r="BO16" s="244" cm="1">
        <f t="array" ref="BO16">TRANSPOSE(SUMIFS(Графики!$E$7:$E$306,Графики!$D$7:$D$306,DCF!BO$6))</f>
        <v>0</v>
      </c>
      <c r="BP16" s="244" cm="1">
        <f t="array" ref="BP16">TRANSPOSE(SUMIFS(Графики!$E$7:$E$306,Графики!$D$7:$D$306,DCF!BP$6))</f>
        <v>0</v>
      </c>
      <c r="BQ16" s="244" cm="1">
        <f t="array" ref="BQ16">TRANSPOSE(SUMIFS(Графики!$E$7:$E$306,Графики!$D$7:$D$306,DCF!BQ$6))</f>
        <v>0</v>
      </c>
      <c r="BR16" s="244" cm="1">
        <f t="array" ref="BR16">TRANSPOSE(SUMIFS(Графики!$E$7:$E$306,Графики!$D$7:$D$306,DCF!BR$6))</f>
        <v>0</v>
      </c>
      <c r="BS16" s="244" cm="1">
        <f t="array" ref="BS16">TRANSPOSE(SUMIFS(Графики!$E$7:$E$306,Графики!$D$7:$D$306,DCF!BS$6))</f>
        <v>0</v>
      </c>
      <c r="BT16" s="244" cm="1">
        <f t="array" ref="BT16">TRANSPOSE(SUMIFS(Графики!$E$7:$E$306,Графики!$D$7:$D$306,DCF!BT$6))</f>
        <v>0</v>
      </c>
      <c r="BU16" s="244" cm="1">
        <f t="array" ref="BU16">TRANSPOSE(SUMIFS(Графики!$E$7:$E$306,Графики!$D$7:$D$306,DCF!BU$6))</f>
        <v>0</v>
      </c>
      <c r="BV16" s="244" cm="1">
        <f t="array" ref="BV16">TRANSPOSE(SUMIFS(Графики!$E$7:$E$306,Графики!$D$7:$D$306,DCF!BV$6))</f>
        <v>0</v>
      </c>
      <c r="BW16" s="244" cm="1">
        <f t="array" ref="BW16">TRANSPOSE(SUMIFS(Графики!$E$7:$E$306,Графики!$D$7:$D$306,DCF!BW$6))</f>
        <v>0</v>
      </c>
      <c r="BX16" s="244" cm="1">
        <f t="array" ref="BX16">TRANSPOSE(SUMIFS(Графики!$E$7:$E$306,Графики!$D$7:$D$306,DCF!BX$6))</f>
        <v>0</v>
      </c>
      <c r="BY16" s="244" cm="1">
        <f t="array" ref="BY16">TRANSPOSE(SUMIFS(Графики!$E$7:$E$306,Графики!$D$7:$D$306,DCF!BY$6))</f>
        <v>0</v>
      </c>
      <c r="BZ16" s="244" cm="1">
        <f t="array" ref="BZ16">TRANSPOSE(SUMIFS(Графики!$E$7:$E$306,Графики!$D$7:$D$306,DCF!BZ$6))</f>
        <v>0</v>
      </c>
      <c r="CA16" s="244" cm="1">
        <f t="array" ref="CA16">TRANSPOSE(SUMIFS(Графики!$E$7:$E$306,Графики!$D$7:$D$306,DCF!CA$6))</f>
        <v>0</v>
      </c>
      <c r="CB16" s="244" cm="1">
        <f t="array" ref="CB16">TRANSPOSE(SUMIFS(Графики!$E$7:$E$306,Графики!$D$7:$D$306,DCF!CB$6))</f>
        <v>0</v>
      </c>
      <c r="CC16" s="244" cm="1">
        <f t="array" ref="CC16">TRANSPOSE(SUMIFS(Графики!$E$7:$E$306,Графики!$D$7:$D$306,DCF!CC$6))</f>
        <v>0</v>
      </c>
      <c r="CD16" s="244" cm="1">
        <f t="array" ref="CD16">TRANSPOSE(SUMIFS(Графики!$E$7:$E$306,Графики!$D$7:$D$306,DCF!CD$6))</f>
        <v>0</v>
      </c>
      <c r="CE16" s="244" cm="1">
        <f t="array" ref="CE16">TRANSPOSE(SUMIFS(Графики!$E$7:$E$306,Графики!$D$7:$D$306,DCF!CE$6))</f>
        <v>0</v>
      </c>
      <c r="CF16" s="244" cm="1">
        <f t="array" ref="CF16">TRANSPOSE(SUMIFS(Графики!$E$7:$E$306,Графики!$D$7:$D$306,DCF!CF$6))</f>
        <v>0</v>
      </c>
      <c r="CG16" s="244" cm="1">
        <f t="array" ref="CG16">TRANSPOSE(SUMIFS(Графики!$E$7:$E$306,Графики!$D$7:$D$306,DCF!CG$6))</f>
        <v>0</v>
      </c>
      <c r="CH16" s="244" cm="1">
        <f t="array" ref="CH16">TRANSPOSE(SUMIFS(Графики!$E$7:$E$306,Графики!$D$7:$D$306,DCF!CH$6))</f>
        <v>0</v>
      </c>
      <c r="CI16" s="244" cm="1">
        <f t="array" ref="CI16">TRANSPOSE(SUMIFS(Графики!$E$7:$E$306,Графики!$D$7:$D$306,DCF!CI$6))</f>
        <v>0</v>
      </c>
      <c r="CJ16" s="244" cm="1">
        <f t="array" ref="CJ16">TRANSPOSE(SUMIFS(Графики!$E$7:$E$306,Графики!$D$7:$D$306,DCF!CJ$6))</f>
        <v>0</v>
      </c>
      <c r="CK16" s="244" cm="1">
        <f t="array" ref="CK16">TRANSPOSE(SUMIFS(Графики!$E$7:$E$306,Графики!$D$7:$D$306,DCF!CK$6))</f>
        <v>0</v>
      </c>
      <c r="CL16" s="244" cm="1">
        <f t="array" ref="CL16">TRANSPOSE(SUMIFS(Графики!$E$7:$E$306,Графики!$D$7:$D$306,DCF!CL$6))</f>
        <v>0</v>
      </c>
      <c r="CM16" s="244" cm="1">
        <f t="array" ref="CM16">TRANSPOSE(SUMIFS(Графики!$E$7:$E$306,Графики!$D$7:$D$306,DCF!CM$6))</f>
        <v>0</v>
      </c>
      <c r="CN16" s="244" cm="1">
        <f t="array" ref="CN16">TRANSPOSE(SUMIFS(Графики!$E$7:$E$306,Графики!$D$7:$D$306,DCF!CN$6))</f>
        <v>0</v>
      </c>
      <c r="CO16" s="244" cm="1">
        <f t="array" ref="CO16">TRANSPOSE(SUMIFS(Графики!$E$7:$E$306,Графики!$D$7:$D$306,DCF!CO$6))</f>
        <v>0</v>
      </c>
      <c r="CP16" s="244" cm="1">
        <f t="array" ref="CP16">TRANSPOSE(SUMIFS(Графики!$E$7:$E$306,Графики!$D$7:$D$306,DCF!CP$6))</f>
        <v>0</v>
      </c>
      <c r="CQ16" s="244" cm="1">
        <f t="array" ref="CQ16">TRANSPOSE(SUMIFS(Графики!$E$7:$E$306,Графики!$D$7:$D$306,DCF!CQ$6))</f>
        <v>0</v>
      </c>
      <c r="CR16" s="244" cm="1">
        <f t="array" ref="CR16">TRANSPOSE(SUMIFS(Графики!$E$7:$E$306,Графики!$D$7:$D$306,DCF!CR$6))</f>
        <v>0</v>
      </c>
      <c r="CS16" s="244" cm="1">
        <f t="array" ref="CS16">TRANSPOSE(SUMIFS(Графики!$E$7:$E$306,Графики!$D$7:$D$306,DCF!CS$6))</f>
        <v>0</v>
      </c>
      <c r="CT16" s="244" cm="1">
        <f t="array" ref="CT16">TRANSPOSE(SUMIFS(Графики!$E$7:$E$306,Графики!$D$7:$D$306,DCF!CT$6))</f>
        <v>0</v>
      </c>
      <c r="CU16" s="244" cm="1">
        <f t="array" ref="CU16">TRANSPOSE(SUMIFS(Графики!$E$7:$E$306,Графики!$D$7:$D$306,DCF!CU$6))</f>
        <v>0</v>
      </c>
      <c r="CV16" s="244" cm="1">
        <f t="array" ref="CV16">TRANSPOSE(SUMIFS(Графики!$E$7:$E$306,Графики!$D$7:$D$306,DCF!CV$6))</f>
        <v>0</v>
      </c>
      <c r="CW16" s="244" cm="1">
        <f t="array" ref="CW16">TRANSPOSE(SUMIFS(Графики!$E$7:$E$306,Графики!$D$7:$D$306,DCF!CW$6))</f>
        <v>0</v>
      </c>
      <c r="CX16" s="244" cm="1">
        <f t="array" ref="CX16">TRANSPOSE(SUMIFS(Графики!$E$7:$E$306,Графики!$D$7:$D$306,DCF!CX$6))</f>
        <v>0</v>
      </c>
      <c r="CY16" s="244" cm="1">
        <f t="array" ref="CY16">TRANSPOSE(SUMIFS(Графики!$E$7:$E$306,Графики!$D$7:$D$306,DCF!CY$6))</f>
        <v>0</v>
      </c>
      <c r="CZ16" s="244" cm="1">
        <f t="array" ref="CZ16">TRANSPOSE(SUMIFS(Графики!$E$7:$E$306,Графики!$D$7:$D$306,DCF!CZ$6))</f>
        <v>0</v>
      </c>
      <c r="DA16" s="244" cm="1">
        <f t="array" ref="DA16">TRANSPOSE(SUMIFS(Графики!$E$7:$E$306,Графики!$D$7:$D$306,DCF!DA$6))</f>
        <v>0</v>
      </c>
      <c r="DB16" s="244" cm="1">
        <f t="array" ref="DB16">TRANSPOSE(SUMIFS(Графики!$E$7:$E$306,Графики!$D$7:$D$306,DCF!DB$6))</f>
        <v>0</v>
      </c>
      <c r="DC16" s="244" cm="1">
        <f t="array" ref="DC16">TRANSPOSE(SUMIFS(Графики!$E$7:$E$306,Графики!$D$7:$D$306,DCF!DC$6))</f>
        <v>0</v>
      </c>
      <c r="DD16" s="244" cm="1">
        <f t="array" ref="DD16">TRANSPOSE(SUMIFS(Графики!$E$7:$E$306,Графики!$D$7:$D$306,DCF!DD$6))</f>
        <v>0</v>
      </c>
      <c r="DE16" s="244" cm="1">
        <f t="array" ref="DE16">TRANSPOSE(SUMIFS(Графики!$E$7:$E$306,Графики!$D$7:$D$306,DCF!DE$6))</f>
        <v>0</v>
      </c>
      <c r="DF16" s="244" cm="1">
        <f t="array" ref="DF16">TRANSPOSE(SUMIFS(Графики!$E$7:$E$306,Графики!$D$7:$D$306,DCF!DF$6))</f>
        <v>0</v>
      </c>
      <c r="DG16" s="244" cm="1">
        <f t="array" ref="DG16">TRANSPOSE(SUMIFS(Графики!$E$7:$E$306,Графики!$D$7:$D$306,DCF!DG$6))</f>
        <v>0</v>
      </c>
      <c r="DH16" s="244" cm="1">
        <f t="array" ref="DH16">TRANSPOSE(SUMIFS(Графики!$E$7:$E$306,Графики!$D$7:$D$306,DCF!DH$6))</f>
        <v>0</v>
      </c>
      <c r="DI16" s="244" cm="1">
        <f t="array" ref="DI16">TRANSPOSE(SUMIFS(Графики!$E$7:$E$306,Графики!$D$7:$D$306,DCF!DI$6))</f>
        <v>0</v>
      </c>
      <c r="DJ16" s="244" cm="1">
        <f t="array" ref="DJ16">TRANSPOSE(SUMIFS(Графики!$E$7:$E$306,Графики!$D$7:$D$306,DCF!DJ$6))</f>
        <v>0</v>
      </c>
      <c r="DK16" s="244" cm="1">
        <f t="array" ref="DK16">TRANSPOSE(SUMIFS(Графики!$E$7:$E$306,Графики!$D$7:$D$306,DCF!DK$6))</f>
        <v>0</v>
      </c>
      <c r="DL16" s="244" cm="1">
        <f t="array" ref="DL16">TRANSPOSE(SUMIFS(Графики!$E$7:$E$306,Графики!$D$7:$D$306,DCF!DL$6))</f>
        <v>0</v>
      </c>
      <c r="DM16" s="244" cm="1">
        <f t="array" ref="DM16">TRANSPOSE(SUMIFS(Графики!$E$7:$E$306,Графики!$D$7:$D$306,DCF!DM$6))</f>
        <v>0</v>
      </c>
      <c r="DN16" s="244" cm="1">
        <f t="array" ref="DN16">TRANSPOSE(SUMIFS(Графики!$E$7:$E$306,Графики!$D$7:$D$306,DCF!DN$6))</f>
        <v>0</v>
      </c>
      <c r="DO16" s="244" cm="1">
        <f t="array" ref="DO16">TRANSPOSE(SUMIFS(Графики!$E$7:$E$306,Графики!$D$7:$D$306,DCF!DO$6))</f>
        <v>0</v>
      </c>
      <c r="DP16" s="244" cm="1">
        <f t="array" ref="DP16">TRANSPOSE(SUMIFS(Графики!$E$7:$E$306,Графики!$D$7:$D$306,DCF!DP$6))</f>
        <v>0</v>
      </c>
      <c r="DQ16" s="244" cm="1">
        <f t="array" ref="DQ16">TRANSPOSE(SUMIFS(Графики!$E$7:$E$306,Графики!$D$7:$D$306,DCF!DQ$6))</f>
        <v>0</v>
      </c>
      <c r="DR16" s="244" cm="1">
        <f t="array" ref="DR16">TRANSPOSE(SUMIFS(Графики!$E$7:$E$306,Графики!$D$7:$D$306,DCF!DR$6))</f>
        <v>0</v>
      </c>
      <c r="DS16" s="244" cm="1">
        <f t="array" ref="DS16">TRANSPOSE(SUMIFS(Графики!$E$7:$E$306,Графики!$D$7:$D$306,DCF!DS$6))</f>
        <v>0</v>
      </c>
      <c r="DT16" s="244" cm="1">
        <f t="array" ref="DT16">TRANSPOSE(SUMIFS(Графики!$E$7:$E$306,Графики!$D$7:$D$306,DCF!DT$6))</f>
        <v>0</v>
      </c>
      <c r="DU16" s="244" cm="1">
        <f t="array" ref="DU16">TRANSPOSE(SUMIFS(Графики!$E$7:$E$306,Графики!$D$7:$D$306,DCF!DU$6))</f>
        <v>0</v>
      </c>
      <c r="DV16" s="244" cm="1">
        <f t="array" ref="DV16">TRANSPOSE(SUMIFS(Графики!$E$7:$E$306,Графики!$D$7:$D$306,DCF!DV$6))</f>
        <v>0</v>
      </c>
      <c r="DW16" s="244" cm="1">
        <f t="array" ref="DW16">TRANSPOSE(SUMIFS(Графики!$E$7:$E$306,Графики!$D$7:$D$306,DCF!DW$6))</f>
        <v>0</v>
      </c>
      <c r="DX16" s="244" cm="1">
        <f t="array" ref="DX16">TRANSPOSE(SUMIFS(Графики!$E$7:$E$306,Графики!$D$7:$D$306,DCF!DX$6))</f>
        <v>0</v>
      </c>
      <c r="DY16" s="244" cm="1">
        <f t="array" ref="DY16">TRANSPOSE(SUMIFS(Графики!$E$7:$E$306,Графики!$D$7:$D$306,DCF!DY$6))</f>
        <v>0</v>
      </c>
      <c r="DZ16" s="244" cm="1">
        <f t="array" ref="DZ16">TRANSPOSE(SUMIFS(Графики!$E$7:$E$306,Графики!$D$7:$D$306,DCF!DZ$6))</f>
        <v>0</v>
      </c>
      <c r="EA16" s="244" cm="1">
        <f t="array" ref="EA16">TRANSPOSE(SUMIFS(Графики!$E$7:$E$306,Графики!$D$7:$D$306,DCF!EA$6))</f>
        <v>0</v>
      </c>
      <c r="EB16" s="244" cm="1">
        <f t="array" ref="EB16">TRANSPOSE(SUMIFS(Графики!$E$7:$E$306,Графики!$D$7:$D$306,DCF!EB$6))</f>
        <v>0</v>
      </c>
      <c r="EC16" s="244" cm="1">
        <f t="array" ref="EC16">TRANSPOSE(SUMIFS(Графики!$E$7:$E$306,Графики!$D$7:$D$306,DCF!EC$6))</f>
        <v>0</v>
      </c>
      <c r="ED16" s="244" cm="1">
        <f t="array" ref="ED16">TRANSPOSE(SUMIFS(Графики!$E$7:$E$306,Графики!$D$7:$D$306,DCF!ED$6))</f>
        <v>0</v>
      </c>
      <c r="EE16" s="244" cm="1">
        <f t="array" ref="EE16">TRANSPOSE(SUMIFS(Графики!$E$7:$E$306,Графики!$D$7:$D$306,DCF!EE$6))</f>
        <v>0</v>
      </c>
      <c r="EF16" s="244" cm="1">
        <f t="array" ref="EF16">TRANSPOSE(SUMIFS(Графики!$E$7:$E$306,Графики!$D$7:$D$306,DCF!EF$6))</f>
        <v>0</v>
      </c>
      <c r="EG16" s="244" cm="1">
        <f t="array" ref="EG16">TRANSPOSE(SUMIFS(Графики!$E$7:$E$306,Графики!$D$7:$D$306,DCF!EG$6))</f>
        <v>0</v>
      </c>
      <c r="EH16" s="244" cm="1">
        <f t="array" ref="EH16">TRANSPOSE(SUMIFS(Графики!$E$7:$E$306,Графики!$D$7:$D$306,DCF!EH$6))</f>
        <v>0</v>
      </c>
      <c r="EI16" s="244" cm="1">
        <f t="array" ref="EI16">TRANSPOSE(SUMIFS(Графики!$E$7:$E$306,Графики!$D$7:$D$306,DCF!EI$6))</f>
        <v>0</v>
      </c>
      <c r="EJ16" s="244" cm="1">
        <f t="array" ref="EJ16">TRANSPOSE(SUMIFS(Графики!$E$7:$E$306,Графики!$D$7:$D$306,DCF!EJ$6))</f>
        <v>0</v>
      </c>
      <c r="EK16" s="244" cm="1">
        <f t="array" ref="EK16">TRANSPOSE(SUMIFS(Графики!$E$7:$E$306,Графики!$D$7:$D$306,DCF!EK$6))</f>
        <v>0</v>
      </c>
      <c r="EL16" s="244" cm="1">
        <f t="array" ref="EL16">TRANSPOSE(SUMIFS(Графики!$E$7:$E$306,Графики!$D$7:$D$306,DCF!EL$6))</f>
        <v>0</v>
      </c>
      <c r="EM16" s="244" cm="1">
        <f t="array" ref="EM16">TRANSPOSE(SUMIFS(Графики!$E$7:$E$306,Графики!$D$7:$D$306,DCF!EM$6))</f>
        <v>0</v>
      </c>
      <c r="EN16" s="244" cm="1">
        <f t="array" ref="EN16">TRANSPOSE(SUMIFS(Графики!$E$7:$E$306,Графики!$D$7:$D$306,DCF!EN$6))</f>
        <v>0</v>
      </c>
      <c r="EO16" s="244" cm="1">
        <f t="array" ref="EO16">TRANSPOSE(SUMIFS(Графики!$E$7:$E$306,Графики!$D$7:$D$306,DCF!EO$6))</f>
        <v>0</v>
      </c>
      <c r="EP16" s="244" cm="1">
        <f t="array" ref="EP16">TRANSPOSE(SUMIFS(Графики!$E$7:$E$306,Графики!$D$7:$D$306,DCF!EP$6))</f>
        <v>0</v>
      </c>
      <c r="EQ16" s="244" cm="1">
        <f t="array" ref="EQ16">TRANSPOSE(SUMIFS(Графики!$E$7:$E$306,Графики!$D$7:$D$306,DCF!EQ$6))</f>
        <v>0</v>
      </c>
      <c r="ER16" s="244" cm="1">
        <f t="array" ref="ER16">TRANSPOSE(SUMIFS(Графики!$E$7:$E$306,Графики!$D$7:$D$306,DCF!ER$6))</f>
        <v>0</v>
      </c>
      <c r="ES16" s="244" cm="1">
        <f t="array" ref="ES16">TRANSPOSE(SUMIFS(Графики!$E$7:$E$306,Графики!$D$7:$D$306,DCF!ES$6))</f>
        <v>0</v>
      </c>
      <c r="ET16" s="244" cm="1">
        <f t="array" ref="ET16">TRANSPOSE(SUMIFS(Графики!$E$7:$E$306,Графики!$D$7:$D$306,DCF!ET$6))</f>
        <v>0</v>
      </c>
      <c r="EU16" s="244" cm="1">
        <f t="array" ref="EU16">TRANSPOSE(SUMIFS(Графики!$E$7:$E$306,Графики!$D$7:$D$306,DCF!EU$6))</f>
        <v>0</v>
      </c>
      <c r="EV16" s="244" cm="1">
        <f t="array" ref="EV16">TRANSPOSE(SUMIFS(Графики!$E$7:$E$306,Графики!$D$7:$D$306,DCF!EV$6))</f>
        <v>0</v>
      </c>
      <c r="EW16" s="244" cm="1">
        <f t="array" ref="EW16">TRANSPOSE(SUMIFS(Графики!$E$7:$E$306,Графики!$D$7:$D$306,DCF!EW$6))</f>
        <v>0</v>
      </c>
      <c r="EX16" s="244" cm="1">
        <f t="array" ref="EX16">TRANSPOSE(SUMIFS(Графики!$E$7:$E$306,Графики!$D$7:$D$306,DCF!EX$6))</f>
        <v>0</v>
      </c>
      <c r="EY16" s="244" cm="1">
        <f t="array" ref="EY16">TRANSPOSE(SUMIFS(Графики!$E$7:$E$306,Графики!$D$7:$D$306,DCF!EY$6))</f>
        <v>0</v>
      </c>
      <c r="EZ16" s="244" cm="1">
        <f t="array" ref="EZ16">TRANSPOSE(SUMIFS(Графики!$E$7:$E$306,Графики!$D$7:$D$306,DCF!EZ$6))</f>
        <v>0</v>
      </c>
      <c r="FA16" s="244" cm="1">
        <f t="array" ref="FA16">TRANSPOSE(SUMIFS(Графики!$E$7:$E$306,Графики!$D$7:$D$306,DCF!FA$6))</f>
        <v>0</v>
      </c>
      <c r="FB16" s="244" cm="1">
        <f t="array" ref="FB16">TRANSPOSE(SUMIFS(Графики!$E$7:$E$306,Графики!$D$7:$D$306,DCF!FB$6))</f>
        <v>0</v>
      </c>
      <c r="FC16" s="244" cm="1">
        <f t="array" ref="FC16">TRANSPOSE(SUMIFS(Графики!$E$7:$E$306,Графики!$D$7:$D$306,DCF!FC$6))</f>
        <v>0</v>
      </c>
      <c r="FD16" s="244" cm="1">
        <f t="array" ref="FD16">TRANSPOSE(SUMIFS(Графики!$E$7:$E$306,Графики!$D$7:$D$306,DCF!FD$6))</f>
        <v>0</v>
      </c>
      <c r="FE16" s="244" cm="1">
        <f t="array" ref="FE16">TRANSPOSE(SUMIFS(Графики!$E$7:$E$306,Графики!$D$7:$D$306,DCF!FE$6))</f>
        <v>0</v>
      </c>
      <c r="FF16" s="244" cm="1">
        <f t="array" ref="FF16">TRANSPOSE(SUMIFS(Графики!$E$7:$E$306,Графики!$D$7:$D$306,DCF!FF$6))</f>
        <v>0</v>
      </c>
      <c r="FG16" s="244" cm="1">
        <f t="array" ref="FG16">TRANSPOSE(SUMIFS(Графики!$E$7:$E$306,Графики!$D$7:$D$306,DCF!FG$6))</f>
        <v>0</v>
      </c>
      <c r="FH16" s="244" cm="1">
        <f t="array" ref="FH16">TRANSPOSE(SUMIFS(Графики!$E$7:$E$306,Графики!$D$7:$D$306,DCF!FH$6))</f>
        <v>0</v>
      </c>
      <c r="FI16" s="244" cm="1">
        <f t="array" ref="FI16">TRANSPOSE(SUMIFS(Графики!$E$7:$E$306,Графики!$D$7:$D$306,DCF!FI$6))</f>
        <v>0</v>
      </c>
      <c r="FJ16" s="244" cm="1">
        <f t="array" ref="FJ16">TRANSPOSE(SUMIFS(Графики!$E$7:$E$306,Графики!$D$7:$D$306,DCF!FJ$6))</f>
        <v>0</v>
      </c>
      <c r="FK16" s="244" cm="1">
        <f t="array" ref="FK16">TRANSPOSE(SUMIFS(Графики!$E$7:$E$306,Графики!$D$7:$D$306,DCF!FK$6))</f>
        <v>0</v>
      </c>
      <c r="FL16" s="244" cm="1">
        <f t="array" ref="FL16">TRANSPOSE(SUMIFS(Графики!$E$7:$E$306,Графики!$D$7:$D$306,DCF!FL$6))</f>
        <v>0</v>
      </c>
      <c r="FM16" s="244" cm="1">
        <f t="array" ref="FM16">TRANSPOSE(SUMIFS(Графики!$E$7:$E$306,Графики!$D$7:$D$306,DCF!FM$6))</f>
        <v>0</v>
      </c>
      <c r="FN16" s="244" cm="1">
        <f t="array" ref="FN16">TRANSPOSE(SUMIFS(Графики!$E$7:$E$306,Графики!$D$7:$D$306,DCF!FN$6))</f>
        <v>0</v>
      </c>
      <c r="FO16" s="244" cm="1">
        <f t="array" ref="FO16">TRANSPOSE(SUMIFS(Графики!$E$7:$E$306,Графики!$D$7:$D$306,DCF!FO$6))</f>
        <v>0</v>
      </c>
      <c r="FP16" s="244" cm="1">
        <f t="array" ref="FP16">TRANSPOSE(SUMIFS(Графики!$E$7:$E$306,Графики!$D$7:$D$306,DCF!FP$6))</f>
        <v>0</v>
      </c>
      <c r="FQ16" s="244" cm="1">
        <f t="array" ref="FQ16">TRANSPOSE(SUMIFS(Графики!$E$7:$E$306,Графики!$D$7:$D$306,DCF!FQ$6))</f>
        <v>0</v>
      </c>
      <c r="FR16" s="244" cm="1">
        <f t="array" ref="FR16">TRANSPOSE(SUMIFS(Графики!$E$7:$E$306,Графики!$D$7:$D$306,DCF!FR$6))</f>
        <v>0</v>
      </c>
      <c r="FS16" s="244" cm="1">
        <f t="array" ref="FS16">TRANSPOSE(SUMIFS(Графики!$E$7:$E$306,Графики!$D$7:$D$306,DCF!FS$6))</f>
        <v>0</v>
      </c>
      <c r="FT16" s="244" cm="1">
        <f t="array" ref="FT16">TRANSPOSE(SUMIFS(Графики!$E$7:$E$306,Графики!$D$7:$D$306,DCF!FT$6))</f>
        <v>0</v>
      </c>
      <c r="FU16" s="244" cm="1">
        <f t="array" ref="FU16">TRANSPOSE(SUMIFS(Графики!$E$7:$E$306,Графики!$D$7:$D$306,DCF!FU$6))</f>
        <v>0</v>
      </c>
      <c r="FV16" s="244" cm="1">
        <f t="array" ref="FV16">TRANSPOSE(SUMIFS(Графики!$E$7:$E$306,Графики!$D$7:$D$306,DCF!FV$6))</f>
        <v>0</v>
      </c>
      <c r="FW16" s="244" cm="1">
        <f t="array" ref="FW16">TRANSPOSE(SUMIFS(Графики!$E$7:$E$306,Графики!$D$7:$D$306,DCF!FW$6))</f>
        <v>0</v>
      </c>
      <c r="FX16" s="244" cm="1">
        <f t="array" ref="FX16">TRANSPOSE(SUMIFS(Графики!$E$7:$E$306,Графики!$D$7:$D$306,DCF!FX$6))</f>
        <v>0</v>
      </c>
      <c r="FY16" s="244" cm="1">
        <f t="array" ref="FY16">TRANSPOSE(SUMIFS(Графики!$E$7:$E$306,Графики!$D$7:$D$306,DCF!FY$6))</f>
        <v>0</v>
      </c>
      <c r="FZ16" s="244" cm="1">
        <f t="array" ref="FZ16">TRANSPOSE(SUMIFS(Графики!$E$7:$E$306,Графики!$D$7:$D$306,DCF!FZ$6))</f>
        <v>0</v>
      </c>
      <c r="GA16" s="244" cm="1">
        <f t="array" ref="GA16">TRANSPOSE(SUMIFS(Графики!$E$7:$E$306,Графики!$D$7:$D$306,DCF!GA$6))</f>
        <v>0</v>
      </c>
      <c r="GB16" s="244" cm="1">
        <f t="array" ref="GB16">TRANSPOSE(SUMIFS(Графики!$E$7:$E$306,Графики!$D$7:$D$306,DCF!GB$6))</f>
        <v>0</v>
      </c>
      <c r="GC16" s="244" cm="1">
        <f t="array" ref="GC16">TRANSPOSE(SUMIFS(Графики!$E$7:$E$306,Графики!$D$7:$D$306,DCF!GC$6))</f>
        <v>0</v>
      </c>
      <c r="GD16" s="244" cm="1">
        <f t="array" ref="GD16">TRANSPOSE(SUMIFS(Графики!$E$7:$E$306,Графики!$D$7:$D$306,DCF!GD$6))</f>
        <v>0</v>
      </c>
      <c r="GE16" s="244" cm="1">
        <f t="array" ref="GE16">TRANSPOSE(SUMIFS(Графики!$E$7:$E$306,Графики!$D$7:$D$306,DCF!GE$6))</f>
        <v>0</v>
      </c>
      <c r="GF16" s="244" cm="1">
        <f t="array" ref="GF16">TRANSPOSE(SUMIFS(Графики!$E$7:$E$306,Графики!$D$7:$D$306,DCF!GF$6))</f>
        <v>0</v>
      </c>
      <c r="GG16" s="244" cm="1">
        <f t="array" ref="GG16">TRANSPOSE(SUMIFS(Графики!$E$7:$E$306,Графики!$D$7:$D$306,DCF!GG$6))</f>
        <v>0</v>
      </c>
      <c r="GH16" s="244" cm="1">
        <f t="array" ref="GH16">TRANSPOSE(SUMIFS(Графики!$E$7:$E$306,Графики!$D$7:$D$306,DCF!GH$6))</f>
        <v>0</v>
      </c>
      <c r="GI16" s="244" cm="1">
        <f t="array" ref="GI16">TRANSPOSE(SUMIFS(Графики!$E$7:$E$306,Графики!$D$7:$D$306,DCF!GI$6))</f>
        <v>0</v>
      </c>
      <c r="GJ16" s="244" cm="1">
        <f t="array" ref="GJ16">TRANSPOSE(SUMIFS(Графики!$E$7:$E$306,Графики!$D$7:$D$306,DCF!GJ$6))</f>
        <v>0</v>
      </c>
      <c r="GK16" s="244" cm="1">
        <f t="array" ref="GK16">TRANSPOSE(SUMIFS(Графики!$E$7:$E$306,Графики!$D$7:$D$306,DCF!GK$6))</f>
        <v>0</v>
      </c>
      <c r="GL16" s="244" cm="1">
        <f t="array" ref="GL16">TRANSPOSE(SUMIFS(Графики!$E$7:$E$306,Графики!$D$7:$D$306,DCF!GL$6))</f>
        <v>0</v>
      </c>
      <c r="GM16" s="244" cm="1">
        <f t="array" ref="GM16">TRANSPOSE(SUMIFS(Графики!$E$7:$E$306,Графики!$D$7:$D$306,DCF!GM$6))</f>
        <v>0</v>
      </c>
      <c r="GN16" s="244" cm="1">
        <f t="array" ref="GN16">TRANSPOSE(SUMIFS(Графики!$E$7:$E$306,Графики!$D$7:$D$306,DCF!GN$6))</f>
        <v>0</v>
      </c>
      <c r="GO16" s="244" cm="1">
        <f t="array" ref="GO16">TRANSPOSE(SUMIFS(Графики!$E$7:$E$306,Графики!$D$7:$D$306,DCF!GO$6))</f>
        <v>0</v>
      </c>
      <c r="GP16" s="244" cm="1">
        <f t="array" ref="GP16">TRANSPOSE(SUMIFS(Графики!$E$7:$E$306,Графики!$D$7:$D$306,DCF!GP$6))</f>
        <v>0</v>
      </c>
      <c r="GQ16" s="244" cm="1">
        <f t="array" ref="GQ16">TRANSPOSE(SUMIFS(Графики!$E$7:$E$306,Графики!$D$7:$D$306,DCF!GQ$6))</f>
        <v>0</v>
      </c>
      <c r="GR16" s="244" cm="1">
        <f t="array" ref="GR16">TRANSPOSE(SUMIFS(Графики!$E$7:$E$306,Графики!$D$7:$D$306,DCF!GR$6))</f>
        <v>0</v>
      </c>
      <c r="GS16" s="244" cm="1">
        <f t="array" ref="GS16">TRANSPOSE(SUMIFS(Графики!$E$7:$E$306,Графики!$D$7:$D$306,DCF!GS$6))</f>
        <v>0</v>
      </c>
      <c r="GT16" s="244" cm="1">
        <f t="array" ref="GT16">TRANSPOSE(SUMIFS(Графики!$E$7:$E$306,Графики!$D$7:$D$306,DCF!GT$6))</f>
        <v>0</v>
      </c>
      <c r="GU16" s="244" cm="1">
        <f t="array" ref="GU16">TRANSPOSE(SUMIFS(Графики!$E$7:$E$306,Графики!$D$7:$D$306,DCF!GU$6))</f>
        <v>0</v>
      </c>
      <c r="GV16" s="244" cm="1">
        <f t="array" ref="GV16">TRANSPOSE(SUMIFS(Графики!$E$7:$E$306,Графики!$D$7:$D$306,DCF!GV$6))</f>
        <v>0</v>
      </c>
      <c r="GW16" s="244" cm="1">
        <f t="array" ref="GW16">TRANSPOSE(SUMIFS(Графики!$E$7:$E$306,Графики!$D$7:$D$306,DCF!GW$6))</f>
        <v>0</v>
      </c>
      <c r="GX16" s="244" cm="1">
        <f t="array" ref="GX16">TRANSPOSE(SUMIFS(Графики!$E$7:$E$306,Графики!$D$7:$D$306,DCF!GX$6))</f>
        <v>0</v>
      </c>
      <c r="GY16" s="244" cm="1">
        <f t="array" ref="GY16">TRANSPOSE(SUMIFS(Графики!$E$7:$E$306,Графики!$D$7:$D$306,DCF!GY$6))</f>
        <v>0</v>
      </c>
      <c r="GZ16" s="244" cm="1">
        <f t="array" ref="GZ16">TRANSPOSE(SUMIFS(Графики!$E$7:$E$306,Графики!$D$7:$D$306,DCF!GZ$6))</f>
        <v>0</v>
      </c>
      <c r="HA16" s="244" cm="1">
        <f t="array" ref="HA16">TRANSPOSE(SUMIFS(Графики!$E$7:$E$306,Графики!$D$7:$D$306,DCF!HA$6))</f>
        <v>0</v>
      </c>
      <c r="HB16" s="244" cm="1">
        <f t="array" ref="HB16">TRANSPOSE(SUMIFS(Графики!$E$7:$E$306,Графики!$D$7:$D$306,DCF!HB$6))</f>
        <v>0</v>
      </c>
      <c r="HC16" s="244" cm="1">
        <f t="array" ref="HC16">TRANSPOSE(SUMIFS(Графики!$E$7:$E$306,Графики!$D$7:$D$306,DCF!HC$6))</f>
        <v>0</v>
      </c>
      <c r="HD16" s="244" cm="1">
        <f t="array" ref="HD16">TRANSPOSE(SUMIFS(Графики!$E$7:$E$306,Графики!$D$7:$D$306,DCF!HD$6))</f>
        <v>0</v>
      </c>
      <c r="HE16" s="244" cm="1">
        <f t="array" ref="HE16">TRANSPOSE(SUMIFS(Графики!$E$7:$E$306,Графики!$D$7:$D$306,DCF!HE$6))</f>
        <v>0</v>
      </c>
      <c r="HF16" s="244" cm="1">
        <f t="array" ref="HF16">TRANSPOSE(SUMIFS(Графики!$E$7:$E$306,Графики!$D$7:$D$306,DCF!HF$6))</f>
        <v>0</v>
      </c>
      <c r="HG16" s="244" cm="1">
        <f t="array" ref="HG16">TRANSPOSE(SUMIFS(Графики!$E$7:$E$306,Графики!$D$7:$D$306,DCF!HG$6))</f>
        <v>0</v>
      </c>
      <c r="HH16" s="244" cm="1">
        <f t="array" ref="HH16">TRANSPOSE(SUMIFS(Графики!$E$7:$E$306,Графики!$D$7:$D$306,DCF!HH$6))</f>
        <v>0</v>
      </c>
      <c r="HI16" s="244" cm="1">
        <f t="array" ref="HI16">TRANSPOSE(SUMIFS(Графики!$E$7:$E$306,Графики!$D$7:$D$306,DCF!HI$6))</f>
        <v>0</v>
      </c>
      <c r="HJ16" s="244" cm="1">
        <f t="array" ref="HJ16">TRANSPOSE(SUMIFS(Графики!$E$7:$E$306,Графики!$D$7:$D$306,DCF!HJ$6))</f>
        <v>0</v>
      </c>
      <c r="HK16" s="244" cm="1">
        <f t="array" ref="HK16">TRANSPOSE(SUMIFS(Графики!$E$7:$E$306,Графики!$D$7:$D$306,DCF!HK$6))</f>
        <v>0</v>
      </c>
      <c r="HL16" s="244" cm="1">
        <f t="array" ref="HL16">TRANSPOSE(SUMIFS(Графики!$E$7:$E$306,Графики!$D$7:$D$306,DCF!HL$6))</f>
        <v>0</v>
      </c>
      <c r="HM16" s="244" cm="1">
        <f t="array" ref="HM16">TRANSPOSE(SUMIFS(Графики!$E$7:$E$306,Графики!$D$7:$D$306,DCF!HM$6))</f>
        <v>0</v>
      </c>
      <c r="HN16" s="244" cm="1">
        <f t="array" ref="HN16">TRANSPOSE(SUMIFS(Графики!$E$7:$E$306,Графики!$D$7:$D$306,DCF!HN$6))</f>
        <v>0</v>
      </c>
      <c r="HO16" s="244" cm="1">
        <f t="array" ref="HO16">TRANSPOSE(SUMIFS(Графики!$E$7:$E$306,Графики!$D$7:$D$306,DCF!HO$6))</f>
        <v>0</v>
      </c>
      <c r="HP16" s="244" cm="1">
        <f t="array" ref="HP16">TRANSPOSE(SUMIFS(Графики!$E$7:$E$306,Графики!$D$7:$D$306,DCF!HP$6))</f>
        <v>0</v>
      </c>
      <c r="HQ16" s="244" cm="1">
        <f t="array" ref="HQ16">TRANSPOSE(SUMIFS(Графики!$E$7:$E$306,Графики!$D$7:$D$306,DCF!HQ$6))</f>
        <v>0</v>
      </c>
      <c r="HR16" s="244" cm="1">
        <f t="array" ref="HR16">TRANSPOSE(SUMIFS(Графики!$E$7:$E$306,Графики!$D$7:$D$306,DCF!HR$6))</f>
        <v>0</v>
      </c>
      <c r="HS16" s="244" cm="1">
        <f t="array" ref="HS16">TRANSPOSE(SUMIFS(Графики!$E$7:$E$306,Графики!$D$7:$D$306,DCF!HS$6))</f>
        <v>0</v>
      </c>
      <c r="HT16" s="244" cm="1">
        <f t="array" ref="HT16">TRANSPOSE(SUMIFS(Графики!$E$7:$E$306,Графики!$D$7:$D$306,DCF!HT$6))</f>
        <v>0</v>
      </c>
      <c r="HU16" s="244" cm="1">
        <f t="array" ref="HU16">TRANSPOSE(SUMIFS(Графики!$E$7:$E$306,Графики!$D$7:$D$306,DCF!HU$6))</f>
        <v>0</v>
      </c>
      <c r="HV16" s="244" cm="1">
        <f t="array" ref="HV16">TRANSPOSE(SUMIFS(Графики!$E$7:$E$306,Графики!$D$7:$D$306,DCF!HV$6))</f>
        <v>0</v>
      </c>
      <c r="HW16" s="244" cm="1">
        <f t="array" ref="HW16">TRANSPOSE(SUMIFS(Графики!$E$7:$E$306,Графики!$D$7:$D$306,DCF!HW$6))</f>
        <v>0</v>
      </c>
      <c r="HX16" s="244" cm="1">
        <f t="array" ref="HX16">TRANSPOSE(SUMIFS(Графики!$E$7:$E$306,Графики!$D$7:$D$306,DCF!HX$6))</f>
        <v>0</v>
      </c>
      <c r="HY16" s="244" cm="1">
        <f t="array" ref="HY16">TRANSPOSE(SUMIFS(Графики!$E$7:$E$306,Графики!$D$7:$D$306,DCF!HY$6))</f>
        <v>0</v>
      </c>
      <c r="HZ16" s="244" cm="1">
        <f t="array" ref="HZ16">TRANSPOSE(SUMIFS(Графики!$E$7:$E$306,Графики!$D$7:$D$306,DCF!HZ$6))</f>
        <v>0</v>
      </c>
      <c r="IA16" s="244" cm="1">
        <f t="array" ref="IA16">TRANSPOSE(SUMIFS(Графики!$E$7:$E$306,Графики!$D$7:$D$306,DCF!IA$6))</f>
        <v>0</v>
      </c>
      <c r="IB16" s="244" cm="1">
        <f t="array" ref="IB16">TRANSPOSE(SUMIFS(Графики!$E$7:$E$306,Графики!$D$7:$D$306,DCF!IB$6))</f>
        <v>0</v>
      </c>
      <c r="IC16" s="244" cm="1">
        <f t="array" ref="IC16">TRANSPOSE(SUMIFS(Графики!$E$7:$E$306,Графики!$D$7:$D$306,DCF!IC$6))</f>
        <v>0</v>
      </c>
      <c r="ID16" s="244" cm="1">
        <f t="array" ref="ID16">TRANSPOSE(SUMIFS(Графики!$E$7:$E$306,Графики!$D$7:$D$306,DCF!ID$6))</f>
        <v>0</v>
      </c>
      <c r="IE16" s="244" cm="1">
        <f t="array" ref="IE16">TRANSPOSE(SUMIFS(Графики!$E$7:$E$306,Графики!$D$7:$D$306,DCF!IE$6))</f>
        <v>0</v>
      </c>
      <c r="IF16" s="244" cm="1">
        <f t="array" ref="IF16">TRANSPOSE(SUMIFS(Графики!$E$7:$E$306,Графики!$D$7:$D$306,DCF!IF$6))</f>
        <v>0</v>
      </c>
      <c r="IG16" s="244" cm="1">
        <f t="array" ref="IG16">TRANSPOSE(SUMIFS(Графики!$E$7:$E$306,Графики!$D$7:$D$306,DCF!IG$6))</f>
        <v>0</v>
      </c>
      <c r="IH16" s="244" cm="1">
        <f t="array" ref="IH16">TRANSPOSE(SUMIFS(Графики!$E$7:$E$306,Графики!$D$7:$D$306,DCF!IH$6))</f>
        <v>0</v>
      </c>
      <c r="II16" s="244" cm="1">
        <f t="array" ref="II16">TRANSPOSE(SUMIFS(Графики!$E$7:$E$306,Графики!$D$7:$D$306,DCF!II$6))</f>
        <v>0</v>
      </c>
      <c r="IJ16" s="244" cm="1">
        <f t="array" ref="IJ16">TRANSPOSE(SUMIFS(Графики!$E$7:$E$306,Графики!$D$7:$D$306,DCF!IJ$6))</f>
        <v>0</v>
      </c>
      <c r="IK16" s="244" cm="1">
        <f t="array" ref="IK16">TRANSPOSE(SUMIFS(Графики!$E$7:$E$306,Графики!$D$7:$D$306,DCF!IK$6))</f>
        <v>0</v>
      </c>
      <c r="IL16" s="244" cm="1">
        <f t="array" ref="IL16">TRANSPOSE(SUMIFS(Графики!$E$7:$E$306,Графики!$D$7:$D$306,DCF!IL$6))</f>
        <v>0</v>
      </c>
      <c r="IM16" s="244" cm="1">
        <f t="array" ref="IM16">TRANSPOSE(SUMIFS(Графики!$E$7:$E$306,Графики!$D$7:$D$306,DCF!IM$6))</f>
        <v>0</v>
      </c>
      <c r="IN16" s="244" cm="1">
        <f t="array" ref="IN16">TRANSPOSE(SUMIFS(Графики!$E$7:$E$306,Графики!$D$7:$D$306,DCF!IN$6))</f>
        <v>0</v>
      </c>
      <c r="IO16" s="244" cm="1">
        <f t="array" ref="IO16">TRANSPOSE(SUMIFS(Графики!$E$7:$E$306,Графики!$D$7:$D$306,DCF!IO$6))</f>
        <v>0</v>
      </c>
      <c r="IP16" s="244" cm="1">
        <f t="array" ref="IP16">TRANSPOSE(SUMIFS(Графики!$E$7:$E$306,Графики!$D$7:$D$306,DCF!IP$6))</f>
        <v>0</v>
      </c>
      <c r="IQ16" s="244" cm="1">
        <f t="array" ref="IQ16">TRANSPOSE(SUMIFS(Графики!$E$7:$E$306,Графики!$D$7:$D$306,DCF!IQ$6))</f>
        <v>0</v>
      </c>
      <c r="IR16" s="244" cm="1">
        <f t="array" ref="IR16">TRANSPOSE(SUMIFS(Графики!$E$7:$E$306,Графики!$D$7:$D$306,DCF!IR$6))</f>
        <v>0</v>
      </c>
      <c r="IS16" s="244" cm="1">
        <f t="array" ref="IS16">TRANSPOSE(SUMIFS(Графики!$E$7:$E$306,Графики!$D$7:$D$306,DCF!IS$6))</f>
        <v>0</v>
      </c>
      <c r="IT16" s="244" cm="1">
        <f t="array" ref="IT16">TRANSPOSE(SUMIFS(Графики!$E$7:$E$306,Графики!$D$7:$D$306,DCF!IT$6))</f>
        <v>0</v>
      </c>
      <c r="IU16" s="244" cm="1">
        <f t="array" ref="IU16">TRANSPOSE(SUMIFS(Графики!$E$7:$E$306,Графики!$D$7:$D$306,DCF!IU$6))</f>
        <v>0</v>
      </c>
      <c r="IV16" s="244" cm="1">
        <f t="array" ref="IV16">TRANSPOSE(SUMIFS(Графики!$E$7:$E$306,Графики!$D$7:$D$306,DCF!IV$6))</f>
        <v>0</v>
      </c>
      <c r="IW16" s="244" cm="1">
        <f t="array" ref="IW16">TRANSPOSE(SUMIFS(Графики!$E$7:$E$306,Графики!$D$7:$D$306,DCF!IW$6))</f>
        <v>0</v>
      </c>
      <c r="IX16" s="244" cm="1">
        <f t="array" ref="IX16">TRANSPOSE(SUMIFS(Графики!$E$7:$E$306,Графики!$D$7:$D$306,DCF!IX$6))</f>
        <v>0</v>
      </c>
      <c r="IY16" s="244" cm="1">
        <f t="array" ref="IY16">TRANSPOSE(SUMIFS(Графики!$E$7:$E$306,Графики!$D$7:$D$306,DCF!IY$6))</f>
        <v>0</v>
      </c>
      <c r="IZ16" s="244" cm="1">
        <f t="array" ref="IZ16">TRANSPOSE(SUMIFS(Графики!$E$7:$E$306,Графики!$D$7:$D$306,DCF!IZ$6))</f>
        <v>0</v>
      </c>
      <c r="JA16" s="244" cm="1">
        <f t="array" ref="JA16">TRANSPOSE(SUMIFS(Графики!$E$7:$E$306,Графики!$D$7:$D$306,DCF!JA$6))</f>
        <v>0</v>
      </c>
      <c r="JB16" s="244" cm="1">
        <f t="array" ref="JB16">TRANSPOSE(SUMIFS(Графики!$E$7:$E$306,Графики!$D$7:$D$306,DCF!JB$6))</f>
        <v>0</v>
      </c>
      <c r="JC16" s="244" cm="1">
        <f t="array" ref="JC16">TRANSPOSE(SUMIFS(Графики!$E$7:$E$306,Графики!$D$7:$D$306,DCF!JC$6))</f>
        <v>0</v>
      </c>
      <c r="JD16" s="244" cm="1">
        <f t="array" ref="JD16">TRANSPOSE(SUMIFS(Графики!$E$7:$E$306,Графики!$D$7:$D$306,DCF!JD$6))</f>
        <v>0</v>
      </c>
      <c r="JE16" s="244" cm="1">
        <f t="array" ref="JE16">TRANSPOSE(SUMIFS(Графики!$E$7:$E$306,Графики!$D$7:$D$306,DCF!JE$6))</f>
        <v>0</v>
      </c>
      <c r="JF16" s="244" cm="1">
        <f t="array" ref="JF16">TRANSPOSE(SUMIFS(Графики!$E$7:$E$306,Графики!$D$7:$D$306,DCF!JF$6))</f>
        <v>0</v>
      </c>
      <c r="JG16" s="244" cm="1">
        <f t="array" ref="JG16">TRANSPOSE(SUMIFS(Графики!$E$7:$E$306,Графики!$D$7:$D$306,DCF!JG$6))</f>
        <v>0</v>
      </c>
      <c r="JH16" s="244" cm="1">
        <f t="array" ref="JH16">TRANSPOSE(SUMIFS(Графики!$E$7:$E$306,Графики!$D$7:$D$306,DCF!JH$6))</f>
        <v>0</v>
      </c>
      <c r="JI16" s="244" cm="1">
        <f t="array" ref="JI16">TRANSPOSE(SUMIFS(Графики!$E$7:$E$306,Графики!$D$7:$D$306,DCF!JI$6))</f>
        <v>0</v>
      </c>
      <c r="JJ16" s="244" cm="1">
        <f t="array" ref="JJ16">TRANSPOSE(SUMIFS(Графики!$E$7:$E$306,Графики!$D$7:$D$306,DCF!JJ$6))</f>
        <v>0</v>
      </c>
      <c r="JK16" s="244" cm="1">
        <f t="array" ref="JK16">TRANSPOSE(SUMIFS(Графики!$E$7:$E$306,Графики!$D$7:$D$306,DCF!JK$6))</f>
        <v>0</v>
      </c>
      <c r="JL16" s="244" cm="1">
        <f t="array" ref="JL16">TRANSPOSE(SUMIFS(Графики!$E$7:$E$306,Графики!$D$7:$D$306,DCF!JL$6))</f>
        <v>0</v>
      </c>
      <c r="JM16" s="244" cm="1">
        <f t="array" ref="JM16">TRANSPOSE(SUMIFS(Графики!$E$7:$E$306,Графики!$D$7:$D$306,DCF!JM$6))</f>
        <v>0</v>
      </c>
      <c r="JN16" s="244" cm="1">
        <f t="array" ref="JN16">TRANSPOSE(SUMIFS(Графики!$E$7:$E$306,Графики!$D$7:$D$306,DCF!JN$6))</f>
        <v>0</v>
      </c>
      <c r="JO16" s="244" cm="1">
        <f t="array" ref="JO16">TRANSPOSE(SUMIFS(Графики!$E$7:$E$306,Графики!$D$7:$D$306,DCF!JO$6))</f>
        <v>0</v>
      </c>
      <c r="JP16" s="244" cm="1">
        <f t="array" ref="JP16">TRANSPOSE(SUMIFS(Графики!$E$7:$E$306,Графики!$D$7:$D$306,DCF!JP$6))</f>
        <v>0</v>
      </c>
      <c r="JQ16" s="244" cm="1">
        <f t="array" ref="JQ16">TRANSPOSE(SUMIFS(Графики!$E$7:$E$306,Графики!$D$7:$D$306,DCF!JQ$6))</f>
        <v>0</v>
      </c>
      <c r="JR16" s="244" cm="1">
        <f t="array" ref="JR16">TRANSPOSE(SUMIFS(Графики!$E$7:$E$306,Графики!$D$7:$D$306,DCF!JR$6))</f>
        <v>0</v>
      </c>
      <c r="JS16" s="244" cm="1">
        <f t="array" ref="JS16">TRANSPOSE(SUMIFS(Графики!$E$7:$E$306,Графики!$D$7:$D$306,DCF!JS$6))</f>
        <v>0</v>
      </c>
      <c r="JT16" s="244" cm="1">
        <f t="array" ref="JT16">TRANSPOSE(SUMIFS(Графики!$E$7:$E$306,Графики!$D$7:$D$306,DCF!JT$6))</f>
        <v>0</v>
      </c>
      <c r="JU16" s="244" cm="1">
        <f t="array" ref="JU16">TRANSPOSE(SUMIFS(Графики!$E$7:$E$306,Графики!$D$7:$D$306,DCF!JU$6))</f>
        <v>0</v>
      </c>
      <c r="JV16" s="244" cm="1">
        <f t="array" ref="JV16">TRANSPOSE(SUMIFS(Графики!$E$7:$E$306,Графики!$D$7:$D$306,DCF!JV$6))</f>
        <v>0</v>
      </c>
      <c r="JW16" s="244" cm="1">
        <f t="array" ref="JW16">TRANSPOSE(SUMIFS(Графики!$E$7:$E$306,Графики!$D$7:$D$306,DCF!JW$6))</f>
        <v>0</v>
      </c>
      <c r="JX16" s="244" cm="1">
        <f t="array" ref="JX16">TRANSPOSE(SUMIFS(Графики!$E$7:$E$306,Графики!$D$7:$D$306,DCF!JX$6))</f>
        <v>0</v>
      </c>
      <c r="JY16" s="244" cm="1">
        <f t="array" ref="JY16">TRANSPOSE(SUMIFS(Графики!$E$7:$E$306,Графики!$D$7:$D$306,DCF!JY$6))</f>
        <v>0</v>
      </c>
      <c r="JZ16" s="244" cm="1">
        <f t="array" ref="JZ16">TRANSPOSE(SUMIFS(Графики!$E$7:$E$306,Графики!$D$7:$D$306,DCF!JZ$6))</f>
        <v>0</v>
      </c>
      <c r="KA16" s="244" cm="1">
        <f t="array" ref="KA16">TRANSPOSE(SUMIFS(Графики!$E$7:$E$306,Графики!$D$7:$D$306,DCF!KA$6))</f>
        <v>0</v>
      </c>
      <c r="KB16" s="244" cm="1">
        <f t="array" ref="KB16">TRANSPOSE(SUMIFS(Графики!$E$7:$E$306,Графики!$D$7:$D$306,DCF!KB$6))</f>
        <v>0</v>
      </c>
      <c r="KC16" s="244" cm="1">
        <f t="array" ref="KC16">TRANSPOSE(SUMIFS(Графики!$E$7:$E$306,Графики!$D$7:$D$306,DCF!KC$6))</f>
        <v>0</v>
      </c>
      <c r="KD16" s="244" cm="1">
        <f t="array" ref="KD16">TRANSPOSE(SUMIFS(Графики!$E$7:$E$306,Графики!$D$7:$D$306,DCF!KD$6))</f>
        <v>0</v>
      </c>
      <c r="KE16" s="244" cm="1">
        <f t="array" ref="KE16">TRANSPOSE(SUMIFS(Графики!$E$7:$E$306,Графики!$D$7:$D$306,DCF!KE$6))</f>
        <v>0</v>
      </c>
      <c r="KF16" s="244" cm="1">
        <f t="array" ref="KF16">TRANSPOSE(SUMIFS(Графики!$E$7:$E$306,Графики!$D$7:$D$306,DCF!KF$6))</f>
        <v>0</v>
      </c>
      <c r="KG16" s="244" cm="1">
        <f t="array" ref="KG16">TRANSPOSE(SUMIFS(Графики!$E$7:$E$306,Графики!$D$7:$D$306,DCF!KG$6))</f>
        <v>0</v>
      </c>
      <c r="KH16" s="244" cm="1">
        <f t="array" ref="KH16">TRANSPOSE(SUMIFS(Графики!$E$7:$E$306,Графики!$D$7:$D$306,DCF!KH$6))</f>
        <v>0</v>
      </c>
      <c r="KI16" s="244" cm="1">
        <f t="array" ref="KI16">TRANSPOSE(SUMIFS(Графики!$E$7:$E$306,Графики!$D$7:$D$306,DCF!KI$6))</f>
        <v>0</v>
      </c>
      <c r="KJ16" s="244" cm="1">
        <f t="array" ref="KJ16">TRANSPOSE(SUMIFS(Графики!$E$7:$E$306,Графики!$D$7:$D$306,DCF!KJ$6))</f>
        <v>0</v>
      </c>
      <c r="KK16" s="244" cm="1">
        <f t="array" ref="KK16">TRANSPOSE(SUMIFS(Графики!$E$7:$E$306,Графики!$D$7:$D$306,DCF!KK$6))</f>
        <v>0</v>
      </c>
      <c r="KL16" s="244" cm="1">
        <f t="array" ref="KL16">TRANSPOSE(SUMIFS(Графики!$E$7:$E$306,Графики!$D$7:$D$306,DCF!KL$6))</f>
        <v>0</v>
      </c>
      <c r="KM16" s="244" cm="1">
        <f t="array" ref="KM16">TRANSPOSE(SUMIFS(Графики!$E$7:$E$306,Графики!$D$7:$D$306,DCF!KM$6))</f>
        <v>0</v>
      </c>
      <c r="KN16" s="244" cm="1">
        <f t="array" ref="KN16">TRANSPOSE(SUMIFS(Графики!$E$7:$E$306,Графики!$D$7:$D$306,DCF!KN$6))</f>
        <v>0</v>
      </c>
      <c r="KO16" s="244" cm="1">
        <f t="array" ref="KO16">TRANSPOSE(SUMIFS(Графики!$E$7:$E$306,Графики!$D$7:$D$306,DCF!KO$6))</f>
        <v>0</v>
      </c>
      <c r="KP16" s="244" cm="1">
        <f t="array" ref="KP16">TRANSPOSE(SUMIFS(Графики!$E$7:$E$306,Графики!$D$7:$D$306,DCF!KP$6))</f>
        <v>0</v>
      </c>
      <c r="KQ16" s="244" cm="1">
        <f t="array" ref="KQ16">TRANSPOSE(SUMIFS(Графики!$E$7:$E$306,Графики!$D$7:$D$306,DCF!KQ$6))</f>
        <v>0</v>
      </c>
    </row>
    <row r="17" spans="2:303" x14ac:dyDescent="0.35">
      <c r="B17" s="126" t="s">
        <v>113</v>
      </c>
      <c r="C17" s="123">
        <f t="shared" si="336"/>
        <v>0</v>
      </c>
      <c r="D17" s="244" cm="1">
        <f t="array" ref="D17">TRANSPOSE(SUMIFS(Графики!$G$7:$G$306,Графики!$D$7:$D$306,DCF!D$6))</f>
        <v>0</v>
      </c>
      <c r="E17" s="244" cm="1">
        <f t="array" ref="E17">TRANSPOSE(SUMIFS(Графики!$G$7:$G$306,Графики!$D$7:$D$306,DCF!E$6))</f>
        <v>0</v>
      </c>
      <c r="F17" s="244" cm="1">
        <f t="array" ref="F17">TRANSPOSE(SUMIFS(Графики!$G$7:$G$306,Графики!$D$7:$D$306,DCF!F$6))</f>
        <v>0</v>
      </c>
      <c r="G17" s="244" cm="1">
        <f t="array" ref="G17">TRANSPOSE(SUMIFS(Графики!$G$7:$G$306,Графики!$D$7:$D$306,DCF!G$6))</f>
        <v>0</v>
      </c>
      <c r="H17" s="244" cm="1">
        <f t="array" ref="H17">TRANSPOSE(SUMIFS(Графики!$G$7:$G$306,Графики!$D$7:$D$306,DCF!H$6))</f>
        <v>0</v>
      </c>
      <c r="I17" s="244" cm="1">
        <f t="array" ref="I17">TRANSPOSE(SUMIFS(Графики!$G$7:$G$306,Графики!$D$7:$D$306,DCF!I$6))</f>
        <v>0</v>
      </c>
      <c r="J17" s="244" cm="1">
        <f t="array" ref="J17">TRANSPOSE(SUMIFS(Графики!$G$7:$G$306,Графики!$D$7:$D$306,DCF!J$6))</f>
        <v>0</v>
      </c>
      <c r="K17" s="244" cm="1">
        <f t="array" ref="K17">TRANSPOSE(SUMIFS(Графики!$G$7:$G$306,Графики!$D$7:$D$306,DCF!K$6))</f>
        <v>0</v>
      </c>
      <c r="L17" s="244" cm="1">
        <f t="array" ref="L17">TRANSPOSE(SUMIFS(Графики!$G$7:$G$306,Графики!$D$7:$D$306,DCF!L$6))</f>
        <v>0</v>
      </c>
      <c r="M17" s="244" cm="1">
        <f t="array" ref="M17">TRANSPOSE(SUMIFS(Графики!$G$7:$G$306,Графики!$D$7:$D$306,DCF!M$6))</f>
        <v>0</v>
      </c>
      <c r="N17" s="244" cm="1">
        <f t="array" ref="N17">TRANSPOSE(SUMIFS(Графики!$G$7:$G$306,Графики!$D$7:$D$306,DCF!N$6))</f>
        <v>0</v>
      </c>
      <c r="O17" s="244" cm="1">
        <f t="array" ref="O17">TRANSPOSE(SUMIFS(Графики!$G$7:$G$306,Графики!$D$7:$D$306,DCF!O$6))</f>
        <v>0</v>
      </c>
      <c r="P17" s="244" cm="1">
        <f t="array" ref="P17">TRANSPOSE(SUMIFS(Графики!$G$7:$G$306,Графики!$D$7:$D$306,DCF!P$6))</f>
        <v>0</v>
      </c>
      <c r="Q17" s="244" cm="1">
        <f t="array" ref="Q17">TRANSPOSE(SUMIFS(Графики!$G$7:$G$306,Графики!$D$7:$D$306,DCF!Q$6))</f>
        <v>0</v>
      </c>
      <c r="R17" s="244" cm="1">
        <f t="array" ref="R17">TRANSPOSE(SUMIFS(Графики!$G$7:$G$306,Графики!$D$7:$D$306,DCF!R$6))</f>
        <v>0</v>
      </c>
      <c r="S17" s="244" cm="1">
        <f t="array" ref="S17">TRANSPOSE(SUMIFS(Графики!$G$7:$G$306,Графики!$D$7:$D$306,DCF!S$6))</f>
        <v>0</v>
      </c>
      <c r="T17" s="244" cm="1">
        <f t="array" ref="T17">TRANSPOSE(SUMIFS(Графики!$G$7:$G$306,Графики!$D$7:$D$306,DCF!T$6))</f>
        <v>0</v>
      </c>
      <c r="U17" s="244" cm="1">
        <f t="array" ref="U17">TRANSPOSE(SUMIFS(Графики!$G$7:$G$306,Графики!$D$7:$D$306,DCF!U$6))</f>
        <v>0</v>
      </c>
      <c r="V17" s="244" cm="1">
        <f t="array" ref="V17">TRANSPOSE(SUMIFS(Графики!$G$7:$G$306,Графики!$D$7:$D$306,DCF!V$6))</f>
        <v>0</v>
      </c>
      <c r="W17" s="244" cm="1">
        <f t="array" ref="W17">TRANSPOSE(SUMIFS(Графики!$G$7:$G$306,Графики!$D$7:$D$306,DCF!W$6))</f>
        <v>0</v>
      </c>
      <c r="X17" s="244" cm="1">
        <f t="array" ref="X17">TRANSPOSE(SUMIFS(Графики!$G$7:$G$306,Графики!$D$7:$D$306,DCF!X$6))</f>
        <v>0</v>
      </c>
      <c r="Y17" s="244" cm="1">
        <f t="array" ref="Y17">TRANSPOSE(SUMIFS(Графики!$G$7:$G$306,Графики!$D$7:$D$306,DCF!Y$6))</f>
        <v>0</v>
      </c>
      <c r="Z17" s="244" cm="1">
        <f t="array" ref="Z17">TRANSPOSE(SUMIFS(Графики!$G$7:$G$306,Графики!$D$7:$D$306,DCF!Z$6))</f>
        <v>0</v>
      </c>
      <c r="AA17" s="244" cm="1">
        <f t="array" ref="AA17">TRANSPOSE(SUMIFS(Графики!$G$7:$G$306,Графики!$D$7:$D$306,DCF!AA$6))</f>
        <v>0</v>
      </c>
      <c r="AB17" s="244" cm="1">
        <f t="array" ref="AB17">TRANSPOSE(SUMIFS(Графики!$G$7:$G$306,Графики!$D$7:$D$306,DCF!AB$6))</f>
        <v>0</v>
      </c>
      <c r="AC17" s="244" cm="1">
        <f t="array" ref="AC17">TRANSPOSE(SUMIFS(Графики!$G$7:$G$306,Графики!$D$7:$D$306,DCF!AC$6))</f>
        <v>0</v>
      </c>
      <c r="AD17" s="244" cm="1">
        <f t="array" ref="AD17">TRANSPOSE(SUMIFS(Графики!$G$7:$G$306,Графики!$D$7:$D$306,DCF!AD$6))</f>
        <v>0</v>
      </c>
      <c r="AE17" s="244" cm="1">
        <f t="array" ref="AE17">TRANSPOSE(SUMIFS(Графики!$G$7:$G$306,Графики!$D$7:$D$306,DCF!AE$6))</f>
        <v>0</v>
      </c>
      <c r="AF17" s="244" cm="1">
        <f t="array" ref="AF17">TRANSPOSE(SUMIFS(Графики!$G$7:$G$306,Графики!$D$7:$D$306,DCF!AF$6))</f>
        <v>0</v>
      </c>
      <c r="AG17" s="244" cm="1">
        <f t="array" ref="AG17">TRANSPOSE(SUMIFS(Графики!$G$7:$G$306,Графики!$D$7:$D$306,DCF!AG$6))</f>
        <v>0</v>
      </c>
      <c r="AH17" s="244" cm="1">
        <f t="array" ref="AH17">TRANSPOSE(SUMIFS(Графики!$G$7:$G$306,Графики!$D$7:$D$306,DCF!AH$6))</f>
        <v>0</v>
      </c>
      <c r="AI17" s="244" cm="1">
        <f t="array" ref="AI17">TRANSPOSE(SUMIFS(Графики!$G$7:$G$306,Графики!$D$7:$D$306,DCF!AI$6))</f>
        <v>0</v>
      </c>
      <c r="AJ17" s="244" cm="1">
        <f t="array" ref="AJ17">TRANSPOSE(SUMIFS(Графики!$G$7:$G$306,Графики!$D$7:$D$306,DCF!AJ$6))</f>
        <v>0</v>
      </c>
      <c r="AK17" s="244" cm="1">
        <f t="array" ref="AK17">TRANSPOSE(SUMIFS(Графики!$G$7:$G$306,Графики!$D$7:$D$306,DCF!AK$6))</f>
        <v>0</v>
      </c>
      <c r="AL17" s="244" cm="1">
        <f t="array" ref="AL17">TRANSPOSE(SUMIFS(Графики!$G$7:$G$306,Графики!$D$7:$D$306,DCF!AL$6))</f>
        <v>0</v>
      </c>
      <c r="AM17" s="244" cm="1">
        <f t="array" ref="AM17">TRANSPOSE(SUMIFS(Графики!$G$7:$G$306,Графики!$D$7:$D$306,DCF!AM$6))</f>
        <v>0</v>
      </c>
      <c r="AN17" s="244" cm="1">
        <f t="array" ref="AN17">TRANSPOSE(SUMIFS(Графики!$G$7:$G$306,Графики!$D$7:$D$306,DCF!AN$6))</f>
        <v>0</v>
      </c>
      <c r="AO17" s="244" cm="1">
        <f t="array" ref="AO17">TRANSPOSE(SUMIFS(Графики!$G$7:$G$306,Графики!$D$7:$D$306,DCF!AO$6))</f>
        <v>0</v>
      </c>
      <c r="AP17" s="244" cm="1">
        <f t="array" ref="AP17">TRANSPOSE(SUMIFS(Графики!$G$7:$G$306,Графики!$D$7:$D$306,DCF!AP$6))</f>
        <v>0</v>
      </c>
      <c r="AQ17" s="244" cm="1">
        <f t="array" ref="AQ17">TRANSPOSE(SUMIFS(Графики!$G$7:$G$306,Графики!$D$7:$D$306,DCF!AQ$6))</f>
        <v>0</v>
      </c>
      <c r="AR17" s="244" cm="1">
        <f t="array" ref="AR17">TRANSPOSE(SUMIFS(Графики!$G$7:$G$306,Графики!$D$7:$D$306,DCF!AR$6))</f>
        <v>0</v>
      </c>
      <c r="AS17" s="244" cm="1">
        <f t="array" ref="AS17">TRANSPOSE(SUMIFS(Графики!$G$7:$G$306,Графики!$D$7:$D$306,DCF!AS$6))</f>
        <v>0</v>
      </c>
      <c r="AT17" s="244" cm="1">
        <f t="array" ref="AT17">TRANSPOSE(SUMIFS(Графики!$G$7:$G$306,Графики!$D$7:$D$306,DCF!AT$6))</f>
        <v>0</v>
      </c>
      <c r="AU17" s="244" cm="1">
        <f t="array" ref="AU17">TRANSPOSE(SUMIFS(Графики!$G$7:$G$306,Графики!$D$7:$D$306,DCF!AU$6))</f>
        <v>0</v>
      </c>
      <c r="AV17" s="244" cm="1">
        <f t="array" ref="AV17">TRANSPOSE(SUMIFS(Графики!$G$7:$G$306,Графики!$D$7:$D$306,DCF!AV$6))</f>
        <v>0</v>
      </c>
      <c r="AW17" s="244" cm="1">
        <f t="array" ref="AW17">TRANSPOSE(SUMIFS(Графики!$G$7:$G$306,Графики!$D$7:$D$306,DCF!AW$6))</f>
        <v>0</v>
      </c>
      <c r="AX17" s="244" cm="1">
        <f t="array" ref="AX17">TRANSPOSE(SUMIFS(Графики!$G$7:$G$306,Графики!$D$7:$D$306,DCF!AX$6))</f>
        <v>0</v>
      </c>
      <c r="AY17" s="244" cm="1">
        <f t="array" ref="AY17">TRANSPOSE(SUMIFS(Графики!$G$7:$G$306,Графики!$D$7:$D$306,DCF!AY$6))</f>
        <v>0</v>
      </c>
      <c r="AZ17" s="244" cm="1">
        <f t="array" ref="AZ17">TRANSPOSE(SUMIFS(Графики!$G$7:$G$306,Графики!$D$7:$D$306,DCF!AZ$6))</f>
        <v>0</v>
      </c>
      <c r="BA17" s="244" cm="1">
        <f t="array" ref="BA17">TRANSPOSE(SUMIFS(Графики!$G$7:$G$306,Графики!$D$7:$D$306,DCF!BA$6))</f>
        <v>0</v>
      </c>
      <c r="BB17" s="244" cm="1">
        <f t="array" ref="BB17">TRANSPOSE(SUMIFS(Графики!$G$7:$G$306,Графики!$D$7:$D$306,DCF!BB$6))</f>
        <v>0</v>
      </c>
      <c r="BC17" s="244" cm="1">
        <f t="array" ref="BC17">TRANSPOSE(SUMIFS(Графики!$G$7:$G$306,Графики!$D$7:$D$306,DCF!BC$6))</f>
        <v>0</v>
      </c>
      <c r="BD17" s="244" cm="1">
        <f t="array" ref="BD17">TRANSPOSE(SUMIFS(Графики!$G$7:$G$306,Графики!$D$7:$D$306,DCF!BD$6))</f>
        <v>0</v>
      </c>
      <c r="BE17" s="244" cm="1">
        <f t="array" ref="BE17">TRANSPOSE(SUMIFS(Графики!$G$7:$G$306,Графики!$D$7:$D$306,DCF!BE$6))</f>
        <v>0</v>
      </c>
      <c r="BF17" s="244" cm="1">
        <f t="array" ref="BF17">TRANSPOSE(SUMIFS(Графики!$G$7:$G$306,Графики!$D$7:$D$306,DCF!BF$6))</f>
        <v>0</v>
      </c>
      <c r="BG17" s="244" cm="1">
        <f t="array" ref="BG17">TRANSPOSE(SUMIFS(Графики!$G$7:$G$306,Графики!$D$7:$D$306,DCF!BG$6))</f>
        <v>0</v>
      </c>
      <c r="BH17" s="244" cm="1">
        <f t="array" ref="BH17">TRANSPOSE(SUMIFS(Графики!$G$7:$G$306,Графики!$D$7:$D$306,DCF!BH$6))</f>
        <v>0</v>
      </c>
      <c r="BI17" s="244" cm="1">
        <f t="array" ref="BI17">TRANSPOSE(SUMIFS(Графики!$G$7:$G$306,Графики!$D$7:$D$306,DCF!BI$6))</f>
        <v>0</v>
      </c>
      <c r="BJ17" s="244" cm="1">
        <f t="array" ref="BJ17">TRANSPOSE(SUMIFS(Графики!$G$7:$G$306,Графики!$D$7:$D$306,DCF!BJ$6))</f>
        <v>0</v>
      </c>
      <c r="BK17" s="244" cm="1">
        <f t="array" ref="BK17">TRANSPOSE(SUMIFS(Графики!$G$7:$G$306,Графики!$D$7:$D$306,DCF!BK$6))</f>
        <v>0</v>
      </c>
      <c r="BL17" s="244" cm="1">
        <f t="array" ref="BL17">TRANSPOSE(SUMIFS(Графики!$G$7:$G$306,Графики!$D$7:$D$306,DCF!BL$6))</f>
        <v>0</v>
      </c>
      <c r="BM17" s="244" cm="1">
        <f t="array" ref="BM17">TRANSPOSE(SUMIFS(Графики!$G$7:$G$306,Графики!$D$7:$D$306,DCF!BM$6))</f>
        <v>0</v>
      </c>
      <c r="BN17" s="244" cm="1">
        <f t="array" ref="BN17">TRANSPOSE(SUMIFS(Графики!$G$7:$G$306,Графики!$D$7:$D$306,DCF!BN$6))</f>
        <v>0</v>
      </c>
      <c r="BO17" s="244" cm="1">
        <f t="array" ref="BO17">TRANSPOSE(SUMIFS(Графики!$G$7:$G$306,Графики!$D$7:$D$306,DCF!BO$6))</f>
        <v>0</v>
      </c>
      <c r="BP17" s="244" cm="1">
        <f t="array" ref="BP17">TRANSPOSE(SUMIFS(Графики!$G$7:$G$306,Графики!$D$7:$D$306,DCF!BP$6))</f>
        <v>0</v>
      </c>
      <c r="BQ17" s="244" cm="1">
        <f t="array" ref="BQ17">TRANSPOSE(SUMIFS(Графики!$G$7:$G$306,Графики!$D$7:$D$306,DCF!BQ$6))</f>
        <v>0</v>
      </c>
      <c r="BR17" s="244" cm="1">
        <f t="array" ref="BR17">TRANSPOSE(SUMIFS(Графики!$G$7:$G$306,Графики!$D$7:$D$306,DCF!BR$6))</f>
        <v>0</v>
      </c>
      <c r="BS17" s="244" cm="1">
        <f t="array" ref="BS17">TRANSPOSE(SUMIFS(Графики!$G$7:$G$306,Графики!$D$7:$D$306,DCF!BS$6))</f>
        <v>0</v>
      </c>
      <c r="BT17" s="244" cm="1">
        <f t="array" ref="BT17">TRANSPOSE(SUMIFS(Графики!$G$7:$G$306,Графики!$D$7:$D$306,DCF!BT$6))</f>
        <v>0</v>
      </c>
      <c r="BU17" s="244" cm="1">
        <f t="array" ref="BU17">TRANSPOSE(SUMIFS(Графики!$G$7:$G$306,Графики!$D$7:$D$306,DCF!BU$6))</f>
        <v>0</v>
      </c>
      <c r="BV17" s="244" cm="1">
        <f t="array" ref="BV17">TRANSPOSE(SUMIFS(Графики!$G$7:$G$306,Графики!$D$7:$D$306,DCF!BV$6))</f>
        <v>0</v>
      </c>
      <c r="BW17" s="244" cm="1">
        <f t="array" ref="BW17">TRANSPOSE(SUMIFS(Графики!$G$7:$G$306,Графики!$D$7:$D$306,DCF!BW$6))</f>
        <v>0</v>
      </c>
      <c r="BX17" s="244" cm="1">
        <f t="array" ref="BX17">TRANSPOSE(SUMIFS(Графики!$G$7:$G$306,Графики!$D$7:$D$306,DCF!BX$6))</f>
        <v>0</v>
      </c>
      <c r="BY17" s="244" cm="1">
        <f t="array" ref="BY17">TRANSPOSE(SUMIFS(Графики!$G$7:$G$306,Графики!$D$7:$D$306,DCF!BY$6))</f>
        <v>0</v>
      </c>
      <c r="BZ17" s="244" cm="1">
        <f t="array" ref="BZ17">TRANSPOSE(SUMIFS(Графики!$G$7:$G$306,Графики!$D$7:$D$306,DCF!BZ$6))</f>
        <v>0</v>
      </c>
      <c r="CA17" s="244" cm="1">
        <f t="array" ref="CA17">TRANSPOSE(SUMIFS(Графики!$G$7:$G$306,Графики!$D$7:$D$306,DCF!CA$6))</f>
        <v>0</v>
      </c>
      <c r="CB17" s="244" cm="1">
        <f t="array" ref="CB17">TRANSPOSE(SUMIFS(Графики!$G$7:$G$306,Графики!$D$7:$D$306,DCF!CB$6))</f>
        <v>0</v>
      </c>
      <c r="CC17" s="244" cm="1">
        <f t="array" ref="CC17">TRANSPOSE(SUMIFS(Графики!$G$7:$G$306,Графики!$D$7:$D$306,DCF!CC$6))</f>
        <v>0</v>
      </c>
      <c r="CD17" s="244" cm="1">
        <f t="array" ref="CD17">TRANSPOSE(SUMIFS(Графики!$G$7:$G$306,Графики!$D$7:$D$306,DCF!CD$6))</f>
        <v>0</v>
      </c>
      <c r="CE17" s="244" cm="1">
        <f t="array" ref="CE17">TRANSPOSE(SUMIFS(Графики!$G$7:$G$306,Графики!$D$7:$D$306,DCF!CE$6))</f>
        <v>0</v>
      </c>
      <c r="CF17" s="244" cm="1">
        <f t="array" ref="CF17">TRANSPOSE(SUMIFS(Графики!$G$7:$G$306,Графики!$D$7:$D$306,DCF!CF$6))</f>
        <v>0</v>
      </c>
      <c r="CG17" s="244" cm="1">
        <f t="array" ref="CG17">TRANSPOSE(SUMIFS(Графики!$G$7:$G$306,Графики!$D$7:$D$306,DCF!CG$6))</f>
        <v>0</v>
      </c>
      <c r="CH17" s="244" cm="1">
        <f t="array" ref="CH17">TRANSPOSE(SUMIFS(Графики!$G$7:$G$306,Графики!$D$7:$D$306,DCF!CH$6))</f>
        <v>0</v>
      </c>
      <c r="CI17" s="244" cm="1">
        <f t="array" ref="CI17">TRANSPOSE(SUMIFS(Графики!$G$7:$G$306,Графики!$D$7:$D$306,DCF!CI$6))</f>
        <v>0</v>
      </c>
      <c r="CJ17" s="244" cm="1">
        <f t="array" ref="CJ17">TRANSPOSE(SUMIFS(Графики!$G$7:$G$306,Графики!$D$7:$D$306,DCF!CJ$6))</f>
        <v>0</v>
      </c>
      <c r="CK17" s="244" cm="1">
        <f t="array" ref="CK17">TRANSPOSE(SUMIFS(Графики!$G$7:$G$306,Графики!$D$7:$D$306,DCF!CK$6))</f>
        <v>0</v>
      </c>
      <c r="CL17" s="244" cm="1">
        <f t="array" ref="CL17">TRANSPOSE(SUMIFS(Графики!$G$7:$G$306,Графики!$D$7:$D$306,DCF!CL$6))</f>
        <v>0</v>
      </c>
      <c r="CM17" s="244" cm="1">
        <f t="array" ref="CM17">TRANSPOSE(SUMIFS(Графики!$G$7:$G$306,Графики!$D$7:$D$306,DCF!CM$6))</f>
        <v>0</v>
      </c>
      <c r="CN17" s="244" cm="1">
        <f t="array" ref="CN17">TRANSPOSE(SUMIFS(Графики!$G$7:$G$306,Графики!$D$7:$D$306,DCF!CN$6))</f>
        <v>0</v>
      </c>
      <c r="CO17" s="244" cm="1">
        <f t="array" ref="CO17">TRANSPOSE(SUMIFS(Графики!$G$7:$G$306,Графики!$D$7:$D$306,DCF!CO$6))</f>
        <v>0</v>
      </c>
      <c r="CP17" s="244" cm="1">
        <f t="array" ref="CP17">TRANSPOSE(SUMIFS(Графики!$G$7:$G$306,Графики!$D$7:$D$306,DCF!CP$6))</f>
        <v>0</v>
      </c>
      <c r="CQ17" s="244" cm="1">
        <f t="array" ref="CQ17">TRANSPOSE(SUMIFS(Графики!$G$7:$G$306,Графики!$D$7:$D$306,DCF!CQ$6))</f>
        <v>0</v>
      </c>
      <c r="CR17" s="244" cm="1">
        <f t="array" ref="CR17">TRANSPOSE(SUMIFS(Графики!$G$7:$G$306,Графики!$D$7:$D$306,DCF!CR$6))</f>
        <v>0</v>
      </c>
      <c r="CS17" s="244" cm="1">
        <f t="array" ref="CS17">TRANSPOSE(SUMIFS(Графики!$G$7:$G$306,Графики!$D$7:$D$306,DCF!CS$6))</f>
        <v>0</v>
      </c>
      <c r="CT17" s="244" cm="1">
        <f t="array" ref="CT17">TRANSPOSE(SUMIFS(Графики!$G$7:$G$306,Графики!$D$7:$D$306,DCF!CT$6))</f>
        <v>0</v>
      </c>
      <c r="CU17" s="244" cm="1">
        <f t="array" ref="CU17">TRANSPOSE(SUMIFS(Графики!$G$7:$G$306,Графики!$D$7:$D$306,DCF!CU$6))</f>
        <v>0</v>
      </c>
      <c r="CV17" s="244" cm="1">
        <f t="array" ref="CV17">TRANSPOSE(SUMIFS(Графики!$G$7:$G$306,Графики!$D$7:$D$306,DCF!CV$6))</f>
        <v>0</v>
      </c>
      <c r="CW17" s="244" cm="1">
        <f t="array" ref="CW17">TRANSPOSE(SUMIFS(Графики!$G$7:$G$306,Графики!$D$7:$D$306,DCF!CW$6))</f>
        <v>0</v>
      </c>
      <c r="CX17" s="244" cm="1">
        <f t="array" ref="CX17">TRANSPOSE(SUMIFS(Графики!$G$7:$G$306,Графики!$D$7:$D$306,DCF!CX$6))</f>
        <v>0</v>
      </c>
      <c r="CY17" s="244" cm="1">
        <f t="array" ref="CY17">TRANSPOSE(SUMIFS(Графики!$G$7:$G$306,Графики!$D$7:$D$306,DCF!CY$6))</f>
        <v>0</v>
      </c>
      <c r="CZ17" s="244" cm="1">
        <f t="array" ref="CZ17">TRANSPOSE(SUMIFS(Графики!$G$7:$G$306,Графики!$D$7:$D$306,DCF!CZ$6))</f>
        <v>0</v>
      </c>
      <c r="DA17" s="244" cm="1">
        <f t="array" ref="DA17">TRANSPOSE(SUMIFS(Графики!$G$7:$G$306,Графики!$D$7:$D$306,DCF!DA$6))</f>
        <v>0</v>
      </c>
      <c r="DB17" s="244" cm="1">
        <f t="array" ref="DB17">TRANSPOSE(SUMIFS(Графики!$G$7:$G$306,Графики!$D$7:$D$306,DCF!DB$6))</f>
        <v>0</v>
      </c>
      <c r="DC17" s="244" cm="1">
        <f t="array" ref="DC17">TRANSPOSE(SUMIFS(Графики!$G$7:$G$306,Графики!$D$7:$D$306,DCF!DC$6))</f>
        <v>0</v>
      </c>
      <c r="DD17" s="244" cm="1">
        <f t="array" ref="DD17">TRANSPOSE(SUMIFS(Графики!$G$7:$G$306,Графики!$D$7:$D$306,DCF!DD$6))</f>
        <v>0</v>
      </c>
      <c r="DE17" s="244" cm="1">
        <f t="array" ref="DE17">TRANSPOSE(SUMIFS(Графики!$G$7:$G$306,Графики!$D$7:$D$306,DCF!DE$6))</f>
        <v>0</v>
      </c>
      <c r="DF17" s="244" cm="1">
        <f t="array" ref="DF17">TRANSPOSE(SUMIFS(Графики!$G$7:$G$306,Графики!$D$7:$D$306,DCF!DF$6))</f>
        <v>0</v>
      </c>
      <c r="DG17" s="244" cm="1">
        <f t="array" ref="DG17">TRANSPOSE(SUMIFS(Графики!$G$7:$G$306,Графики!$D$7:$D$306,DCF!DG$6))</f>
        <v>0</v>
      </c>
      <c r="DH17" s="244" cm="1">
        <f t="array" ref="DH17">TRANSPOSE(SUMIFS(Графики!$G$7:$G$306,Графики!$D$7:$D$306,DCF!DH$6))</f>
        <v>0</v>
      </c>
      <c r="DI17" s="244" cm="1">
        <f t="array" ref="DI17">TRANSPOSE(SUMIFS(Графики!$G$7:$G$306,Графики!$D$7:$D$306,DCF!DI$6))</f>
        <v>0</v>
      </c>
      <c r="DJ17" s="244" cm="1">
        <f t="array" ref="DJ17">TRANSPOSE(SUMIFS(Графики!$G$7:$G$306,Графики!$D$7:$D$306,DCF!DJ$6))</f>
        <v>0</v>
      </c>
      <c r="DK17" s="244" cm="1">
        <f t="array" ref="DK17">TRANSPOSE(SUMIFS(Графики!$G$7:$G$306,Графики!$D$7:$D$306,DCF!DK$6))</f>
        <v>0</v>
      </c>
      <c r="DL17" s="244" cm="1">
        <f t="array" ref="DL17">TRANSPOSE(SUMIFS(Графики!$G$7:$G$306,Графики!$D$7:$D$306,DCF!DL$6))</f>
        <v>0</v>
      </c>
      <c r="DM17" s="244" cm="1">
        <f t="array" ref="DM17">TRANSPOSE(SUMIFS(Графики!$G$7:$G$306,Графики!$D$7:$D$306,DCF!DM$6))</f>
        <v>0</v>
      </c>
      <c r="DN17" s="244" cm="1">
        <f t="array" ref="DN17">TRANSPOSE(SUMIFS(Графики!$G$7:$G$306,Графики!$D$7:$D$306,DCF!DN$6))</f>
        <v>0</v>
      </c>
      <c r="DO17" s="244" cm="1">
        <f t="array" ref="DO17">TRANSPOSE(SUMIFS(Графики!$G$7:$G$306,Графики!$D$7:$D$306,DCF!DO$6))</f>
        <v>0</v>
      </c>
      <c r="DP17" s="244" cm="1">
        <f t="array" ref="DP17">TRANSPOSE(SUMIFS(Графики!$G$7:$G$306,Графики!$D$7:$D$306,DCF!DP$6))</f>
        <v>0</v>
      </c>
      <c r="DQ17" s="244" cm="1">
        <f t="array" ref="DQ17">TRANSPOSE(SUMIFS(Графики!$G$7:$G$306,Графики!$D$7:$D$306,DCF!DQ$6))</f>
        <v>0</v>
      </c>
      <c r="DR17" s="244" cm="1">
        <f t="array" ref="DR17">TRANSPOSE(SUMIFS(Графики!$G$7:$G$306,Графики!$D$7:$D$306,DCF!DR$6))</f>
        <v>0</v>
      </c>
      <c r="DS17" s="244" cm="1">
        <f t="array" ref="DS17">TRANSPOSE(SUMIFS(Графики!$G$7:$G$306,Графики!$D$7:$D$306,DCF!DS$6))</f>
        <v>0</v>
      </c>
      <c r="DT17" s="244" cm="1">
        <f t="array" ref="DT17">TRANSPOSE(SUMIFS(Графики!$G$7:$G$306,Графики!$D$7:$D$306,DCF!DT$6))</f>
        <v>0</v>
      </c>
      <c r="DU17" s="244" cm="1">
        <f t="array" ref="DU17">TRANSPOSE(SUMIFS(Графики!$G$7:$G$306,Графики!$D$7:$D$306,DCF!DU$6))</f>
        <v>0</v>
      </c>
      <c r="DV17" s="244" cm="1">
        <f t="array" ref="DV17">TRANSPOSE(SUMIFS(Графики!$G$7:$G$306,Графики!$D$7:$D$306,DCF!DV$6))</f>
        <v>0</v>
      </c>
      <c r="DW17" s="244" cm="1">
        <f t="array" ref="DW17">TRANSPOSE(SUMIFS(Графики!$G$7:$G$306,Графики!$D$7:$D$306,DCF!DW$6))</f>
        <v>0</v>
      </c>
      <c r="DX17" s="244" cm="1">
        <f t="array" ref="DX17">TRANSPOSE(SUMIFS(Графики!$G$7:$G$306,Графики!$D$7:$D$306,DCF!DX$6))</f>
        <v>0</v>
      </c>
      <c r="DY17" s="244" cm="1">
        <f t="array" ref="DY17">TRANSPOSE(SUMIFS(Графики!$G$7:$G$306,Графики!$D$7:$D$306,DCF!DY$6))</f>
        <v>0</v>
      </c>
      <c r="DZ17" s="244" cm="1">
        <f t="array" ref="DZ17">TRANSPOSE(SUMIFS(Графики!$G$7:$G$306,Графики!$D$7:$D$306,DCF!DZ$6))</f>
        <v>0</v>
      </c>
      <c r="EA17" s="244" cm="1">
        <f t="array" ref="EA17">TRANSPOSE(SUMIFS(Графики!$G$7:$G$306,Графики!$D$7:$D$306,DCF!EA$6))</f>
        <v>0</v>
      </c>
      <c r="EB17" s="244" cm="1">
        <f t="array" ref="EB17">TRANSPOSE(SUMIFS(Графики!$G$7:$G$306,Графики!$D$7:$D$306,DCF!EB$6))</f>
        <v>0</v>
      </c>
      <c r="EC17" s="244" cm="1">
        <f t="array" ref="EC17">TRANSPOSE(SUMIFS(Графики!$G$7:$G$306,Графики!$D$7:$D$306,DCF!EC$6))</f>
        <v>0</v>
      </c>
      <c r="ED17" s="244" cm="1">
        <f t="array" ref="ED17">TRANSPOSE(SUMIFS(Графики!$G$7:$G$306,Графики!$D$7:$D$306,DCF!ED$6))</f>
        <v>0</v>
      </c>
      <c r="EE17" s="244" cm="1">
        <f t="array" ref="EE17">TRANSPOSE(SUMIFS(Графики!$G$7:$G$306,Графики!$D$7:$D$306,DCF!EE$6))</f>
        <v>0</v>
      </c>
      <c r="EF17" s="244" cm="1">
        <f t="array" ref="EF17">TRANSPOSE(SUMIFS(Графики!$G$7:$G$306,Графики!$D$7:$D$306,DCF!EF$6))</f>
        <v>0</v>
      </c>
      <c r="EG17" s="244" cm="1">
        <f t="array" ref="EG17">TRANSPOSE(SUMIFS(Графики!$G$7:$G$306,Графики!$D$7:$D$306,DCF!EG$6))</f>
        <v>0</v>
      </c>
      <c r="EH17" s="244" cm="1">
        <f t="array" ref="EH17">TRANSPOSE(SUMIFS(Графики!$G$7:$G$306,Графики!$D$7:$D$306,DCF!EH$6))</f>
        <v>0</v>
      </c>
      <c r="EI17" s="244" cm="1">
        <f t="array" ref="EI17">TRANSPOSE(SUMIFS(Графики!$G$7:$G$306,Графики!$D$7:$D$306,DCF!EI$6))</f>
        <v>0</v>
      </c>
      <c r="EJ17" s="244" cm="1">
        <f t="array" ref="EJ17">TRANSPOSE(SUMIFS(Графики!$G$7:$G$306,Графики!$D$7:$D$306,DCF!EJ$6))</f>
        <v>0</v>
      </c>
      <c r="EK17" s="244" cm="1">
        <f t="array" ref="EK17">TRANSPOSE(SUMIFS(Графики!$G$7:$G$306,Графики!$D$7:$D$306,DCF!EK$6))</f>
        <v>0</v>
      </c>
      <c r="EL17" s="244" cm="1">
        <f t="array" ref="EL17">TRANSPOSE(SUMIFS(Графики!$G$7:$G$306,Графики!$D$7:$D$306,DCF!EL$6))</f>
        <v>0</v>
      </c>
      <c r="EM17" s="244" cm="1">
        <f t="array" ref="EM17">TRANSPOSE(SUMIFS(Графики!$G$7:$G$306,Графики!$D$7:$D$306,DCF!EM$6))</f>
        <v>0</v>
      </c>
      <c r="EN17" s="244" cm="1">
        <f t="array" ref="EN17">TRANSPOSE(SUMIFS(Графики!$G$7:$G$306,Графики!$D$7:$D$306,DCF!EN$6))</f>
        <v>0</v>
      </c>
      <c r="EO17" s="244" cm="1">
        <f t="array" ref="EO17">TRANSPOSE(SUMIFS(Графики!$G$7:$G$306,Графики!$D$7:$D$306,DCF!EO$6))</f>
        <v>0</v>
      </c>
      <c r="EP17" s="244" cm="1">
        <f t="array" ref="EP17">TRANSPOSE(SUMIFS(Графики!$G$7:$G$306,Графики!$D$7:$D$306,DCF!EP$6))</f>
        <v>0</v>
      </c>
      <c r="EQ17" s="244" cm="1">
        <f t="array" ref="EQ17">TRANSPOSE(SUMIFS(Графики!$G$7:$G$306,Графики!$D$7:$D$306,DCF!EQ$6))</f>
        <v>0</v>
      </c>
      <c r="ER17" s="244" cm="1">
        <f t="array" ref="ER17">TRANSPOSE(SUMIFS(Графики!$G$7:$G$306,Графики!$D$7:$D$306,DCF!ER$6))</f>
        <v>0</v>
      </c>
      <c r="ES17" s="244" cm="1">
        <f t="array" ref="ES17">TRANSPOSE(SUMIFS(Графики!$G$7:$G$306,Графики!$D$7:$D$306,DCF!ES$6))</f>
        <v>0</v>
      </c>
      <c r="ET17" s="244" cm="1">
        <f t="array" ref="ET17">TRANSPOSE(SUMIFS(Графики!$G$7:$G$306,Графики!$D$7:$D$306,DCF!ET$6))</f>
        <v>0</v>
      </c>
      <c r="EU17" s="244" cm="1">
        <f t="array" ref="EU17">TRANSPOSE(SUMIFS(Графики!$G$7:$G$306,Графики!$D$7:$D$306,DCF!EU$6))</f>
        <v>0</v>
      </c>
      <c r="EV17" s="244" cm="1">
        <f t="array" ref="EV17">TRANSPOSE(SUMIFS(Графики!$G$7:$G$306,Графики!$D$7:$D$306,DCF!EV$6))</f>
        <v>0</v>
      </c>
      <c r="EW17" s="244" cm="1">
        <f t="array" ref="EW17">TRANSPOSE(SUMIFS(Графики!$G$7:$G$306,Графики!$D$7:$D$306,DCF!EW$6))</f>
        <v>0</v>
      </c>
      <c r="EX17" s="244" cm="1">
        <f t="array" ref="EX17">TRANSPOSE(SUMIFS(Графики!$G$7:$G$306,Графики!$D$7:$D$306,DCF!EX$6))</f>
        <v>0</v>
      </c>
      <c r="EY17" s="244" cm="1">
        <f t="array" ref="EY17">TRANSPOSE(SUMIFS(Графики!$G$7:$G$306,Графики!$D$7:$D$306,DCF!EY$6))</f>
        <v>0</v>
      </c>
      <c r="EZ17" s="244" cm="1">
        <f t="array" ref="EZ17">TRANSPOSE(SUMIFS(Графики!$G$7:$G$306,Графики!$D$7:$D$306,DCF!EZ$6))</f>
        <v>0</v>
      </c>
      <c r="FA17" s="244" cm="1">
        <f t="array" ref="FA17">TRANSPOSE(SUMIFS(Графики!$G$7:$G$306,Графики!$D$7:$D$306,DCF!FA$6))</f>
        <v>0</v>
      </c>
      <c r="FB17" s="244" cm="1">
        <f t="array" ref="FB17">TRANSPOSE(SUMIFS(Графики!$G$7:$G$306,Графики!$D$7:$D$306,DCF!FB$6))</f>
        <v>0</v>
      </c>
      <c r="FC17" s="244" cm="1">
        <f t="array" ref="FC17">TRANSPOSE(SUMIFS(Графики!$G$7:$G$306,Графики!$D$7:$D$306,DCF!FC$6))</f>
        <v>0</v>
      </c>
      <c r="FD17" s="244" cm="1">
        <f t="array" ref="FD17">TRANSPOSE(SUMIFS(Графики!$G$7:$G$306,Графики!$D$7:$D$306,DCF!FD$6))</f>
        <v>0</v>
      </c>
      <c r="FE17" s="244" cm="1">
        <f t="array" ref="FE17">TRANSPOSE(SUMIFS(Графики!$G$7:$G$306,Графики!$D$7:$D$306,DCF!FE$6))</f>
        <v>0</v>
      </c>
      <c r="FF17" s="244" cm="1">
        <f t="array" ref="FF17">TRANSPOSE(SUMIFS(Графики!$G$7:$G$306,Графики!$D$7:$D$306,DCF!FF$6))</f>
        <v>0</v>
      </c>
      <c r="FG17" s="244" cm="1">
        <f t="array" ref="FG17">TRANSPOSE(SUMIFS(Графики!$G$7:$G$306,Графики!$D$7:$D$306,DCF!FG$6))</f>
        <v>0</v>
      </c>
      <c r="FH17" s="244" cm="1">
        <f t="array" ref="FH17">TRANSPOSE(SUMIFS(Графики!$G$7:$G$306,Графики!$D$7:$D$306,DCF!FH$6))</f>
        <v>0</v>
      </c>
      <c r="FI17" s="244" cm="1">
        <f t="array" ref="FI17">TRANSPOSE(SUMIFS(Графики!$G$7:$G$306,Графики!$D$7:$D$306,DCF!FI$6))</f>
        <v>0</v>
      </c>
      <c r="FJ17" s="244" cm="1">
        <f t="array" ref="FJ17">TRANSPOSE(SUMIFS(Графики!$G$7:$G$306,Графики!$D$7:$D$306,DCF!FJ$6))</f>
        <v>0</v>
      </c>
      <c r="FK17" s="244" cm="1">
        <f t="array" ref="FK17">TRANSPOSE(SUMIFS(Графики!$G$7:$G$306,Графики!$D$7:$D$306,DCF!FK$6))</f>
        <v>0</v>
      </c>
      <c r="FL17" s="244" cm="1">
        <f t="array" ref="FL17">TRANSPOSE(SUMIFS(Графики!$G$7:$G$306,Графики!$D$7:$D$306,DCF!FL$6))</f>
        <v>0</v>
      </c>
      <c r="FM17" s="244" cm="1">
        <f t="array" ref="FM17">TRANSPOSE(SUMIFS(Графики!$G$7:$G$306,Графики!$D$7:$D$306,DCF!FM$6))</f>
        <v>0</v>
      </c>
      <c r="FN17" s="244" cm="1">
        <f t="array" ref="FN17">TRANSPOSE(SUMIFS(Графики!$G$7:$G$306,Графики!$D$7:$D$306,DCF!FN$6))</f>
        <v>0</v>
      </c>
      <c r="FO17" s="244" cm="1">
        <f t="array" ref="FO17">TRANSPOSE(SUMIFS(Графики!$G$7:$G$306,Графики!$D$7:$D$306,DCF!FO$6))</f>
        <v>0</v>
      </c>
      <c r="FP17" s="244" cm="1">
        <f t="array" ref="FP17">TRANSPOSE(SUMIFS(Графики!$G$7:$G$306,Графики!$D$7:$D$306,DCF!FP$6))</f>
        <v>0</v>
      </c>
      <c r="FQ17" s="244" cm="1">
        <f t="array" ref="FQ17">TRANSPOSE(SUMIFS(Графики!$G$7:$G$306,Графики!$D$7:$D$306,DCF!FQ$6))</f>
        <v>0</v>
      </c>
      <c r="FR17" s="244" cm="1">
        <f t="array" ref="FR17">TRANSPOSE(SUMIFS(Графики!$G$7:$G$306,Графики!$D$7:$D$306,DCF!FR$6))</f>
        <v>0</v>
      </c>
      <c r="FS17" s="244" cm="1">
        <f t="array" ref="FS17">TRANSPOSE(SUMIFS(Графики!$G$7:$G$306,Графики!$D$7:$D$306,DCF!FS$6))</f>
        <v>0</v>
      </c>
      <c r="FT17" s="244" cm="1">
        <f t="array" ref="FT17">TRANSPOSE(SUMIFS(Графики!$G$7:$G$306,Графики!$D$7:$D$306,DCF!FT$6))</f>
        <v>0</v>
      </c>
      <c r="FU17" s="244" cm="1">
        <f t="array" ref="FU17">TRANSPOSE(SUMIFS(Графики!$G$7:$G$306,Графики!$D$7:$D$306,DCF!FU$6))</f>
        <v>0</v>
      </c>
      <c r="FV17" s="244" cm="1">
        <f t="array" ref="FV17">TRANSPOSE(SUMIFS(Графики!$G$7:$G$306,Графики!$D$7:$D$306,DCF!FV$6))</f>
        <v>0</v>
      </c>
      <c r="FW17" s="244" cm="1">
        <f t="array" ref="FW17">TRANSPOSE(SUMIFS(Графики!$G$7:$G$306,Графики!$D$7:$D$306,DCF!FW$6))</f>
        <v>0</v>
      </c>
      <c r="FX17" s="244" cm="1">
        <f t="array" ref="FX17">TRANSPOSE(SUMIFS(Графики!$G$7:$G$306,Графики!$D$7:$D$306,DCF!FX$6))</f>
        <v>0</v>
      </c>
      <c r="FY17" s="244" cm="1">
        <f t="array" ref="FY17">TRANSPOSE(SUMIFS(Графики!$G$7:$G$306,Графики!$D$7:$D$306,DCF!FY$6))</f>
        <v>0</v>
      </c>
      <c r="FZ17" s="244" cm="1">
        <f t="array" ref="FZ17">TRANSPOSE(SUMIFS(Графики!$G$7:$G$306,Графики!$D$7:$D$306,DCF!FZ$6))</f>
        <v>0</v>
      </c>
      <c r="GA17" s="244" cm="1">
        <f t="array" ref="GA17">TRANSPOSE(SUMIFS(Графики!$G$7:$G$306,Графики!$D$7:$D$306,DCF!GA$6))</f>
        <v>0</v>
      </c>
      <c r="GB17" s="244" cm="1">
        <f t="array" ref="GB17">TRANSPOSE(SUMIFS(Графики!$G$7:$G$306,Графики!$D$7:$D$306,DCF!GB$6))</f>
        <v>0</v>
      </c>
      <c r="GC17" s="244" cm="1">
        <f t="array" ref="GC17">TRANSPOSE(SUMIFS(Графики!$G$7:$G$306,Графики!$D$7:$D$306,DCF!GC$6))</f>
        <v>0</v>
      </c>
      <c r="GD17" s="244" cm="1">
        <f t="array" ref="GD17">TRANSPOSE(SUMIFS(Графики!$G$7:$G$306,Графики!$D$7:$D$306,DCF!GD$6))</f>
        <v>0</v>
      </c>
      <c r="GE17" s="244" cm="1">
        <f t="array" ref="GE17">TRANSPOSE(SUMIFS(Графики!$G$7:$G$306,Графики!$D$7:$D$306,DCF!GE$6))</f>
        <v>0</v>
      </c>
      <c r="GF17" s="244" cm="1">
        <f t="array" ref="GF17">TRANSPOSE(SUMIFS(Графики!$G$7:$G$306,Графики!$D$7:$D$306,DCF!GF$6))</f>
        <v>0</v>
      </c>
      <c r="GG17" s="244" cm="1">
        <f t="array" ref="GG17">TRANSPOSE(SUMIFS(Графики!$G$7:$G$306,Графики!$D$7:$D$306,DCF!GG$6))</f>
        <v>0</v>
      </c>
      <c r="GH17" s="244" cm="1">
        <f t="array" ref="GH17">TRANSPOSE(SUMIFS(Графики!$G$7:$G$306,Графики!$D$7:$D$306,DCF!GH$6))</f>
        <v>0</v>
      </c>
      <c r="GI17" s="244" cm="1">
        <f t="array" ref="GI17">TRANSPOSE(SUMIFS(Графики!$G$7:$G$306,Графики!$D$7:$D$306,DCF!GI$6))</f>
        <v>0</v>
      </c>
      <c r="GJ17" s="244" cm="1">
        <f t="array" ref="GJ17">TRANSPOSE(SUMIFS(Графики!$G$7:$G$306,Графики!$D$7:$D$306,DCF!GJ$6))</f>
        <v>0</v>
      </c>
      <c r="GK17" s="244" cm="1">
        <f t="array" ref="GK17">TRANSPOSE(SUMIFS(Графики!$G$7:$G$306,Графики!$D$7:$D$306,DCF!GK$6))</f>
        <v>0</v>
      </c>
      <c r="GL17" s="244" cm="1">
        <f t="array" ref="GL17">TRANSPOSE(SUMIFS(Графики!$G$7:$G$306,Графики!$D$7:$D$306,DCF!GL$6))</f>
        <v>0</v>
      </c>
      <c r="GM17" s="244" cm="1">
        <f t="array" ref="GM17">TRANSPOSE(SUMIFS(Графики!$G$7:$G$306,Графики!$D$7:$D$306,DCF!GM$6))</f>
        <v>0</v>
      </c>
      <c r="GN17" s="244" cm="1">
        <f t="array" ref="GN17">TRANSPOSE(SUMIFS(Графики!$G$7:$G$306,Графики!$D$7:$D$306,DCF!GN$6))</f>
        <v>0</v>
      </c>
      <c r="GO17" s="244" cm="1">
        <f t="array" ref="GO17">TRANSPOSE(SUMIFS(Графики!$G$7:$G$306,Графики!$D$7:$D$306,DCF!GO$6))</f>
        <v>0</v>
      </c>
      <c r="GP17" s="244" cm="1">
        <f t="array" ref="GP17">TRANSPOSE(SUMIFS(Графики!$G$7:$G$306,Графики!$D$7:$D$306,DCF!GP$6))</f>
        <v>0</v>
      </c>
      <c r="GQ17" s="244" cm="1">
        <f t="array" ref="GQ17">TRANSPOSE(SUMIFS(Графики!$G$7:$G$306,Графики!$D$7:$D$306,DCF!GQ$6))</f>
        <v>0</v>
      </c>
      <c r="GR17" s="244" cm="1">
        <f t="array" ref="GR17">TRANSPOSE(SUMIFS(Графики!$G$7:$G$306,Графики!$D$7:$D$306,DCF!GR$6))</f>
        <v>0</v>
      </c>
      <c r="GS17" s="244" cm="1">
        <f t="array" ref="GS17">TRANSPOSE(SUMIFS(Графики!$G$7:$G$306,Графики!$D$7:$D$306,DCF!GS$6))</f>
        <v>0</v>
      </c>
      <c r="GT17" s="244" cm="1">
        <f t="array" ref="GT17">TRANSPOSE(SUMIFS(Графики!$G$7:$G$306,Графики!$D$7:$D$306,DCF!GT$6))</f>
        <v>0</v>
      </c>
      <c r="GU17" s="244" cm="1">
        <f t="array" ref="GU17">TRANSPOSE(SUMIFS(Графики!$G$7:$G$306,Графики!$D$7:$D$306,DCF!GU$6))</f>
        <v>0</v>
      </c>
      <c r="GV17" s="244" cm="1">
        <f t="array" ref="GV17">TRANSPOSE(SUMIFS(Графики!$G$7:$G$306,Графики!$D$7:$D$306,DCF!GV$6))</f>
        <v>0</v>
      </c>
      <c r="GW17" s="244" cm="1">
        <f t="array" ref="GW17">TRANSPOSE(SUMIFS(Графики!$G$7:$G$306,Графики!$D$7:$D$306,DCF!GW$6))</f>
        <v>0</v>
      </c>
      <c r="GX17" s="244" cm="1">
        <f t="array" ref="GX17">TRANSPOSE(SUMIFS(Графики!$G$7:$G$306,Графики!$D$7:$D$306,DCF!GX$6))</f>
        <v>0</v>
      </c>
      <c r="GY17" s="244" cm="1">
        <f t="array" ref="GY17">TRANSPOSE(SUMIFS(Графики!$G$7:$G$306,Графики!$D$7:$D$306,DCF!GY$6))</f>
        <v>0</v>
      </c>
      <c r="GZ17" s="244" cm="1">
        <f t="array" ref="GZ17">TRANSPOSE(SUMIFS(Графики!$G$7:$G$306,Графики!$D$7:$D$306,DCF!GZ$6))</f>
        <v>0</v>
      </c>
      <c r="HA17" s="244" cm="1">
        <f t="array" ref="HA17">TRANSPOSE(SUMIFS(Графики!$G$7:$G$306,Графики!$D$7:$D$306,DCF!HA$6))</f>
        <v>0</v>
      </c>
      <c r="HB17" s="244" cm="1">
        <f t="array" ref="HB17">TRANSPOSE(SUMIFS(Графики!$G$7:$G$306,Графики!$D$7:$D$306,DCF!HB$6))</f>
        <v>0</v>
      </c>
      <c r="HC17" s="244" cm="1">
        <f t="array" ref="HC17">TRANSPOSE(SUMIFS(Графики!$G$7:$G$306,Графики!$D$7:$D$306,DCF!HC$6))</f>
        <v>0</v>
      </c>
      <c r="HD17" s="244" cm="1">
        <f t="array" ref="HD17">TRANSPOSE(SUMIFS(Графики!$G$7:$G$306,Графики!$D$7:$D$306,DCF!HD$6))</f>
        <v>0</v>
      </c>
      <c r="HE17" s="244" cm="1">
        <f t="array" ref="HE17">TRANSPOSE(SUMIFS(Графики!$G$7:$G$306,Графики!$D$7:$D$306,DCF!HE$6))</f>
        <v>0</v>
      </c>
      <c r="HF17" s="244" cm="1">
        <f t="array" ref="HF17">TRANSPOSE(SUMIFS(Графики!$G$7:$G$306,Графики!$D$7:$D$306,DCF!HF$6))</f>
        <v>0</v>
      </c>
      <c r="HG17" s="244" cm="1">
        <f t="array" ref="HG17">TRANSPOSE(SUMIFS(Графики!$G$7:$G$306,Графики!$D$7:$D$306,DCF!HG$6))</f>
        <v>0</v>
      </c>
      <c r="HH17" s="244" cm="1">
        <f t="array" ref="HH17">TRANSPOSE(SUMIFS(Графики!$G$7:$G$306,Графики!$D$7:$D$306,DCF!HH$6))</f>
        <v>0</v>
      </c>
      <c r="HI17" s="244" cm="1">
        <f t="array" ref="HI17">TRANSPOSE(SUMIFS(Графики!$G$7:$G$306,Графики!$D$7:$D$306,DCF!HI$6))</f>
        <v>0</v>
      </c>
      <c r="HJ17" s="244" cm="1">
        <f t="array" ref="HJ17">TRANSPOSE(SUMIFS(Графики!$G$7:$G$306,Графики!$D$7:$D$306,DCF!HJ$6))</f>
        <v>0</v>
      </c>
      <c r="HK17" s="244" cm="1">
        <f t="array" ref="HK17">TRANSPOSE(SUMIFS(Графики!$G$7:$G$306,Графики!$D$7:$D$306,DCF!HK$6))</f>
        <v>0</v>
      </c>
      <c r="HL17" s="244" cm="1">
        <f t="array" ref="HL17">TRANSPOSE(SUMIFS(Графики!$G$7:$G$306,Графики!$D$7:$D$306,DCF!HL$6))</f>
        <v>0</v>
      </c>
      <c r="HM17" s="244" cm="1">
        <f t="array" ref="HM17">TRANSPOSE(SUMIFS(Графики!$G$7:$G$306,Графики!$D$7:$D$306,DCF!HM$6))</f>
        <v>0</v>
      </c>
      <c r="HN17" s="244" cm="1">
        <f t="array" ref="HN17">TRANSPOSE(SUMIFS(Графики!$G$7:$G$306,Графики!$D$7:$D$306,DCF!HN$6))</f>
        <v>0</v>
      </c>
      <c r="HO17" s="244" cm="1">
        <f t="array" ref="HO17">TRANSPOSE(SUMIFS(Графики!$G$7:$G$306,Графики!$D$7:$D$306,DCF!HO$6))</f>
        <v>0</v>
      </c>
      <c r="HP17" s="244" cm="1">
        <f t="array" ref="HP17">TRANSPOSE(SUMIFS(Графики!$G$7:$G$306,Графики!$D$7:$D$306,DCF!HP$6))</f>
        <v>0</v>
      </c>
      <c r="HQ17" s="244" cm="1">
        <f t="array" ref="HQ17">TRANSPOSE(SUMIFS(Графики!$G$7:$G$306,Графики!$D$7:$D$306,DCF!HQ$6))</f>
        <v>0</v>
      </c>
      <c r="HR17" s="244" cm="1">
        <f t="array" ref="HR17">TRANSPOSE(SUMIFS(Графики!$G$7:$G$306,Графики!$D$7:$D$306,DCF!HR$6))</f>
        <v>0</v>
      </c>
      <c r="HS17" s="244" cm="1">
        <f t="array" ref="HS17">TRANSPOSE(SUMIFS(Графики!$G$7:$G$306,Графики!$D$7:$D$306,DCF!HS$6))</f>
        <v>0</v>
      </c>
      <c r="HT17" s="244" cm="1">
        <f t="array" ref="HT17">TRANSPOSE(SUMIFS(Графики!$G$7:$G$306,Графики!$D$7:$D$306,DCF!HT$6))</f>
        <v>0</v>
      </c>
      <c r="HU17" s="244" cm="1">
        <f t="array" ref="HU17">TRANSPOSE(SUMIFS(Графики!$G$7:$G$306,Графики!$D$7:$D$306,DCF!HU$6))</f>
        <v>0</v>
      </c>
      <c r="HV17" s="244" cm="1">
        <f t="array" ref="HV17">TRANSPOSE(SUMIFS(Графики!$G$7:$G$306,Графики!$D$7:$D$306,DCF!HV$6))</f>
        <v>0</v>
      </c>
      <c r="HW17" s="244" cm="1">
        <f t="array" ref="HW17">TRANSPOSE(SUMIFS(Графики!$G$7:$G$306,Графики!$D$7:$D$306,DCF!HW$6))</f>
        <v>0</v>
      </c>
      <c r="HX17" s="244" cm="1">
        <f t="array" ref="HX17">TRANSPOSE(SUMIFS(Графики!$G$7:$G$306,Графики!$D$7:$D$306,DCF!HX$6))</f>
        <v>0</v>
      </c>
      <c r="HY17" s="244" cm="1">
        <f t="array" ref="HY17">TRANSPOSE(SUMIFS(Графики!$G$7:$G$306,Графики!$D$7:$D$306,DCF!HY$6))</f>
        <v>0</v>
      </c>
      <c r="HZ17" s="244" cm="1">
        <f t="array" ref="HZ17">TRANSPOSE(SUMIFS(Графики!$G$7:$G$306,Графики!$D$7:$D$306,DCF!HZ$6))</f>
        <v>0</v>
      </c>
      <c r="IA17" s="244" cm="1">
        <f t="array" ref="IA17">TRANSPOSE(SUMIFS(Графики!$G$7:$G$306,Графики!$D$7:$D$306,DCF!IA$6))</f>
        <v>0</v>
      </c>
      <c r="IB17" s="244" cm="1">
        <f t="array" ref="IB17">TRANSPOSE(SUMIFS(Графики!$G$7:$G$306,Графики!$D$7:$D$306,DCF!IB$6))</f>
        <v>0</v>
      </c>
      <c r="IC17" s="244" cm="1">
        <f t="array" ref="IC17">TRANSPOSE(SUMIFS(Графики!$G$7:$G$306,Графики!$D$7:$D$306,DCF!IC$6))</f>
        <v>0</v>
      </c>
      <c r="ID17" s="244" cm="1">
        <f t="array" ref="ID17">TRANSPOSE(SUMIFS(Графики!$G$7:$G$306,Графики!$D$7:$D$306,DCF!ID$6))</f>
        <v>0</v>
      </c>
      <c r="IE17" s="244" cm="1">
        <f t="array" ref="IE17">TRANSPOSE(SUMIFS(Графики!$G$7:$G$306,Графики!$D$7:$D$306,DCF!IE$6))</f>
        <v>0</v>
      </c>
      <c r="IF17" s="244" cm="1">
        <f t="array" ref="IF17">TRANSPOSE(SUMIFS(Графики!$G$7:$G$306,Графики!$D$7:$D$306,DCF!IF$6))</f>
        <v>0</v>
      </c>
      <c r="IG17" s="244" cm="1">
        <f t="array" ref="IG17">TRANSPOSE(SUMIFS(Графики!$G$7:$G$306,Графики!$D$7:$D$306,DCF!IG$6))</f>
        <v>0</v>
      </c>
      <c r="IH17" s="244" cm="1">
        <f t="array" ref="IH17">TRANSPOSE(SUMIFS(Графики!$G$7:$G$306,Графики!$D$7:$D$306,DCF!IH$6))</f>
        <v>0</v>
      </c>
      <c r="II17" s="244" cm="1">
        <f t="array" ref="II17">TRANSPOSE(SUMIFS(Графики!$G$7:$G$306,Графики!$D$7:$D$306,DCF!II$6))</f>
        <v>0</v>
      </c>
      <c r="IJ17" s="244" cm="1">
        <f t="array" ref="IJ17">TRANSPOSE(SUMIFS(Графики!$G$7:$G$306,Графики!$D$7:$D$306,DCF!IJ$6))</f>
        <v>0</v>
      </c>
      <c r="IK17" s="244" cm="1">
        <f t="array" ref="IK17">TRANSPOSE(SUMIFS(Графики!$G$7:$G$306,Графики!$D$7:$D$306,DCF!IK$6))</f>
        <v>0</v>
      </c>
      <c r="IL17" s="244" cm="1">
        <f t="array" ref="IL17">TRANSPOSE(SUMIFS(Графики!$G$7:$G$306,Графики!$D$7:$D$306,DCF!IL$6))</f>
        <v>0</v>
      </c>
      <c r="IM17" s="244" cm="1">
        <f t="array" ref="IM17">TRANSPOSE(SUMIFS(Графики!$G$7:$G$306,Графики!$D$7:$D$306,DCF!IM$6))</f>
        <v>0</v>
      </c>
      <c r="IN17" s="244" cm="1">
        <f t="array" ref="IN17">TRANSPOSE(SUMIFS(Графики!$G$7:$G$306,Графики!$D$7:$D$306,DCF!IN$6))</f>
        <v>0</v>
      </c>
      <c r="IO17" s="244" cm="1">
        <f t="array" ref="IO17">TRANSPOSE(SUMIFS(Графики!$G$7:$G$306,Графики!$D$7:$D$306,DCF!IO$6))</f>
        <v>0</v>
      </c>
      <c r="IP17" s="244" cm="1">
        <f t="array" ref="IP17">TRANSPOSE(SUMIFS(Графики!$G$7:$G$306,Графики!$D$7:$D$306,DCF!IP$6))</f>
        <v>0</v>
      </c>
      <c r="IQ17" s="244" cm="1">
        <f t="array" ref="IQ17">TRANSPOSE(SUMIFS(Графики!$G$7:$G$306,Графики!$D$7:$D$306,DCF!IQ$6))</f>
        <v>0</v>
      </c>
      <c r="IR17" s="244" cm="1">
        <f t="array" ref="IR17">TRANSPOSE(SUMIFS(Графики!$G$7:$G$306,Графики!$D$7:$D$306,DCF!IR$6))</f>
        <v>0</v>
      </c>
      <c r="IS17" s="244" cm="1">
        <f t="array" ref="IS17">TRANSPOSE(SUMIFS(Графики!$G$7:$G$306,Графики!$D$7:$D$306,DCF!IS$6))</f>
        <v>0</v>
      </c>
      <c r="IT17" s="244" cm="1">
        <f t="array" ref="IT17">TRANSPOSE(SUMIFS(Графики!$G$7:$G$306,Графики!$D$7:$D$306,DCF!IT$6))</f>
        <v>0</v>
      </c>
      <c r="IU17" s="244" cm="1">
        <f t="array" ref="IU17">TRANSPOSE(SUMIFS(Графики!$G$7:$G$306,Графики!$D$7:$D$306,DCF!IU$6))</f>
        <v>0</v>
      </c>
      <c r="IV17" s="244" cm="1">
        <f t="array" ref="IV17">TRANSPOSE(SUMIFS(Графики!$G$7:$G$306,Графики!$D$7:$D$306,DCF!IV$6))</f>
        <v>0</v>
      </c>
      <c r="IW17" s="244" cm="1">
        <f t="array" ref="IW17">TRANSPOSE(SUMIFS(Графики!$G$7:$G$306,Графики!$D$7:$D$306,DCF!IW$6))</f>
        <v>0</v>
      </c>
      <c r="IX17" s="244" cm="1">
        <f t="array" ref="IX17">TRANSPOSE(SUMIFS(Графики!$G$7:$G$306,Графики!$D$7:$D$306,DCF!IX$6))</f>
        <v>0</v>
      </c>
      <c r="IY17" s="244" cm="1">
        <f t="array" ref="IY17">TRANSPOSE(SUMIFS(Графики!$G$7:$G$306,Графики!$D$7:$D$306,DCF!IY$6))</f>
        <v>0</v>
      </c>
      <c r="IZ17" s="244" cm="1">
        <f t="array" ref="IZ17">TRANSPOSE(SUMIFS(Графики!$G$7:$G$306,Графики!$D$7:$D$306,DCF!IZ$6))</f>
        <v>0</v>
      </c>
      <c r="JA17" s="244" cm="1">
        <f t="array" ref="JA17">TRANSPOSE(SUMIFS(Графики!$G$7:$G$306,Графики!$D$7:$D$306,DCF!JA$6))</f>
        <v>0</v>
      </c>
      <c r="JB17" s="244" cm="1">
        <f t="array" ref="JB17">TRANSPOSE(SUMIFS(Графики!$G$7:$G$306,Графики!$D$7:$D$306,DCF!JB$6))</f>
        <v>0</v>
      </c>
      <c r="JC17" s="244" cm="1">
        <f t="array" ref="JC17">TRANSPOSE(SUMIFS(Графики!$G$7:$G$306,Графики!$D$7:$D$306,DCF!JC$6))</f>
        <v>0</v>
      </c>
      <c r="JD17" s="244" cm="1">
        <f t="array" ref="JD17">TRANSPOSE(SUMIFS(Графики!$G$7:$G$306,Графики!$D$7:$D$306,DCF!JD$6))</f>
        <v>0</v>
      </c>
      <c r="JE17" s="244" cm="1">
        <f t="array" ref="JE17">TRANSPOSE(SUMIFS(Графики!$G$7:$G$306,Графики!$D$7:$D$306,DCF!JE$6))</f>
        <v>0</v>
      </c>
      <c r="JF17" s="244" cm="1">
        <f t="array" ref="JF17">TRANSPOSE(SUMIFS(Графики!$G$7:$G$306,Графики!$D$7:$D$306,DCF!JF$6))</f>
        <v>0</v>
      </c>
      <c r="JG17" s="244" cm="1">
        <f t="array" ref="JG17">TRANSPOSE(SUMIFS(Графики!$G$7:$G$306,Графики!$D$7:$D$306,DCF!JG$6))</f>
        <v>0</v>
      </c>
      <c r="JH17" s="244" cm="1">
        <f t="array" ref="JH17">TRANSPOSE(SUMIFS(Графики!$G$7:$G$306,Графики!$D$7:$D$306,DCF!JH$6))</f>
        <v>0</v>
      </c>
      <c r="JI17" s="244" cm="1">
        <f t="array" ref="JI17">TRANSPOSE(SUMIFS(Графики!$G$7:$G$306,Графики!$D$7:$D$306,DCF!JI$6))</f>
        <v>0</v>
      </c>
      <c r="JJ17" s="244" cm="1">
        <f t="array" ref="JJ17">TRANSPOSE(SUMIFS(Графики!$G$7:$G$306,Графики!$D$7:$D$306,DCF!JJ$6))</f>
        <v>0</v>
      </c>
      <c r="JK17" s="244" cm="1">
        <f t="array" ref="JK17">TRANSPOSE(SUMIFS(Графики!$G$7:$G$306,Графики!$D$7:$D$306,DCF!JK$6))</f>
        <v>0</v>
      </c>
      <c r="JL17" s="244" cm="1">
        <f t="array" ref="JL17">TRANSPOSE(SUMIFS(Графики!$G$7:$G$306,Графики!$D$7:$D$306,DCF!JL$6))</f>
        <v>0</v>
      </c>
      <c r="JM17" s="244" cm="1">
        <f t="array" ref="JM17">TRANSPOSE(SUMIFS(Графики!$G$7:$G$306,Графики!$D$7:$D$306,DCF!JM$6))</f>
        <v>0</v>
      </c>
      <c r="JN17" s="244" cm="1">
        <f t="array" ref="JN17">TRANSPOSE(SUMIFS(Графики!$G$7:$G$306,Графики!$D$7:$D$306,DCF!JN$6))</f>
        <v>0</v>
      </c>
      <c r="JO17" s="244" cm="1">
        <f t="array" ref="JO17">TRANSPOSE(SUMIFS(Графики!$G$7:$G$306,Графики!$D$7:$D$306,DCF!JO$6))</f>
        <v>0</v>
      </c>
      <c r="JP17" s="244" cm="1">
        <f t="array" ref="JP17">TRANSPOSE(SUMIFS(Графики!$G$7:$G$306,Графики!$D$7:$D$306,DCF!JP$6))</f>
        <v>0</v>
      </c>
      <c r="JQ17" s="244" cm="1">
        <f t="array" ref="JQ17">TRANSPOSE(SUMIFS(Графики!$G$7:$G$306,Графики!$D$7:$D$306,DCF!JQ$6))</f>
        <v>0</v>
      </c>
      <c r="JR17" s="244" cm="1">
        <f t="array" ref="JR17">TRANSPOSE(SUMIFS(Графики!$G$7:$G$306,Графики!$D$7:$D$306,DCF!JR$6))</f>
        <v>0</v>
      </c>
      <c r="JS17" s="244" cm="1">
        <f t="array" ref="JS17">TRANSPOSE(SUMIFS(Графики!$G$7:$G$306,Графики!$D$7:$D$306,DCF!JS$6))</f>
        <v>0</v>
      </c>
      <c r="JT17" s="244" cm="1">
        <f t="array" ref="JT17">TRANSPOSE(SUMIFS(Графики!$G$7:$G$306,Графики!$D$7:$D$306,DCF!JT$6))</f>
        <v>0</v>
      </c>
      <c r="JU17" s="244" cm="1">
        <f t="array" ref="JU17">TRANSPOSE(SUMIFS(Графики!$G$7:$G$306,Графики!$D$7:$D$306,DCF!JU$6))</f>
        <v>0</v>
      </c>
      <c r="JV17" s="244" cm="1">
        <f t="array" ref="JV17">TRANSPOSE(SUMIFS(Графики!$G$7:$G$306,Графики!$D$7:$D$306,DCF!JV$6))</f>
        <v>0</v>
      </c>
      <c r="JW17" s="244" cm="1">
        <f t="array" ref="JW17">TRANSPOSE(SUMIFS(Графики!$G$7:$G$306,Графики!$D$7:$D$306,DCF!JW$6))</f>
        <v>0</v>
      </c>
      <c r="JX17" s="244" cm="1">
        <f t="array" ref="JX17">TRANSPOSE(SUMIFS(Графики!$G$7:$G$306,Графики!$D$7:$D$306,DCF!JX$6))</f>
        <v>0</v>
      </c>
      <c r="JY17" s="244" cm="1">
        <f t="array" ref="JY17">TRANSPOSE(SUMIFS(Графики!$G$7:$G$306,Графики!$D$7:$D$306,DCF!JY$6))</f>
        <v>0</v>
      </c>
      <c r="JZ17" s="244" cm="1">
        <f t="array" ref="JZ17">TRANSPOSE(SUMIFS(Графики!$E$7:$E$306,Графики!$D$7:$D$306,DCF!JZ$6))</f>
        <v>0</v>
      </c>
      <c r="KA17" s="244" cm="1">
        <f t="array" ref="KA17">TRANSPOSE(SUMIFS(Графики!$G$7:$G$306,Графики!$D$7:$D$306,DCF!KA$6))</f>
        <v>0</v>
      </c>
      <c r="KB17" s="244" cm="1">
        <f t="array" ref="KB17">TRANSPOSE(SUMIFS(Графики!$G$7:$G$306,Графики!$D$7:$D$306,DCF!KB$6))</f>
        <v>0</v>
      </c>
      <c r="KC17" s="244" cm="1">
        <f t="array" ref="KC17">TRANSPOSE(SUMIFS(Графики!$G$7:$G$306,Графики!$D$7:$D$306,DCF!KC$6))</f>
        <v>0</v>
      </c>
      <c r="KD17" s="244" cm="1">
        <f t="array" ref="KD17">TRANSPOSE(SUMIFS(Графики!$G$7:$G$306,Графики!$D$7:$D$306,DCF!KD$6))</f>
        <v>0</v>
      </c>
      <c r="KE17" s="244" cm="1">
        <f t="array" ref="KE17">TRANSPOSE(SUMIFS(Графики!$G$7:$G$306,Графики!$D$7:$D$306,DCF!KE$6))</f>
        <v>0</v>
      </c>
      <c r="KF17" s="244" cm="1">
        <f t="array" ref="KF17">TRANSPOSE(SUMIFS(Графики!$G$7:$G$306,Графики!$D$7:$D$306,DCF!KF$6))</f>
        <v>0</v>
      </c>
      <c r="KG17" s="244" cm="1">
        <f t="array" ref="KG17">TRANSPOSE(SUMIFS(Графики!$G$7:$G$306,Графики!$D$7:$D$306,DCF!KG$6))</f>
        <v>0</v>
      </c>
      <c r="KH17" s="244" cm="1">
        <f t="array" ref="KH17">TRANSPOSE(SUMIFS(Графики!$G$7:$G$306,Графики!$D$7:$D$306,DCF!KH$6))</f>
        <v>0</v>
      </c>
      <c r="KI17" s="244" cm="1">
        <f t="array" ref="KI17">TRANSPOSE(SUMIFS(Графики!$G$7:$G$306,Графики!$D$7:$D$306,DCF!KI$6))</f>
        <v>0</v>
      </c>
      <c r="KJ17" s="244" cm="1">
        <f t="array" ref="KJ17">TRANSPOSE(SUMIFS(Графики!$G$7:$G$306,Графики!$D$7:$D$306,DCF!KJ$6))</f>
        <v>0</v>
      </c>
      <c r="KK17" s="244" cm="1">
        <f t="array" ref="KK17">TRANSPOSE(SUMIFS(Графики!$G$7:$G$306,Графики!$D$7:$D$306,DCF!KK$6))</f>
        <v>0</v>
      </c>
      <c r="KL17" s="244" cm="1">
        <f t="array" ref="KL17">TRANSPOSE(SUMIFS(Графики!$G$7:$G$306,Графики!$D$7:$D$306,DCF!KL$6))</f>
        <v>0</v>
      </c>
      <c r="KM17" s="244" cm="1">
        <f t="array" ref="KM17">TRANSPOSE(SUMIFS(Графики!$G$7:$G$306,Графики!$D$7:$D$306,DCF!KM$6))</f>
        <v>0</v>
      </c>
      <c r="KN17" s="244" cm="1">
        <f t="array" ref="KN17">TRANSPOSE(SUMIFS(Графики!$G$7:$G$306,Графики!$D$7:$D$306,DCF!KN$6))</f>
        <v>0</v>
      </c>
      <c r="KO17" s="244" cm="1">
        <f t="array" ref="KO17">TRANSPOSE(SUMIFS(Графики!$G$7:$G$306,Графики!$D$7:$D$306,DCF!KO$6))</f>
        <v>0</v>
      </c>
      <c r="KP17" s="244" cm="1">
        <f t="array" ref="KP17">TRANSPOSE(SUMIFS(Графики!$G$7:$G$306,Графики!$D$7:$D$306,DCF!KP$6))</f>
        <v>0</v>
      </c>
      <c r="KQ17" s="244" cm="1">
        <f t="array" ref="KQ17">TRANSPOSE(SUMIFS(Графики!$G$7:$G$306,Графики!$D$7:$D$306,DCF!KQ$6))</f>
        <v>0</v>
      </c>
    </row>
    <row r="18" spans="2:303" x14ac:dyDescent="0.35">
      <c r="B18" s="126" t="s">
        <v>114</v>
      </c>
      <c r="C18" s="123">
        <f>SUM(D18:KQ18)</f>
        <v>197152741</v>
      </c>
      <c r="D18" s="244" cm="1">
        <f t="array" ref="D18">TRANSPOSE(SUMIFS(Графики!$F$7:$F$306,Графики!$D$7:$D$306,DCF!D$6))</f>
        <v>15772219.280000001</v>
      </c>
      <c r="E18" s="244" cm="1">
        <f t="array" ref="E18">TRANSPOSE(SUMIFS(Графики!$F$7:$F$306,Графики!$D$7:$D$306,DCF!E$6))</f>
        <v>15772219.280000001</v>
      </c>
      <c r="F18" s="244" cm="1">
        <f t="array" ref="F18">TRANSPOSE(SUMIFS(Графики!$F$7:$F$306,Графики!$D$7:$D$306,DCF!F$6))</f>
        <v>15772219.280000001</v>
      </c>
      <c r="G18" s="244" cm="1">
        <f t="array" ref="G18">TRANSPOSE(SUMIFS(Графики!$F$7:$F$306,Графики!$D$7:$D$306,DCF!G$6))</f>
        <v>15772219.280000001</v>
      </c>
      <c r="H18" s="244" cm="1">
        <f t="array" ref="H18">TRANSPOSE(SUMIFS(Графики!$F$7:$F$306,Графики!$D$7:$D$306,DCF!H$6))</f>
        <v>15772219.280000001</v>
      </c>
      <c r="I18" s="244" cm="1">
        <f t="array" ref="I18">TRANSPOSE(SUMIFS(Графики!$F$7:$F$306,Графики!$D$7:$D$306,DCF!I$6))</f>
        <v>15772219.280000001</v>
      </c>
      <c r="J18" s="244" cm="1">
        <f t="array" ref="J18">TRANSPOSE(SUMIFS(Графики!$F$7:$F$306,Графики!$D$7:$D$306,DCF!J$6))</f>
        <v>15772219.280000001</v>
      </c>
      <c r="K18" s="244" cm="1">
        <f t="array" ref="K18">TRANSPOSE(SUMIFS(Графики!$F$7:$F$306,Графики!$D$7:$D$306,DCF!K$6))</f>
        <v>15772219.280000001</v>
      </c>
      <c r="L18" s="244" cm="1">
        <f t="array" ref="L18">TRANSPOSE(SUMIFS(Графики!$F$7:$F$306,Графики!$D$7:$D$306,DCF!L$6))</f>
        <v>15772219.280000001</v>
      </c>
      <c r="M18" s="244" cm="1">
        <f t="array" ref="M18">TRANSPOSE(SUMIFS(Графики!$F$7:$F$306,Графики!$D$7:$D$306,DCF!M$6))</f>
        <v>15772219.280000001</v>
      </c>
      <c r="N18" s="244" cm="1">
        <f t="array" ref="N18">TRANSPOSE(SUMIFS(Графики!$F$7:$F$306,Графики!$D$7:$D$306,DCF!N$6))</f>
        <v>15772219.280000001</v>
      </c>
      <c r="O18" s="244" cm="1">
        <f t="array" ref="O18">TRANSPOSE(SUMIFS(Графики!$F$7:$F$306,Графики!$D$7:$D$306,DCF!O$6))</f>
        <v>23658328.919999998</v>
      </c>
      <c r="P18" s="244" cm="1">
        <f t="array" ref="P18">TRANSPOSE(SUMIFS(Графики!$F$7:$F$306,Графики!$D$7:$D$306,DCF!P$6))</f>
        <v>0</v>
      </c>
      <c r="Q18" s="244" cm="1">
        <f t="array" ref="Q18">TRANSPOSE(SUMIFS(Графики!$F$7:$F$306,Графики!$D$7:$D$306,DCF!Q$6))</f>
        <v>0</v>
      </c>
      <c r="R18" s="244" cm="1">
        <f t="array" ref="R18">TRANSPOSE(SUMIFS(Графики!$F$7:$F$306,Графики!$D$7:$D$306,DCF!R$6))</f>
        <v>0</v>
      </c>
      <c r="S18" s="244" cm="1">
        <f t="array" ref="S18">TRANSPOSE(SUMIFS(Графики!$F$7:$F$306,Графики!$D$7:$D$306,DCF!S$6))</f>
        <v>0</v>
      </c>
      <c r="T18" s="244" cm="1">
        <f t="array" ref="T18">TRANSPOSE(SUMIFS(Графики!$F$7:$F$306,Графики!$D$7:$D$306,DCF!T$6))</f>
        <v>0</v>
      </c>
      <c r="U18" s="244" cm="1">
        <f t="array" ref="U18">TRANSPOSE(SUMIFS(Графики!$F$7:$F$306,Графики!$D$7:$D$306,DCF!U$6))</f>
        <v>0</v>
      </c>
      <c r="V18" s="244" cm="1">
        <f t="array" ref="V18">TRANSPOSE(SUMIFS(Графики!$F$7:$F$306,Графики!$D$7:$D$306,DCF!V$6))</f>
        <v>0</v>
      </c>
      <c r="W18" s="244" cm="1">
        <f t="array" ref="W18">TRANSPOSE(SUMIFS(Графики!$F$7:$F$306,Графики!$D$7:$D$306,DCF!W$6))</f>
        <v>0</v>
      </c>
      <c r="X18" s="244" cm="1">
        <f t="array" ref="X18">TRANSPOSE(SUMIFS(Графики!$F$7:$F$306,Графики!$D$7:$D$306,DCF!X$6))</f>
        <v>0</v>
      </c>
      <c r="Y18" s="244" cm="1">
        <f t="array" ref="Y18">TRANSPOSE(SUMIFS(Графики!$F$7:$F$306,Графики!$D$7:$D$306,DCF!Y$6))</f>
        <v>0</v>
      </c>
      <c r="Z18" s="244" cm="1">
        <f t="array" ref="Z18">TRANSPOSE(SUMIFS(Графики!$F$7:$F$306,Графики!$D$7:$D$306,DCF!Z$6))</f>
        <v>0</v>
      </c>
      <c r="AA18" s="244" cm="1">
        <f t="array" ref="AA18">TRANSPOSE(SUMIFS(Графики!$F$7:$F$306,Графики!$D$7:$D$306,DCF!AA$6))</f>
        <v>0</v>
      </c>
      <c r="AB18" s="244" cm="1">
        <f t="array" ref="AB18">TRANSPOSE(SUMIFS(Графики!$F$7:$F$306,Графики!$D$7:$D$306,DCF!AB$6))</f>
        <v>0</v>
      </c>
      <c r="AC18" s="244" cm="1">
        <f t="array" ref="AC18">TRANSPOSE(SUMIFS(Графики!$F$7:$F$306,Графики!$D$7:$D$306,DCF!AC$6))</f>
        <v>0</v>
      </c>
      <c r="AD18" s="244" cm="1">
        <f t="array" ref="AD18">TRANSPOSE(SUMIFS(Графики!$F$7:$F$306,Графики!$D$7:$D$306,DCF!AD$6))</f>
        <v>0</v>
      </c>
      <c r="AE18" s="244" cm="1">
        <f t="array" ref="AE18">TRANSPOSE(SUMIFS(Графики!$F$7:$F$306,Графики!$D$7:$D$306,DCF!AE$6))</f>
        <v>0</v>
      </c>
      <c r="AF18" s="244" cm="1">
        <f t="array" ref="AF18">TRANSPOSE(SUMIFS(Графики!$F$7:$F$306,Графики!$D$7:$D$306,DCF!AF$6))</f>
        <v>0</v>
      </c>
      <c r="AG18" s="244" cm="1">
        <f t="array" ref="AG18">TRANSPOSE(SUMIFS(Графики!$F$7:$F$306,Графики!$D$7:$D$306,DCF!AG$6))</f>
        <v>0</v>
      </c>
      <c r="AH18" s="244" cm="1">
        <f t="array" ref="AH18">TRANSPOSE(SUMIFS(Графики!$F$7:$F$306,Графики!$D$7:$D$306,DCF!AH$6))</f>
        <v>0</v>
      </c>
      <c r="AI18" s="244" cm="1">
        <f t="array" ref="AI18">TRANSPOSE(SUMIFS(Графики!$F$7:$F$306,Графики!$D$7:$D$306,DCF!AI$6))</f>
        <v>0</v>
      </c>
      <c r="AJ18" s="244" cm="1">
        <f t="array" ref="AJ18">TRANSPOSE(SUMIFS(Графики!$F$7:$F$306,Графики!$D$7:$D$306,DCF!AJ$6))</f>
        <v>0</v>
      </c>
      <c r="AK18" s="244" cm="1">
        <f t="array" ref="AK18">TRANSPOSE(SUMIFS(Графики!$F$7:$F$306,Графики!$D$7:$D$306,DCF!AK$6))</f>
        <v>0</v>
      </c>
      <c r="AL18" s="244" cm="1">
        <f t="array" ref="AL18">TRANSPOSE(SUMIFS(Графики!$F$7:$F$306,Графики!$D$7:$D$306,DCF!AL$6))</f>
        <v>0</v>
      </c>
      <c r="AM18" s="244" cm="1">
        <f t="array" ref="AM18">TRANSPOSE(SUMIFS(Графики!$F$7:$F$306,Графики!$D$7:$D$306,DCF!AM$6))</f>
        <v>0</v>
      </c>
      <c r="AN18" s="244" cm="1">
        <f t="array" ref="AN18">TRANSPOSE(SUMIFS(Графики!$F$7:$F$306,Графики!$D$7:$D$306,DCF!AN$6))</f>
        <v>0</v>
      </c>
      <c r="AO18" s="244" cm="1">
        <f t="array" ref="AO18">TRANSPOSE(SUMIFS(Графики!$F$7:$F$306,Графики!$D$7:$D$306,DCF!AO$6))</f>
        <v>0</v>
      </c>
      <c r="AP18" s="244" cm="1">
        <f t="array" ref="AP18">TRANSPOSE(SUMIFS(Графики!$F$7:$F$306,Графики!$D$7:$D$306,DCF!AP$6))</f>
        <v>0</v>
      </c>
      <c r="AQ18" s="244" cm="1">
        <f t="array" ref="AQ18">TRANSPOSE(SUMIFS(Графики!$F$7:$F$306,Графики!$D$7:$D$306,DCF!AQ$6))</f>
        <v>0</v>
      </c>
      <c r="AR18" s="244" cm="1">
        <f t="array" ref="AR18">TRANSPOSE(SUMIFS(Графики!$F$7:$F$306,Графики!$D$7:$D$306,DCF!AR$6))</f>
        <v>0</v>
      </c>
      <c r="AS18" s="244" cm="1">
        <f t="array" ref="AS18">TRANSPOSE(SUMIFS(Графики!$F$7:$F$306,Графики!$D$7:$D$306,DCF!AS$6))</f>
        <v>0</v>
      </c>
      <c r="AT18" s="244" cm="1">
        <f t="array" ref="AT18">TRANSPOSE(SUMIFS(Графики!$F$7:$F$306,Графики!$D$7:$D$306,DCF!AT$6))</f>
        <v>0</v>
      </c>
      <c r="AU18" s="244" cm="1">
        <f t="array" ref="AU18">TRANSPOSE(SUMIFS(Графики!$F$7:$F$306,Графики!$D$7:$D$306,DCF!AU$6))</f>
        <v>0</v>
      </c>
      <c r="AV18" s="244" cm="1">
        <f t="array" ref="AV18">TRANSPOSE(SUMIFS(Графики!$F$7:$F$306,Графики!$D$7:$D$306,DCF!AV$6))</f>
        <v>0</v>
      </c>
      <c r="AW18" s="244" cm="1">
        <f t="array" ref="AW18">TRANSPOSE(SUMIFS(Графики!$F$7:$F$306,Графики!$D$7:$D$306,DCF!AW$6))</f>
        <v>0</v>
      </c>
      <c r="AX18" s="244" cm="1">
        <f t="array" ref="AX18">TRANSPOSE(SUMIFS(Графики!$F$7:$F$306,Графики!$D$7:$D$306,DCF!AX$6))</f>
        <v>0</v>
      </c>
      <c r="AY18" s="244" cm="1">
        <f t="array" ref="AY18">TRANSPOSE(SUMIFS(Графики!$F$7:$F$306,Графики!$D$7:$D$306,DCF!AY$6))</f>
        <v>0</v>
      </c>
      <c r="AZ18" s="244" cm="1">
        <f t="array" ref="AZ18">TRANSPOSE(SUMIFS(Графики!$F$7:$F$306,Графики!$D$7:$D$306,DCF!AZ$6))</f>
        <v>0</v>
      </c>
      <c r="BA18" s="244" cm="1">
        <f t="array" ref="BA18">TRANSPOSE(SUMIFS(Графики!$F$7:$F$306,Графики!$D$7:$D$306,DCF!BA$6))</f>
        <v>0</v>
      </c>
      <c r="BB18" s="244" cm="1">
        <f t="array" ref="BB18">TRANSPOSE(SUMIFS(Графики!$F$7:$F$306,Графики!$D$7:$D$306,DCF!BB$6))</f>
        <v>0</v>
      </c>
      <c r="BC18" s="244" cm="1">
        <f t="array" ref="BC18">TRANSPOSE(SUMIFS(Графики!$F$7:$F$306,Графики!$D$7:$D$306,DCF!BC$6))</f>
        <v>0</v>
      </c>
      <c r="BD18" s="244" cm="1">
        <f t="array" ref="BD18">TRANSPOSE(SUMIFS(Графики!$F$7:$F$306,Графики!$D$7:$D$306,DCF!BD$6))</f>
        <v>0</v>
      </c>
      <c r="BE18" s="244" cm="1">
        <f t="array" ref="BE18">TRANSPOSE(SUMIFS(Графики!$F$7:$F$306,Графики!$D$7:$D$306,DCF!BE$6))</f>
        <v>0</v>
      </c>
      <c r="BF18" s="244" cm="1">
        <f t="array" ref="BF18">TRANSPOSE(SUMIFS(Графики!$F$7:$F$306,Графики!$D$7:$D$306,DCF!BF$6))</f>
        <v>0</v>
      </c>
      <c r="BG18" s="244" cm="1">
        <f t="array" ref="BG18">TRANSPOSE(SUMIFS(Графики!$F$7:$F$306,Графики!$D$7:$D$306,DCF!BG$6))</f>
        <v>0</v>
      </c>
      <c r="BH18" s="244" cm="1">
        <f t="array" ref="BH18">TRANSPOSE(SUMIFS(Графики!$F$7:$F$306,Графики!$D$7:$D$306,DCF!BH$6))</f>
        <v>0</v>
      </c>
      <c r="BI18" s="244" cm="1">
        <f t="array" ref="BI18">TRANSPOSE(SUMIFS(Графики!$F$7:$F$306,Графики!$D$7:$D$306,DCF!BI$6))</f>
        <v>0</v>
      </c>
      <c r="BJ18" s="244" cm="1">
        <f t="array" ref="BJ18">TRANSPOSE(SUMIFS(Графики!$F$7:$F$306,Графики!$D$7:$D$306,DCF!BJ$6))</f>
        <v>0</v>
      </c>
      <c r="BK18" s="244" cm="1">
        <f t="array" ref="BK18">TRANSPOSE(SUMIFS(Графики!$F$7:$F$306,Графики!$D$7:$D$306,DCF!BK$6))</f>
        <v>0</v>
      </c>
      <c r="BL18" s="244" cm="1">
        <f t="array" ref="BL18">TRANSPOSE(SUMIFS(Графики!$F$7:$F$306,Графики!$D$7:$D$306,DCF!BL$6))</f>
        <v>0</v>
      </c>
      <c r="BM18" s="244" cm="1">
        <f t="array" ref="BM18">TRANSPOSE(SUMIFS(Графики!$F$7:$F$306,Графики!$D$7:$D$306,DCF!BM$6))</f>
        <v>0</v>
      </c>
      <c r="BN18" s="244" cm="1">
        <f t="array" ref="BN18">TRANSPOSE(SUMIFS(Графики!$F$7:$F$306,Графики!$D$7:$D$306,DCF!BN$6))</f>
        <v>0</v>
      </c>
      <c r="BO18" s="244" cm="1">
        <f t="array" ref="BO18">TRANSPOSE(SUMIFS(Графики!$F$7:$F$306,Графики!$D$7:$D$306,DCF!BO$6))</f>
        <v>0</v>
      </c>
      <c r="BP18" s="244" cm="1">
        <f t="array" ref="BP18">TRANSPOSE(SUMIFS(Графики!$F$7:$F$306,Графики!$D$7:$D$306,DCF!BP$6))</f>
        <v>0</v>
      </c>
      <c r="BQ18" s="244" cm="1">
        <f t="array" ref="BQ18">TRANSPOSE(SUMIFS(Графики!$F$7:$F$306,Графики!$D$7:$D$306,DCF!BQ$6))</f>
        <v>0</v>
      </c>
      <c r="BR18" s="244" cm="1">
        <f t="array" ref="BR18">TRANSPOSE(SUMIFS(Графики!$F$7:$F$306,Графики!$D$7:$D$306,DCF!BR$6))</f>
        <v>0</v>
      </c>
      <c r="BS18" s="244" cm="1">
        <f t="array" ref="BS18">TRANSPOSE(SUMIFS(Графики!$F$7:$F$306,Графики!$D$7:$D$306,DCF!BS$6))</f>
        <v>0</v>
      </c>
      <c r="BT18" s="244" cm="1">
        <f t="array" ref="BT18">TRANSPOSE(SUMIFS(Графики!$F$7:$F$306,Графики!$D$7:$D$306,DCF!BT$6))</f>
        <v>0</v>
      </c>
      <c r="BU18" s="244" cm="1">
        <f t="array" ref="BU18">TRANSPOSE(SUMIFS(Графики!$F$7:$F$306,Графики!$D$7:$D$306,DCF!BU$6))</f>
        <v>0</v>
      </c>
      <c r="BV18" s="244" cm="1">
        <f t="array" ref="BV18">TRANSPOSE(SUMIFS(Графики!$F$7:$F$306,Графики!$D$7:$D$306,DCF!BV$6))</f>
        <v>0</v>
      </c>
      <c r="BW18" s="244" cm="1">
        <f t="array" ref="BW18">TRANSPOSE(SUMIFS(Графики!$F$7:$F$306,Графики!$D$7:$D$306,DCF!BW$6))</f>
        <v>0</v>
      </c>
      <c r="BX18" s="244" cm="1">
        <f t="array" ref="BX18">TRANSPOSE(SUMIFS(Графики!$F$7:$F$306,Графики!$D$7:$D$306,DCF!BX$6))</f>
        <v>0</v>
      </c>
      <c r="BY18" s="244" cm="1">
        <f t="array" ref="BY18">TRANSPOSE(SUMIFS(Графики!$F$7:$F$306,Графики!$D$7:$D$306,DCF!BY$6))</f>
        <v>0</v>
      </c>
      <c r="BZ18" s="244" cm="1">
        <f t="array" ref="BZ18">TRANSPOSE(SUMIFS(Графики!$F$7:$F$306,Графики!$D$7:$D$306,DCF!BZ$6))</f>
        <v>0</v>
      </c>
      <c r="CA18" s="244" cm="1">
        <f t="array" ref="CA18">TRANSPOSE(SUMIFS(Графики!$F$7:$F$306,Графики!$D$7:$D$306,DCF!CA$6))</f>
        <v>0</v>
      </c>
      <c r="CB18" s="244" cm="1">
        <f t="array" ref="CB18">TRANSPOSE(SUMIFS(Графики!$F$7:$F$306,Графики!$D$7:$D$306,DCF!CB$6))</f>
        <v>0</v>
      </c>
      <c r="CC18" s="244" cm="1">
        <f t="array" ref="CC18">TRANSPOSE(SUMIFS(Графики!$F$7:$F$306,Графики!$D$7:$D$306,DCF!CC$6))</f>
        <v>0</v>
      </c>
      <c r="CD18" s="244" cm="1">
        <f t="array" ref="CD18">TRANSPOSE(SUMIFS(Графики!$F$7:$F$306,Графики!$D$7:$D$306,DCF!CD$6))</f>
        <v>0</v>
      </c>
      <c r="CE18" s="244" cm="1">
        <f t="array" ref="CE18">TRANSPOSE(SUMIFS(Графики!$F$7:$F$306,Графики!$D$7:$D$306,DCF!CE$6))</f>
        <v>0</v>
      </c>
      <c r="CF18" s="244" cm="1">
        <f t="array" ref="CF18">TRANSPOSE(SUMIFS(Графики!$F$7:$F$306,Графики!$D$7:$D$306,DCF!CF$6))</f>
        <v>0</v>
      </c>
      <c r="CG18" s="244" cm="1">
        <f t="array" ref="CG18">TRANSPOSE(SUMIFS(Графики!$F$7:$F$306,Графики!$D$7:$D$306,DCF!CG$6))</f>
        <v>0</v>
      </c>
      <c r="CH18" s="244" cm="1">
        <f t="array" ref="CH18">TRANSPOSE(SUMIFS(Графики!$F$7:$F$306,Графики!$D$7:$D$306,DCF!CH$6))</f>
        <v>0</v>
      </c>
      <c r="CI18" s="244" cm="1">
        <f t="array" ref="CI18">TRANSPOSE(SUMIFS(Графики!$F$7:$F$306,Графики!$D$7:$D$306,DCF!CI$6))</f>
        <v>0</v>
      </c>
      <c r="CJ18" s="244" cm="1">
        <f t="array" ref="CJ18">TRANSPOSE(SUMIFS(Графики!$F$7:$F$306,Графики!$D$7:$D$306,DCF!CJ$6))</f>
        <v>0</v>
      </c>
      <c r="CK18" s="244" cm="1">
        <f t="array" ref="CK18">TRANSPOSE(SUMIFS(Графики!$F$7:$F$306,Графики!$D$7:$D$306,DCF!CK$6))</f>
        <v>0</v>
      </c>
      <c r="CL18" s="244" cm="1">
        <f t="array" ref="CL18">TRANSPOSE(SUMIFS(Графики!$F$7:$F$306,Графики!$D$7:$D$306,DCF!CL$6))</f>
        <v>0</v>
      </c>
      <c r="CM18" s="244" cm="1">
        <f t="array" ref="CM18">TRANSPOSE(SUMIFS(Графики!$F$7:$F$306,Графики!$D$7:$D$306,DCF!CM$6))</f>
        <v>0</v>
      </c>
      <c r="CN18" s="244" cm="1">
        <f t="array" ref="CN18">TRANSPOSE(SUMIFS(Графики!$F$7:$F$306,Графики!$D$7:$D$306,DCF!CN$6))</f>
        <v>0</v>
      </c>
      <c r="CO18" s="244" cm="1">
        <f t="array" ref="CO18">TRANSPOSE(SUMIFS(Графики!$F$7:$F$306,Графики!$D$7:$D$306,DCF!CO$6))</f>
        <v>0</v>
      </c>
      <c r="CP18" s="244" cm="1">
        <f t="array" ref="CP18">TRANSPOSE(SUMIFS(Графики!$F$7:$F$306,Графики!$D$7:$D$306,DCF!CP$6))</f>
        <v>0</v>
      </c>
      <c r="CQ18" s="244" cm="1">
        <f t="array" ref="CQ18">TRANSPOSE(SUMIFS(Графики!$F$7:$F$306,Графики!$D$7:$D$306,DCF!CQ$6))</f>
        <v>0</v>
      </c>
      <c r="CR18" s="244" cm="1">
        <f t="array" ref="CR18">TRANSPOSE(SUMIFS(Графики!$F$7:$F$306,Графики!$D$7:$D$306,DCF!CR$6))</f>
        <v>0</v>
      </c>
      <c r="CS18" s="244" cm="1">
        <f t="array" ref="CS18">TRANSPOSE(SUMIFS(Графики!$F$7:$F$306,Графики!$D$7:$D$306,DCF!CS$6))</f>
        <v>0</v>
      </c>
      <c r="CT18" s="244" cm="1">
        <f t="array" ref="CT18">TRANSPOSE(SUMIFS(Графики!$F$7:$F$306,Графики!$D$7:$D$306,DCF!CT$6))</f>
        <v>0</v>
      </c>
      <c r="CU18" s="244" cm="1">
        <f t="array" ref="CU18">TRANSPOSE(SUMIFS(Графики!$F$7:$F$306,Графики!$D$7:$D$306,DCF!CU$6))</f>
        <v>0</v>
      </c>
      <c r="CV18" s="244" cm="1">
        <f t="array" ref="CV18">TRANSPOSE(SUMIFS(Графики!$F$7:$F$306,Графики!$D$7:$D$306,DCF!CV$6))</f>
        <v>0</v>
      </c>
      <c r="CW18" s="244" cm="1">
        <f t="array" ref="CW18">TRANSPOSE(SUMIFS(Графики!$F$7:$F$306,Графики!$D$7:$D$306,DCF!CW$6))</f>
        <v>0</v>
      </c>
      <c r="CX18" s="244" cm="1">
        <f t="array" ref="CX18">TRANSPOSE(SUMIFS(Графики!$F$7:$F$306,Графики!$D$7:$D$306,DCF!CX$6))</f>
        <v>0</v>
      </c>
      <c r="CY18" s="244" cm="1">
        <f t="array" ref="CY18">TRANSPOSE(SUMIFS(Графики!$F$7:$F$306,Графики!$D$7:$D$306,DCF!CY$6))</f>
        <v>0</v>
      </c>
      <c r="CZ18" s="244" cm="1">
        <f t="array" ref="CZ18">TRANSPOSE(SUMIFS(Графики!$F$7:$F$306,Графики!$D$7:$D$306,DCF!CZ$6))</f>
        <v>0</v>
      </c>
      <c r="DA18" s="244" cm="1">
        <f t="array" ref="DA18">TRANSPOSE(SUMIFS(Графики!$F$7:$F$306,Графики!$D$7:$D$306,DCF!DA$6))</f>
        <v>0</v>
      </c>
      <c r="DB18" s="244" cm="1">
        <f t="array" ref="DB18">TRANSPOSE(SUMIFS(Графики!$F$7:$F$306,Графики!$D$7:$D$306,DCF!DB$6))</f>
        <v>0</v>
      </c>
      <c r="DC18" s="244" cm="1">
        <f t="array" ref="DC18">TRANSPOSE(SUMIFS(Графики!$F$7:$F$306,Графики!$D$7:$D$306,DCF!DC$6))</f>
        <v>0</v>
      </c>
      <c r="DD18" s="244" cm="1">
        <f t="array" ref="DD18">TRANSPOSE(SUMIFS(Графики!$F$7:$F$306,Графики!$D$7:$D$306,DCF!DD$6))</f>
        <v>0</v>
      </c>
      <c r="DE18" s="244" cm="1">
        <f t="array" ref="DE18">TRANSPOSE(SUMIFS(Графики!$F$7:$F$306,Графики!$D$7:$D$306,DCF!DE$6))</f>
        <v>0</v>
      </c>
      <c r="DF18" s="244" cm="1">
        <f t="array" ref="DF18">TRANSPOSE(SUMIFS(Графики!$F$7:$F$306,Графики!$D$7:$D$306,DCF!DF$6))</f>
        <v>0</v>
      </c>
      <c r="DG18" s="244" cm="1">
        <f t="array" ref="DG18">TRANSPOSE(SUMIFS(Графики!$F$7:$F$306,Графики!$D$7:$D$306,DCF!DG$6))</f>
        <v>0</v>
      </c>
      <c r="DH18" s="244" cm="1">
        <f t="array" ref="DH18">TRANSPOSE(SUMIFS(Графики!$F$7:$F$306,Графики!$D$7:$D$306,DCF!DH$6))</f>
        <v>0</v>
      </c>
      <c r="DI18" s="244" cm="1">
        <f t="array" ref="DI18">TRANSPOSE(SUMIFS(Графики!$F$7:$F$306,Графики!$D$7:$D$306,DCF!DI$6))</f>
        <v>0</v>
      </c>
      <c r="DJ18" s="244" cm="1">
        <f t="array" ref="DJ18">TRANSPOSE(SUMIFS(Графики!$F$7:$F$306,Графики!$D$7:$D$306,DCF!DJ$6))</f>
        <v>0</v>
      </c>
      <c r="DK18" s="244" cm="1">
        <f t="array" ref="DK18">TRANSPOSE(SUMIFS(Графики!$F$7:$F$306,Графики!$D$7:$D$306,DCF!DK$6))</f>
        <v>0</v>
      </c>
      <c r="DL18" s="244" cm="1">
        <f t="array" ref="DL18">TRANSPOSE(SUMIFS(Графики!$F$7:$F$306,Графики!$D$7:$D$306,DCF!DL$6))</f>
        <v>0</v>
      </c>
      <c r="DM18" s="244" cm="1">
        <f t="array" ref="DM18">TRANSPOSE(SUMIFS(Графики!$F$7:$F$306,Графики!$D$7:$D$306,DCF!DM$6))</f>
        <v>0</v>
      </c>
      <c r="DN18" s="244" cm="1">
        <f t="array" ref="DN18">TRANSPOSE(SUMIFS(Графики!$F$7:$F$306,Графики!$D$7:$D$306,DCF!DN$6))</f>
        <v>0</v>
      </c>
      <c r="DO18" s="244" cm="1">
        <f t="array" ref="DO18">TRANSPOSE(SUMIFS(Графики!$F$7:$F$306,Графики!$D$7:$D$306,DCF!DO$6))</f>
        <v>0</v>
      </c>
      <c r="DP18" s="244" cm="1">
        <f t="array" ref="DP18">TRANSPOSE(SUMIFS(Графики!$F$7:$F$306,Графики!$D$7:$D$306,DCF!DP$6))</f>
        <v>0</v>
      </c>
      <c r="DQ18" s="244" cm="1">
        <f t="array" ref="DQ18">TRANSPOSE(SUMIFS(Графики!$F$7:$F$306,Графики!$D$7:$D$306,DCF!DQ$6))</f>
        <v>0</v>
      </c>
      <c r="DR18" s="244" cm="1">
        <f t="array" ref="DR18">TRANSPOSE(SUMIFS(Графики!$F$7:$F$306,Графики!$D$7:$D$306,DCF!DR$6))</f>
        <v>0</v>
      </c>
      <c r="DS18" s="244" cm="1">
        <f t="array" ref="DS18">TRANSPOSE(SUMIFS(Графики!$F$7:$F$306,Графики!$D$7:$D$306,DCF!DS$6))</f>
        <v>0</v>
      </c>
      <c r="DT18" s="244" cm="1">
        <f t="array" ref="DT18">TRANSPOSE(SUMIFS(Графики!$F$7:$F$306,Графики!$D$7:$D$306,DCF!DT$6))</f>
        <v>0</v>
      </c>
      <c r="DU18" s="244" cm="1">
        <f t="array" ref="DU18">TRANSPOSE(SUMIFS(Графики!$F$7:$F$306,Графики!$D$7:$D$306,DCF!DU$6))</f>
        <v>0</v>
      </c>
      <c r="DV18" s="244" cm="1">
        <f t="array" ref="DV18">TRANSPOSE(SUMIFS(Графики!$F$7:$F$306,Графики!$D$7:$D$306,DCF!DV$6))</f>
        <v>0</v>
      </c>
      <c r="DW18" s="244" cm="1">
        <f t="array" ref="DW18">TRANSPOSE(SUMIFS(Графики!$F$7:$F$306,Графики!$D$7:$D$306,DCF!DW$6))</f>
        <v>0</v>
      </c>
      <c r="DX18" s="244" cm="1">
        <f t="array" ref="DX18">TRANSPOSE(SUMIFS(Графики!$F$7:$F$306,Графики!$D$7:$D$306,DCF!DX$6))</f>
        <v>0</v>
      </c>
      <c r="DY18" s="244" cm="1">
        <f t="array" ref="DY18">TRANSPOSE(SUMIFS(Графики!$F$7:$F$306,Графики!$D$7:$D$306,DCF!DY$6))</f>
        <v>0</v>
      </c>
      <c r="DZ18" s="244" cm="1">
        <f t="array" ref="DZ18">TRANSPOSE(SUMIFS(Графики!$F$7:$F$306,Графики!$D$7:$D$306,DCF!DZ$6))</f>
        <v>0</v>
      </c>
      <c r="EA18" s="244" cm="1">
        <f t="array" ref="EA18">TRANSPOSE(SUMIFS(Графики!$F$7:$F$306,Графики!$D$7:$D$306,DCF!EA$6))</f>
        <v>0</v>
      </c>
      <c r="EB18" s="244" cm="1">
        <f t="array" ref="EB18">TRANSPOSE(SUMIFS(Графики!$F$7:$F$306,Графики!$D$7:$D$306,DCF!EB$6))</f>
        <v>0</v>
      </c>
      <c r="EC18" s="244" cm="1">
        <f t="array" ref="EC18">TRANSPOSE(SUMIFS(Графики!$F$7:$F$306,Графики!$D$7:$D$306,DCF!EC$6))</f>
        <v>0</v>
      </c>
      <c r="ED18" s="244" cm="1">
        <f t="array" ref="ED18">TRANSPOSE(SUMIFS(Графики!$F$7:$F$306,Графики!$D$7:$D$306,DCF!ED$6))</f>
        <v>0</v>
      </c>
      <c r="EE18" s="244" cm="1">
        <f t="array" ref="EE18">TRANSPOSE(SUMIFS(Графики!$F$7:$F$306,Графики!$D$7:$D$306,DCF!EE$6))</f>
        <v>0</v>
      </c>
      <c r="EF18" s="244" cm="1">
        <f t="array" ref="EF18">TRANSPOSE(SUMIFS(Графики!$F$7:$F$306,Графики!$D$7:$D$306,DCF!EF$6))</f>
        <v>0</v>
      </c>
      <c r="EG18" s="244" cm="1">
        <f t="array" ref="EG18">TRANSPOSE(SUMIFS(Графики!$F$7:$F$306,Графики!$D$7:$D$306,DCF!EG$6))</f>
        <v>0</v>
      </c>
      <c r="EH18" s="244" cm="1">
        <f t="array" ref="EH18">TRANSPOSE(SUMIFS(Графики!$F$7:$F$306,Графики!$D$7:$D$306,DCF!EH$6))</f>
        <v>0</v>
      </c>
      <c r="EI18" s="244" cm="1">
        <f t="array" ref="EI18">TRANSPOSE(SUMIFS(Графики!$F$7:$F$306,Графики!$D$7:$D$306,DCF!EI$6))</f>
        <v>0</v>
      </c>
      <c r="EJ18" s="244" cm="1">
        <f t="array" ref="EJ18">TRANSPOSE(SUMIFS(Графики!$F$7:$F$306,Графики!$D$7:$D$306,DCF!EJ$6))</f>
        <v>0</v>
      </c>
      <c r="EK18" s="244" cm="1">
        <f t="array" ref="EK18">TRANSPOSE(SUMIFS(Графики!$F$7:$F$306,Графики!$D$7:$D$306,DCF!EK$6))</f>
        <v>0</v>
      </c>
      <c r="EL18" s="244" cm="1">
        <f t="array" ref="EL18">TRANSPOSE(SUMIFS(Графики!$F$7:$F$306,Графики!$D$7:$D$306,DCF!EL$6))</f>
        <v>0</v>
      </c>
      <c r="EM18" s="244" cm="1">
        <f t="array" ref="EM18">TRANSPOSE(SUMIFS(Графики!$F$7:$F$306,Графики!$D$7:$D$306,DCF!EM$6))</f>
        <v>0</v>
      </c>
      <c r="EN18" s="244" cm="1">
        <f t="array" ref="EN18">TRANSPOSE(SUMIFS(Графики!$F$7:$F$306,Графики!$D$7:$D$306,DCF!EN$6))</f>
        <v>0</v>
      </c>
      <c r="EO18" s="244" cm="1">
        <f t="array" ref="EO18">TRANSPOSE(SUMIFS(Графики!$F$7:$F$306,Графики!$D$7:$D$306,DCF!EO$6))</f>
        <v>0</v>
      </c>
      <c r="EP18" s="244" cm="1">
        <f t="array" ref="EP18">TRANSPOSE(SUMIFS(Графики!$F$7:$F$306,Графики!$D$7:$D$306,DCF!EP$6))</f>
        <v>0</v>
      </c>
      <c r="EQ18" s="244" cm="1">
        <f t="array" ref="EQ18">TRANSPOSE(SUMIFS(Графики!$F$7:$F$306,Графики!$D$7:$D$306,DCF!EQ$6))</f>
        <v>0</v>
      </c>
      <c r="ER18" s="244" cm="1">
        <f t="array" ref="ER18">TRANSPOSE(SUMIFS(Графики!$F$7:$F$306,Графики!$D$7:$D$306,DCF!ER$6))</f>
        <v>0</v>
      </c>
      <c r="ES18" s="244" cm="1">
        <f t="array" ref="ES18">TRANSPOSE(SUMIFS(Графики!$F$7:$F$306,Графики!$D$7:$D$306,DCF!ES$6))</f>
        <v>0</v>
      </c>
      <c r="ET18" s="244" cm="1">
        <f t="array" ref="ET18">TRANSPOSE(SUMIFS(Графики!$F$7:$F$306,Графики!$D$7:$D$306,DCF!ET$6))</f>
        <v>0</v>
      </c>
      <c r="EU18" s="244" cm="1">
        <f t="array" ref="EU18">TRANSPOSE(SUMIFS(Графики!$F$7:$F$306,Графики!$D$7:$D$306,DCF!EU$6))</f>
        <v>0</v>
      </c>
      <c r="EV18" s="244" cm="1">
        <f t="array" ref="EV18">TRANSPOSE(SUMIFS(Графики!$F$7:$F$306,Графики!$D$7:$D$306,DCF!EV$6))</f>
        <v>0</v>
      </c>
      <c r="EW18" s="244" cm="1">
        <f t="array" ref="EW18">TRANSPOSE(SUMIFS(Графики!$F$7:$F$306,Графики!$D$7:$D$306,DCF!EW$6))</f>
        <v>0</v>
      </c>
      <c r="EX18" s="244" cm="1">
        <f t="array" ref="EX18">TRANSPOSE(SUMIFS(Графики!$F$7:$F$306,Графики!$D$7:$D$306,DCF!EX$6))</f>
        <v>0</v>
      </c>
      <c r="EY18" s="244" cm="1">
        <f t="array" ref="EY18">TRANSPOSE(SUMIFS(Графики!$F$7:$F$306,Графики!$D$7:$D$306,DCF!EY$6))</f>
        <v>0</v>
      </c>
      <c r="EZ18" s="244" cm="1">
        <f t="array" ref="EZ18">TRANSPOSE(SUMIFS(Графики!$F$7:$F$306,Графики!$D$7:$D$306,DCF!EZ$6))</f>
        <v>0</v>
      </c>
      <c r="FA18" s="244" cm="1">
        <f t="array" ref="FA18">TRANSPOSE(SUMIFS(Графики!$F$7:$F$306,Графики!$D$7:$D$306,DCF!FA$6))</f>
        <v>0</v>
      </c>
      <c r="FB18" s="244" cm="1">
        <f t="array" ref="FB18">TRANSPOSE(SUMIFS(Графики!$F$7:$F$306,Графики!$D$7:$D$306,DCF!FB$6))</f>
        <v>0</v>
      </c>
      <c r="FC18" s="244" cm="1">
        <f t="array" ref="FC18">TRANSPOSE(SUMIFS(Графики!$F$7:$F$306,Графики!$D$7:$D$306,DCF!FC$6))</f>
        <v>0</v>
      </c>
      <c r="FD18" s="244" cm="1">
        <f t="array" ref="FD18">TRANSPOSE(SUMIFS(Графики!$F$7:$F$306,Графики!$D$7:$D$306,DCF!FD$6))</f>
        <v>0</v>
      </c>
      <c r="FE18" s="244" cm="1">
        <f t="array" ref="FE18">TRANSPOSE(SUMIFS(Графики!$F$7:$F$306,Графики!$D$7:$D$306,DCF!FE$6))</f>
        <v>0</v>
      </c>
      <c r="FF18" s="244" cm="1">
        <f t="array" ref="FF18">TRANSPOSE(SUMIFS(Графики!$F$7:$F$306,Графики!$D$7:$D$306,DCF!FF$6))</f>
        <v>0</v>
      </c>
      <c r="FG18" s="244" cm="1">
        <f t="array" ref="FG18">TRANSPOSE(SUMIFS(Графики!$F$7:$F$306,Графики!$D$7:$D$306,DCF!FG$6))</f>
        <v>0</v>
      </c>
      <c r="FH18" s="244" cm="1">
        <f t="array" ref="FH18">TRANSPOSE(SUMIFS(Графики!$F$7:$F$306,Графики!$D$7:$D$306,DCF!FH$6))</f>
        <v>0</v>
      </c>
      <c r="FI18" s="244" cm="1">
        <f t="array" ref="FI18">TRANSPOSE(SUMIFS(Графики!$F$7:$F$306,Графики!$D$7:$D$306,DCF!FI$6))</f>
        <v>0</v>
      </c>
      <c r="FJ18" s="244" cm="1">
        <f t="array" ref="FJ18">TRANSPOSE(SUMIFS(Графики!$F$7:$F$306,Графики!$D$7:$D$306,DCF!FJ$6))</f>
        <v>0</v>
      </c>
      <c r="FK18" s="244" cm="1">
        <f t="array" ref="FK18">TRANSPOSE(SUMIFS(Графики!$F$7:$F$306,Графики!$D$7:$D$306,DCF!FK$6))</f>
        <v>0</v>
      </c>
      <c r="FL18" s="244" cm="1">
        <f t="array" ref="FL18">TRANSPOSE(SUMIFS(Графики!$F$7:$F$306,Графики!$D$7:$D$306,DCF!FL$6))</f>
        <v>0</v>
      </c>
      <c r="FM18" s="244" cm="1">
        <f t="array" ref="FM18">TRANSPOSE(SUMIFS(Графики!$F$7:$F$306,Графики!$D$7:$D$306,DCF!FM$6))</f>
        <v>0</v>
      </c>
      <c r="FN18" s="244" cm="1">
        <f t="array" ref="FN18">TRANSPOSE(SUMIFS(Графики!$F$7:$F$306,Графики!$D$7:$D$306,DCF!FN$6))</f>
        <v>0</v>
      </c>
      <c r="FO18" s="244" cm="1">
        <f t="array" ref="FO18">TRANSPOSE(SUMIFS(Графики!$F$7:$F$306,Графики!$D$7:$D$306,DCF!FO$6))</f>
        <v>0</v>
      </c>
      <c r="FP18" s="244" cm="1">
        <f t="array" ref="FP18">TRANSPOSE(SUMIFS(Графики!$F$7:$F$306,Графики!$D$7:$D$306,DCF!FP$6))</f>
        <v>0</v>
      </c>
      <c r="FQ18" s="244" cm="1">
        <f t="array" ref="FQ18">TRANSPOSE(SUMIFS(Графики!$F$7:$F$306,Графики!$D$7:$D$306,DCF!FQ$6))</f>
        <v>0</v>
      </c>
      <c r="FR18" s="244" cm="1">
        <f t="array" ref="FR18">TRANSPOSE(SUMIFS(Графики!$F$7:$F$306,Графики!$D$7:$D$306,DCF!FR$6))</f>
        <v>0</v>
      </c>
      <c r="FS18" s="244" cm="1">
        <f t="array" ref="FS18">TRANSPOSE(SUMIFS(Графики!$F$7:$F$306,Графики!$D$7:$D$306,DCF!FS$6))</f>
        <v>0</v>
      </c>
      <c r="FT18" s="244" cm="1">
        <f t="array" ref="FT18">TRANSPOSE(SUMIFS(Графики!$F$7:$F$306,Графики!$D$7:$D$306,DCF!FT$6))</f>
        <v>0</v>
      </c>
      <c r="FU18" s="244" cm="1">
        <f t="array" ref="FU18">TRANSPOSE(SUMIFS(Графики!$F$7:$F$306,Графики!$D$7:$D$306,DCF!FU$6))</f>
        <v>0</v>
      </c>
      <c r="FV18" s="244" cm="1">
        <f t="array" ref="FV18">TRANSPOSE(SUMIFS(Графики!$F$7:$F$306,Графики!$D$7:$D$306,DCF!FV$6))</f>
        <v>0</v>
      </c>
      <c r="FW18" s="244" cm="1">
        <f t="array" ref="FW18">TRANSPOSE(SUMIFS(Графики!$F$7:$F$306,Графики!$D$7:$D$306,DCF!FW$6))</f>
        <v>0</v>
      </c>
      <c r="FX18" s="244" cm="1">
        <f t="array" ref="FX18">TRANSPOSE(SUMIFS(Графики!$F$7:$F$306,Графики!$D$7:$D$306,DCF!FX$6))</f>
        <v>0</v>
      </c>
      <c r="FY18" s="244" cm="1">
        <f t="array" ref="FY18">TRANSPOSE(SUMIFS(Графики!$F$7:$F$306,Графики!$D$7:$D$306,DCF!FY$6))</f>
        <v>0</v>
      </c>
      <c r="FZ18" s="244" cm="1">
        <f t="array" ref="FZ18">TRANSPOSE(SUMIFS(Графики!$F$7:$F$306,Графики!$D$7:$D$306,DCF!FZ$6))</f>
        <v>0</v>
      </c>
      <c r="GA18" s="244" cm="1">
        <f t="array" ref="GA18">TRANSPOSE(SUMIFS(Графики!$F$7:$F$306,Графики!$D$7:$D$306,DCF!GA$6))</f>
        <v>0</v>
      </c>
      <c r="GB18" s="244" cm="1">
        <f t="array" ref="GB18">TRANSPOSE(SUMIFS(Графики!$F$7:$F$306,Графики!$D$7:$D$306,DCF!GB$6))</f>
        <v>0</v>
      </c>
      <c r="GC18" s="244" cm="1">
        <f t="array" ref="GC18">TRANSPOSE(SUMIFS(Графики!$F$7:$F$306,Графики!$D$7:$D$306,DCF!GC$6))</f>
        <v>0</v>
      </c>
      <c r="GD18" s="244" cm="1">
        <f t="array" ref="GD18">TRANSPOSE(SUMIFS(Графики!$F$7:$F$306,Графики!$D$7:$D$306,DCF!GD$6))</f>
        <v>0</v>
      </c>
      <c r="GE18" s="244" cm="1">
        <f t="array" ref="GE18">TRANSPOSE(SUMIFS(Графики!$F$7:$F$306,Графики!$D$7:$D$306,DCF!GE$6))</f>
        <v>0</v>
      </c>
      <c r="GF18" s="244" cm="1">
        <f t="array" ref="GF18">TRANSPOSE(SUMIFS(Графики!$F$7:$F$306,Графики!$D$7:$D$306,DCF!GF$6))</f>
        <v>0</v>
      </c>
      <c r="GG18" s="244" cm="1">
        <f t="array" ref="GG18">TRANSPOSE(SUMIFS(Графики!$F$7:$F$306,Графики!$D$7:$D$306,DCF!GG$6))</f>
        <v>0</v>
      </c>
      <c r="GH18" s="244" cm="1">
        <f t="array" ref="GH18">TRANSPOSE(SUMIFS(Графики!$F$7:$F$306,Графики!$D$7:$D$306,DCF!GH$6))</f>
        <v>0</v>
      </c>
      <c r="GI18" s="244" cm="1">
        <f t="array" ref="GI18">TRANSPOSE(SUMIFS(Графики!$F$7:$F$306,Графики!$D$7:$D$306,DCF!GI$6))</f>
        <v>0</v>
      </c>
      <c r="GJ18" s="244" cm="1">
        <f t="array" ref="GJ18">TRANSPOSE(SUMIFS(Графики!$F$7:$F$306,Графики!$D$7:$D$306,DCF!GJ$6))</f>
        <v>0</v>
      </c>
      <c r="GK18" s="244" cm="1">
        <f t="array" ref="GK18">TRANSPOSE(SUMIFS(Графики!$F$7:$F$306,Графики!$D$7:$D$306,DCF!GK$6))</f>
        <v>0</v>
      </c>
      <c r="GL18" s="244" cm="1">
        <f t="array" ref="GL18">TRANSPOSE(SUMIFS(Графики!$F$7:$F$306,Графики!$D$7:$D$306,DCF!GL$6))</f>
        <v>0</v>
      </c>
      <c r="GM18" s="244" cm="1">
        <f t="array" ref="GM18">TRANSPOSE(SUMIFS(Графики!$F$7:$F$306,Графики!$D$7:$D$306,DCF!GM$6))</f>
        <v>0</v>
      </c>
      <c r="GN18" s="244" cm="1">
        <f t="array" ref="GN18">TRANSPOSE(SUMIFS(Графики!$F$7:$F$306,Графики!$D$7:$D$306,DCF!GN$6))</f>
        <v>0</v>
      </c>
      <c r="GO18" s="244" cm="1">
        <f t="array" ref="GO18">TRANSPOSE(SUMIFS(Графики!$F$7:$F$306,Графики!$D$7:$D$306,DCF!GO$6))</f>
        <v>0</v>
      </c>
      <c r="GP18" s="244" cm="1">
        <f t="array" ref="GP18">TRANSPOSE(SUMIFS(Графики!$F$7:$F$306,Графики!$D$7:$D$306,DCF!GP$6))</f>
        <v>0</v>
      </c>
      <c r="GQ18" s="244" cm="1">
        <f t="array" ref="GQ18">TRANSPOSE(SUMIFS(Графики!$F$7:$F$306,Графики!$D$7:$D$306,DCF!GQ$6))</f>
        <v>0</v>
      </c>
      <c r="GR18" s="244" cm="1">
        <f t="array" ref="GR18">TRANSPOSE(SUMIFS(Графики!$F$7:$F$306,Графики!$D$7:$D$306,DCF!GR$6))</f>
        <v>0</v>
      </c>
      <c r="GS18" s="244" cm="1">
        <f t="array" ref="GS18">TRANSPOSE(SUMIFS(Графики!$F$7:$F$306,Графики!$D$7:$D$306,DCF!GS$6))</f>
        <v>0</v>
      </c>
      <c r="GT18" s="244" cm="1">
        <f t="array" ref="GT18">TRANSPOSE(SUMIFS(Графики!$F$7:$F$306,Графики!$D$7:$D$306,DCF!GT$6))</f>
        <v>0</v>
      </c>
      <c r="GU18" s="244" cm="1">
        <f t="array" ref="GU18">TRANSPOSE(SUMIFS(Графики!$F$7:$F$306,Графики!$D$7:$D$306,DCF!GU$6))</f>
        <v>0</v>
      </c>
      <c r="GV18" s="244" cm="1">
        <f t="array" ref="GV18">TRANSPOSE(SUMIFS(Графики!$F$7:$F$306,Графики!$D$7:$D$306,DCF!GV$6))</f>
        <v>0</v>
      </c>
      <c r="GW18" s="244" cm="1">
        <f t="array" ref="GW18">TRANSPOSE(SUMIFS(Графики!$F$7:$F$306,Графики!$D$7:$D$306,DCF!GW$6))</f>
        <v>0</v>
      </c>
      <c r="GX18" s="244" cm="1">
        <f t="array" ref="GX18">TRANSPOSE(SUMIFS(Графики!$F$7:$F$306,Графики!$D$7:$D$306,DCF!GX$6))</f>
        <v>0</v>
      </c>
      <c r="GY18" s="244" cm="1">
        <f t="array" ref="GY18">TRANSPOSE(SUMIFS(Графики!$F$7:$F$306,Графики!$D$7:$D$306,DCF!GY$6))</f>
        <v>0</v>
      </c>
      <c r="GZ18" s="244" cm="1">
        <f t="array" ref="GZ18">TRANSPOSE(SUMIFS(Графики!$F$7:$F$306,Графики!$D$7:$D$306,DCF!GZ$6))</f>
        <v>0</v>
      </c>
      <c r="HA18" s="244" cm="1">
        <f t="array" ref="HA18">TRANSPOSE(SUMIFS(Графики!$F$7:$F$306,Графики!$D$7:$D$306,DCF!HA$6))</f>
        <v>0</v>
      </c>
      <c r="HB18" s="244" cm="1">
        <f t="array" ref="HB18">TRANSPOSE(SUMIFS(Графики!$F$7:$F$306,Графики!$D$7:$D$306,DCF!HB$6))</f>
        <v>0</v>
      </c>
      <c r="HC18" s="244" cm="1">
        <f t="array" ref="HC18">TRANSPOSE(SUMIFS(Графики!$F$7:$F$306,Графики!$D$7:$D$306,DCF!HC$6))</f>
        <v>0</v>
      </c>
      <c r="HD18" s="244" cm="1">
        <f t="array" ref="HD18">TRANSPOSE(SUMIFS(Графики!$F$7:$F$306,Графики!$D$7:$D$306,DCF!HD$6))</f>
        <v>0</v>
      </c>
      <c r="HE18" s="244" cm="1">
        <f t="array" ref="HE18">TRANSPOSE(SUMIFS(Графики!$F$7:$F$306,Графики!$D$7:$D$306,DCF!HE$6))</f>
        <v>0</v>
      </c>
      <c r="HF18" s="244" cm="1">
        <f t="array" ref="HF18">TRANSPOSE(SUMIFS(Графики!$F$7:$F$306,Графики!$D$7:$D$306,DCF!HF$6))</f>
        <v>0</v>
      </c>
      <c r="HG18" s="244" cm="1">
        <f t="array" ref="HG18">TRANSPOSE(SUMIFS(Графики!$F$7:$F$306,Графики!$D$7:$D$306,DCF!HG$6))</f>
        <v>0</v>
      </c>
      <c r="HH18" s="244" cm="1">
        <f t="array" ref="HH18">TRANSPOSE(SUMIFS(Графики!$F$7:$F$306,Графики!$D$7:$D$306,DCF!HH$6))</f>
        <v>0</v>
      </c>
      <c r="HI18" s="244" cm="1">
        <f t="array" ref="HI18">TRANSPOSE(SUMIFS(Графики!$F$7:$F$306,Графики!$D$7:$D$306,DCF!HI$6))</f>
        <v>0</v>
      </c>
      <c r="HJ18" s="244" cm="1">
        <f t="array" ref="HJ18">TRANSPOSE(SUMIFS(Графики!$F$7:$F$306,Графики!$D$7:$D$306,DCF!HJ$6))</f>
        <v>0</v>
      </c>
      <c r="HK18" s="244" cm="1">
        <f t="array" ref="HK18">TRANSPOSE(SUMIFS(Графики!$F$7:$F$306,Графики!$D$7:$D$306,DCF!HK$6))</f>
        <v>0</v>
      </c>
      <c r="HL18" s="244" cm="1">
        <f t="array" ref="HL18">TRANSPOSE(SUMIFS(Графики!$F$7:$F$306,Графики!$D$7:$D$306,DCF!HL$6))</f>
        <v>0</v>
      </c>
      <c r="HM18" s="244" cm="1">
        <f t="array" ref="HM18">TRANSPOSE(SUMIFS(Графики!$F$7:$F$306,Графики!$D$7:$D$306,DCF!HM$6))</f>
        <v>0</v>
      </c>
      <c r="HN18" s="244" cm="1">
        <f t="array" ref="HN18">TRANSPOSE(SUMIFS(Графики!$F$7:$F$306,Графики!$D$7:$D$306,DCF!HN$6))</f>
        <v>0</v>
      </c>
      <c r="HO18" s="244" cm="1">
        <f t="array" ref="HO18">TRANSPOSE(SUMIFS(Графики!$F$7:$F$306,Графики!$D$7:$D$306,DCF!HO$6))</f>
        <v>0</v>
      </c>
      <c r="HP18" s="244" cm="1">
        <f t="array" ref="HP18">TRANSPOSE(SUMIFS(Графики!$F$7:$F$306,Графики!$D$7:$D$306,DCF!HP$6))</f>
        <v>0</v>
      </c>
      <c r="HQ18" s="244" cm="1">
        <f t="array" ref="HQ18">TRANSPOSE(SUMIFS(Графики!$F$7:$F$306,Графики!$D$7:$D$306,DCF!HQ$6))</f>
        <v>0</v>
      </c>
      <c r="HR18" s="244" cm="1">
        <f t="array" ref="HR18">TRANSPOSE(SUMIFS(Графики!$F$7:$F$306,Графики!$D$7:$D$306,DCF!HR$6))</f>
        <v>0</v>
      </c>
      <c r="HS18" s="244" cm="1">
        <f t="array" ref="HS18">TRANSPOSE(SUMIFS(Графики!$F$7:$F$306,Графики!$D$7:$D$306,DCF!HS$6))</f>
        <v>0</v>
      </c>
      <c r="HT18" s="244" cm="1">
        <f t="array" ref="HT18">TRANSPOSE(SUMIFS(Графики!$F$7:$F$306,Графики!$D$7:$D$306,DCF!HT$6))</f>
        <v>0</v>
      </c>
      <c r="HU18" s="244" cm="1">
        <f t="array" ref="HU18">TRANSPOSE(SUMIFS(Графики!$F$7:$F$306,Графики!$D$7:$D$306,DCF!HU$6))</f>
        <v>0</v>
      </c>
      <c r="HV18" s="244" cm="1">
        <f t="array" ref="HV18">TRANSPOSE(SUMIFS(Графики!$F$7:$F$306,Графики!$D$7:$D$306,DCF!HV$6))</f>
        <v>0</v>
      </c>
      <c r="HW18" s="244" cm="1">
        <f t="array" ref="HW18">TRANSPOSE(SUMIFS(Графики!$F$7:$F$306,Графики!$D$7:$D$306,DCF!HW$6))</f>
        <v>0</v>
      </c>
      <c r="HX18" s="244" cm="1">
        <f t="array" ref="HX18">TRANSPOSE(SUMIFS(Графики!$F$7:$F$306,Графики!$D$7:$D$306,DCF!HX$6))</f>
        <v>0</v>
      </c>
      <c r="HY18" s="244" cm="1">
        <f t="array" ref="HY18">TRANSPOSE(SUMIFS(Графики!$F$7:$F$306,Графики!$D$7:$D$306,DCF!HY$6))</f>
        <v>0</v>
      </c>
      <c r="HZ18" s="244" cm="1">
        <f t="array" ref="HZ18">TRANSPOSE(SUMIFS(Графики!$F$7:$F$306,Графики!$D$7:$D$306,DCF!HZ$6))</f>
        <v>0</v>
      </c>
      <c r="IA18" s="244" cm="1">
        <f t="array" ref="IA18">TRANSPOSE(SUMIFS(Графики!$F$7:$F$306,Графики!$D$7:$D$306,DCF!IA$6))</f>
        <v>0</v>
      </c>
      <c r="IB18" s="244" cm="1">
        <f t="array" ref="IB18">TRANSPOSE(SUMIFS(Графики!$F$7:$F$306,Графики!$D$7:$D$306,DCF!IB$6))</f>
        <v>0</v>
      </c>
      <c r="IC18" s="244" cm="1">
        <f t="array" ref="IC18">TRANSPOSE(SUMIFS(Графики!$F$7:$F$306,Графики!$D$7:$D$306,DCF!IC$6))</f>
        <v>0</v>
      </c>
      <c r="ID18" s="244" cm="1">
        <f t="array" ref="ID18">TRANSPOSE(SUMIFS(Графики!$F$7:$F$306,Графики!$D$7:$D$306,DCF!ID$6))</f>
        <v>0</v>
      </c>
      <c r="IE18" s="244" cm="1">
        <f t="array" ref="IE18">TRANSPOSE(SUMIFS(Графики!$F$7:$F$306,Графики!$D$7:$D$306,DCF!IE$6))</f>
        <v>0</v>
      </c>
      <c r="IF18" s="244" cm="1">
        <f t="array" ref="IF18">TRANSPOSE(SUMIFS(Графики!$F$7:$F$306,Графики!$D$7:$D$306,DCF!IF$6))</f>
        <v>0</v>
      </c>
      <c r="IG18" s="244" cm="1">
        <f t="array" ref="IG18">TRANSPOSE(SUMIFS(Графики!$F$7:$F$306,Графики!$D$7:$D$306,DCF!IG$6))</f>
        <v>0</v>
      </c>
      <c r="IH18" s="244" cm="1">
        <f t="array" ref="IH18">TRANSPOSE(SUMIFS(Графики!$F$7:$F$306,Графики!$D$7:$D$306,DCF!IH$6))</f>
        <v>0</v>
      </c>
      <c r="II18" s="244" cm="1">
        <f t="array" ref="II18">TRANSPOSE(SUMIFS(Графики!$F$7:$F$306,Графики!$D$7:$D$306,DCF!II$6))</f>
        <v>0</v>
      </c>
      <c r="IJ18" s="244" cm="1">
        <f t="array" ref="IJ18">TRANSPOSE(SUMIFS(Графики!$F$7:$F$306,Графики!$D$7:$D$306,DCF!IJ$6))</f>
        <v>0</v>
      </c>
      <c r="IK18" s="244" cm="1">
        <f t="array" ref="IK18">TRANSPOSE(SUMIFS(Графики!$F$7:$F$306,Графики!$D$7:$D$306,DCF!IK$6))</f>
        <v>0</v>
      </c>
      <c r="IL18" s="244" cm="1">
        <f t="array" ref="IL18">TRANSPOSE(SUMIFS(Графики!$F$7:$F$306,Графики!$D$7:$D$306,DCF!IL$6))</f>
        <v>0</v>
      </c>
      <c r="IM18" s="244" cm="1">
        <f t="array" ref="IM18">TRANSPOSE(SUMIFS(Графики!$F$7:$F$306,Графики!$D$7:$D$306,DCF!IM$6))</f>
        <v>0</v>
      </c>
      <c r="IN18" s="244" cm="1">
        <f t="array" ref="IN18">TRANSPOSE(SUMIFS(Графики!$F$7:$F$306,Графики!$D$7:$D$306,DCF!IN$6))</f>
        <v>0</v>
      </c>
      <c r="IO18" s="244" cm="1">
        <f t="array" ref="IO18">TRANSPOSE(SUMIFS(Графики!$F$7:$F$306,Графики!$D$7:$D$306,DCF!IO$6))</f>
        <v>0</v>
      </c>
      <c r="IP18" s="244" cm="1">
        <f t="array" ref="IP18">TRANSPOSE(SUMIFS(Графики!$F$7:$F$306,Графики!$D$7:$D$306,DCF!IP$6))</f>
        <v>0</v>
      </c>
      <c r="IQ18" s="244" cm="1">
        <f t="array" ref="IQ18">TRANSPOSE(SUMIFS(Графики!$F$7:$F$306,Графики!$D$7:$D$306,DCF!IQ$6))</f>
        <v>0</v>
      </c>
      <c r="IR18" s="244" cm="1">
        <f t="array" ref="IR18">TRANSPOSE(SUMIFS(Графики!$F$7:$F$306,Графики!$D$7:$D$306,DCF!IR$6))</f>
        <v>0</v>
      </c>
      <c r="IS18" s="244" cm="1">
        <f t="array" ref="IS18">TRANSPOSE(SUMIFS(Графики!$F$7:$F$306,Графики!$D$7:$D$306,DCF!IS$6))</f>
        <v>0</v>
      </c>
      <c r="IT18" s="244" cm="1">
        <f t="array" ref="IT18">TRANSPOSE(SUMIFS(Графики!$F$7:$F$306,Графики!$D$7:$D$306,DCF!IT$6))</f>
        <v>0</v>
      </c>
      <c r="IU18" s="244" cm="1">
        <f t="array" ref="IU18">TRANSPOSE(SUMIFS(Графики!$F$7:$F$306,Графики!$D$7:$D$306,DCF!IU$6))</f>
        <v>0</v>
      </c>
      <c r="IV18" s="244" cm="1">
        <f t="array" ref="IV18">TRANSPOSE(SUMIFS(Графики!$F$7:$F$306,Графики!$D$7:$D$306,DCF!IV$6))</f>
        <v>0</v>
      </c>
      <c r="IW18" s="244" cm="1">
        <f t="array" ref="IW18">TRANSPOSE(SUMIFS(Графики!$F$7:$F$306,Графики!$D$7:$D$306,DCF!IW$6))</f>
        <v>0</v>
      </c>
      <c r="IX18" s="244" cm="1">
        <f t="array" ref="IX18">TRANSPOSE(SUMIFS(Графики!$F$7:$F$306,Графики!$D$7:$D$306,DCF!IX$6))</f>
        <v>0</v>
      </c>
      <c r="IY18" s="244" cm="1">
        <f t="array" ref="IY18">TRANSPOSE(SUMIFS(Графики!$F$7:$F$306,Графики!$D$7:$D$306,DCF!IY$6))</f>
        <v>0</v>
      </c>
      <c r="IZ18" s="244" cm="1">
        <f t="array" ref="IZ18">TRANSPOSE(SUMIFS(Графики!$F$7:$F$306,Графики!$D$7:$D$306,DCF!IZ$6))</f>
        <v>0</v>
      </c>
      <c r="JA18" s="244" cm="1">
        <f t="array" ref="JA18">TRANSPOSE(SUMIFS(Графики!$F$7:$F$306,Графики!$D$7:$D$306,DCF!JA$6))</f>
        <v>0</v>
      </c>
      <c r="JB18" s="244" cm="1">
        <f t="array" ref="JB18">TRANSPOSE(SUMIFS(Графики!$F$7:$F$306,Графики!$D$7:$D$306,DCF!JB$6))</f>
        <v>0</v>
      </c>
      <c r="JC18" s="244" cm="1">
        <f t="array" ref="JC18">TRANSPOSE(SUMIFS(Графики!$F$7:$F$306,Графики!$D$7:$D$306,DCF!JC$6))</f>
        <v>0</v>
      </c>
      <c r="JD18" s="244" cm="1">
        <f t="array" ref="JD18">TRANSPOSE(SUMIFS(Графики!$F$7:$F$306,Графики!$D$7:$D$306,DCF!JD$6))</f>
        <v>0</v>
      </c>
      <c r="JE18" s="244" cm="1">
        <f t="array" ref="JE18">TRANSPOSE(SUMIFS(Графики!$F$7:$F$306,Графики!$D$7:$D$306,DCF!JE$6))</f>
        <v>0</v>
      </c>
      <c r="JF18" s="244" cm="1">
        <f t="array" ref="JF18">TRANSPOSE(SUMIFS(Графики!$F$7:$F$306,Графики!$D$7:$D$306,DCF!JF$6))</f>
        <v>0</v>
      </c>
      <c r="JG18" s="244" cm="1">
        <f t="array" ref="JG18">TRANSPOSE(SUMIFS(Графики!$F$7:$F$306,Графики!$D$7:$D$306,DCF!JG$6))</f>
        <v>0</v>
      </c>
      <c r="JH18" s="244" cm="1">
        <f t="array" ref="JH18">TRANSPOSE(SUMIFS(Графики!$F$7:$F$306,Графики!$D$7:$D$306,DCF!JH$6))</f>
        <v>0</v>
      </c>
      <c r="JI18" s="244" cm="1">
        <f t="array" ref="JI18">TRANSPOSE(SUMIFS(Графики!$F$7:$F$306,Графики!$D$7:$D$306,DCF!JI$6))</f>
        <v>0</v>
      </c>
      <c r="JJ18" s="244" cm="1">
        <f t="array" ref="JJ18">TRANSPOSE(SUMIFS(Графики!$F$7:$F$306,Графики!$D$7:$D$306,DCF!JJ$6))</f>
        <v>0</v>
      </c>
      <c r="JK18" s="244" cm="1">
        <f t="array" ref="JK18">TRANSPOSE(SUMIFS(Графики!$F$7:$F$306,Графики!$D$7:$D$306,DCF!JK$6))</f>
        <v>0</v>
      </c>
      <c r="JL18" s="244" cm="1">
        <f t="array" ref="JL18">TRANSPOSE(SUMIFS(Графики!$F$7:$F$306,Графики!$D$7:$D$306,DCF!JL$6))</f>
        <v>0</v>
      </c>
      <c r="JM18" s="244" cm="1">
        <f t="array" ref="JM18">TRANSPOSE(SUMIFS(Графики!$F$7:$F$306,Графики!$D$7:$D$306,DCF!JM$6))</f>
        <v>0</v>
      </c>
      <c r="JN18" s="244" cm="1">
        <f t="array" ref="JN18">TRANSPOSE(SUMIFS(Графики!$F$7:$F$306,Графики!$D$7:$D$306,DCF!JN$6))</f>
        <v>0</v>
      </c>
      <c r="JO18" s="244" cm="1">
        <f t="array" ref="JO18">TRANSPOSE(SUMIFS(Графики!$F$7:$F$306,Графики!$D$7:$D$306,DCF!JO$6))</f>
        <v>0</v>
      </c>
      <c r="JP18" s="244" cm="1">
        <f t="array" ref="JP18">TRANSPOSE(SUMIFS(Графики!$F$7:$F$306,Графики!$D$7:$D$306,DCF!JP$6))</f>
        <v>0</v>
      </c>
      <c r="JQ18" s="244" cm="1">
        <f t="array" ref="JQ18">TRANSPOSE(SUMIFS(Графики!$F$7:$F$306,Графики!$D$7:$D$306,DCF!JQ$6))</f>
        <v>0</v>
      </c>
      <c r="JR18" s="244" cm="1">
        <f t="array" ref="JR18">TRANSPOSE(SUMIFS(Графики!$F$7:$F$306,Графики!$D$7:$D$306,DCF!JR$6))</f>
        <v>0</v>
      </c>
      <c r="JS18" s="244" cm="1">
        <f t="array" ref="JS18">TRANSPOSE(SUMIFS(Графики!$F$7:$F$306,Графики!$D$7:$D$306,DCF!JS$6))</f>
        <v>0</v>
      </c>
      <c r="JT18" s="244" cm="1">
        <f t="array" ref="JT18">TRANSPOSE(SUMIFS(Графики!$F$7:$F$306,Графики!$D$7:$D$306,DCF!JT$6))</f>
        <v>0</v>
      </c>
      <c r="JU18" s="244" cm="1">
        <f t="array" ref="JU18">TRANSPOSE(SUMIFS(Графики!$F$7:$F$306,Графики!$D$7:$D$306,DCF!JU$6))</f>
        <v>0</v>
      </c>
      <c r="JV18" s="244" cm="1">
        <f t="array" ref="JV18">TRANSPOSE(SUMIFS(Графики!$F$7:$F$306,Графики!$D$7:$D$306,DCF!JV$6))</f>
        <v>0</v>
      </c>
      <c r="JW18" s="244" cm="1">
        <f t="array" ref="JW18">TRANSPOSE(SUMIFS(Графики!$F$7:$F$306,Графики!$D$7:$D$306,DCF!JW$6))</f>
        <v>0</v>
      </c>
      <c r="JX18" s="244" cm="1">
        <f t="array" ref="JX18">TRANSPOSE(SUMIFS(Графики!$F$7:$F$306,Графики!$D$7:$D$306,DCF!JX$6))</f>
        <v>0</v>
      </c>
      <c r="JY18" s="244" cm="1">
        <f t="array" ref="JY18">TRANSPOSE(SUMIFS(Графики!$F$7:$F$306,Графики!$D$7:$D$306,DCF!JY$6))</f>
        <v>0</v>
      </c>
      <c r="JZ18" s="244" cm="1">
        <f t="array" ref="JZ18">TRANSPOSE(SUMIFS(Графики!$F$7:$F$306,Графики!$D$7:$D$306,DCF!JZ$6))</f>
        <v>0</v>
      </c>
      <c r="KA18" s="244" cm="1">
        <f t="array" ref="KA18">TRANSPOSE(SUMIFS(Графики!$F$7:$F$306,Графики!$D$7:$D$306,DCF!KA$6))</f>
        <v>0</v>
      </c>
      <c r="KB18" s="244" cm="1">
        <f t="array" ref="KB18">TRANSPOSE(SUMIFS(Графики!$F$7:$F$306,Графики!$D$7:$D$306,DCF!KB$6))</f>
        <v>0</v>
      </c>
      <c r="KC18" s="244" cm="1">
        <f t="array" ref="KC18">TRANSPOSE(SUMIFS(Графики!$F$7:$F$306,Графики!$D$7:$D$306,DCF!KC$6))</f>
        <v>0</v>
      </c>
      <c r="KD18" s="244" cm="1">
        <f t="array" ref="KD18">TRANSPOSE(SUMIFS(Графики!$F$7:$F$306,Графики!$D$7:$D$306,DCF!KD$6))</f>
        <v>0</v>
      </c>
      <c r="KE18" s="244" cm="1">
        <f t="array" ref="KE18">TRANSPOSE(SUMIFS(Графики!$F$7:$F$306,Графики!$D$7:$D$306,DCF!KE$6))</f>
        <v>0</v>
      </c>
      <c r="KF18" s="244" cm="1">
        <f t="array" ref="KF18">TRANSPOSE(SUMIFS(Графики!$F$7:$F$306,Графики!$D$7:$D$306,DCF!KF$6))</f>
        <v>0</v>
      </c>
      <c r="KG18" s="244" cm="1">
        <f t="array" ref="KG18">TRANSPOSE(SUMIFS(Графики!$F$7:$F$306,Графики!$D$7:$D$306,DCF!KG$6))</f>
        <v>0</v>
      </c>
      <c r="KH18" s="244" cm="1">
        <f t="array" ref="KH18">TRANSPOSE(SUMIFS(Графики!$F$7:$F$306,Графики!$D$7:$D$306,DCF!KH$6))</f>
        <v>0</v>
      </c>
      <c r="KI18" s="244" cm="1">
        <f t="array" ref="KI18">TRANSPOSE(SUMIFS(Графики!$F$7:$F$306,Графики!$D$7:$D$306,DCF!KI$6))</f>
        <v>0</v>
      </c>
      <c r="KJ18" s="244" cm="1">
        <f t="array" ref="KJ18">TRANSPOSE(SUMIFS(Графики!$F$7:$F$306,Графики!$D$7:$D$306,DCF!KJ$6))</f>
        <v>0</v>
      </c>
      <c r="KK18" s="244" cm="1">
        <f t="array" ref="KK18">TRANSPOSE(SUMIFS(Графики!$F$7:$F$306,Графики!$D$7:$D$306,DCF!KK$6))</f>
        <v>0</v>
      </c>
      <c r="KL18" s="244" cm="1">
        <f t="array" ref="KL18">TRANSPOSE(SUMIFS(Графики!$F$7:$F$306,Графики!$D$7:$D$306,DCF!KL$6))</f>
        <v>0</v>
      </c>
      <c r="KM18" s="244" cm="1">
        <f t="array" ref="KM18">TRANSPOSE(SUMIFS(Графики!$F$7:$F$306,Графики!$D$7:$D$306,DCF!KM$6))</f>
        <v>0</v>
      </c>
      <c r="KN18" s="244" cm="1">
        <f t="array" ref="KN18">TRANSPOSE(SUMIFS(Графики!$F$7:$F$306,Графики!$D$7:$D$306,DCF!KN$6))</f>
        <v>0</v>
      </c>
      <c r="KO18" s="244" cm="1">
        <f t="array" ref="KO18">TRANSPOSE(SUMIFS(Графики!$F$7:$F$306,Графики!$D$7:$D$306,DCF!KO$6))</f>
        <v>0</v>
      </c>
      <c r="KP18" s="244" cm="1">
        <f t="array" ref="KP18">TRANSPOSE(SUMIFS(Графики!$F$7:$F$306,Графики!$D$7:$D$306,DCF!KP$6))</f>
        <v>0</v>
      </c>
      <c r="KQ18" s="244" cm="1">
        <f t="array" ref="KQ18">TRANSPOSE(SUMIFS(Графики!$F$7:$F$306,Графики!$D$7:$D$306,DCF!KQ$6))</f>
        <v>0</v>
      </c>
    </row>
    <row r="19" spans="2:303" x14ac:dyDescent="0.35">
      <c r="B19" s="129" t="s">
        <v>115</v>
      </c>
      <c r="C19" s="130">
        <f>SUM(D19:KQ19)</f>
        <v>-872152741</v>
      </c>
      <c r="D19" s="131">
        <f>-SUM(D16:D18)</f>
        <v>-15772219.280000001</v>
      </c>
      <c r="E19" s="131">
        <f>-SUM(E16:E18)</f>
        <v>-15772219.280000001</v>
      </c>
      <c r="F19" s="131">
        <f t="shared" ref="F19:BO19" si="337">-SUM(F16:F18)</f>
        <v>-15772219.280000001</v>
      </c>
      <c r="G19" s="131">
        <f t="shared" si="337"/>
        <v>-15772219.280000001</v>
      </c>
      <c r="H19" s="131">
        <f t="shared" si="337"/>
        <v>-15772219.280000001</v>
      </c>
      <c r="I19" s="131">
        <f t="shared" si="337"/>
        <v>-15772219.280000001</v>
      </c>
      <c r="J19" s="131">
        <f t="shared" si="337"/>
        <v>-15772219.280000001</v>
      </c>
      <c r="K19" s="131">
        <f>-SUM(K16:K18)</f>
        <v>-15772219.280000001</v>
      </c>
      <c r="L19" s="131">
        <f t="shared" si="337"/>
        <v>-15772219.280000001</v>
      </c>
      <c r="M19" s="131">
        <f t="shared" si="337"/>
        <v>-15772219.280000001</v>
      </c>
      <c r="N19" s="131">
        <f t="shared" si="337"/>
        <v>-15772219.280000001</v>
      </c>
      <c r="O19" s="131">
        <f t="shared" si="337"/>
        <v>-23658328.919999998</v>
      </c>
      <c r="P19" s="131">
        <f t="shared" si="337"/>
        <v>0</v>
      </c>
      <c r="Q19" s="131">
        <f t="shared" si="337"/>
        <v>0</v>
      </c>
      <c r="R19" s="131">
        <f t="shared" si="337"/>
        <v>0</v>
      </c>
      <c r="S19" s="131">
        <f t="shared" si="337"/>
        <v>0</v>
      </c>
      <c r="T19" s="131">
        <f t="shared" si="337"/>
        <v>0</v>
      </c>
      <c r="U19" s="131">
        <f t="shared" si="337"/>
        <v>0</v>
      </c>
      <c r="V19" s="131">
        <f t="shared" si="337"/>
        <v>0</v>
      </c>
      <c r="W19" s="131">
        <f t="shared" si="337"/>
        <v>-675000000</v>
      </c>
      <c r="X19" s="131">
        <f t="shared" si="337"/>
        <v>0</v>
      </c>
      <c r="Y19" s="131">
        <f t="shared" si="337"/>
        <v>0</v>
      </c>
      <c r="Z19" s="131">
        <f t="shared" si="337"/>
        <v>0</v>
      </c>
      <c r="AA19" s="131">
        <f t="shared" si="337"/>
        <v>0</v>
      </c>
      <c r="AB19" s="131">
        <f t="shared" si="337"/>
        <v>0</v>
      </c>
      <c r="AC19" s="131">
        <f t="shared" si="337"/>
        <v>0</v>
      </c>
      <c r="AD19" s="131">
        <f t="shared" si="337"/>
        <v>0</v>
      </c>
      <c r="AE19" s="131">
        <f t="shared" si="337"/>
        <v>0</v>
      </c>
      <c r="AF19" s="131">
        <f t="shared" si="337"/>
        <v>0</v>
      </c>
      <c r="AG19" s="131">
        <f t="shared" si="337"/>
        <v>0</v>
      </c>
      <c r="AH19" s="131">
        <f t="shared" si="337"/>
        <v>0</v>
      </c>
      <c r="AI19" s="131">
        <f t="shared" si="337"/>
        <v>0</v>
      </c>
      <c r="AJ19" s="131">
        <f t="shared" si="337"/>
        <v>0</v>
      </c>
      <c r="AK19" s="131">
        <f t="shared" si="337"/>
        <v>0</v>
      </c>
      <c r="AL19" s="131">
        <f t="shared" si="337"/>
        <v>0</v>
      </c>
      <c r="AM19" s="131">
        <f t="shared" si="337"/>
        <v>0</v>
      </c>
      <c r="AN19" s="131">
        <f t="shared" si="337"/>
        <v>0</v>
      </c>
      <c r="AO19" s="131">
        <f t="shared" si="337"/>
        <v>0</v>
      </c>
      <c r="AP19" s="131">
        <f t="shared" si="337"/>
        <v>0</v>
      </c>
      <c r="AQ19" s="131">
        <f t="shared" si="337"/>
        <v>0</v>
      </c>
      <c r="AR19" s="131">
        <f t="shared" si="337"/>
        <v>0</v>
      </c>
      <c r="AS19" s="131">
        <f t="shared" si="337"/>
        <v>0</v>
      </c>
      <c r="AT19" s="131">
        <f t="shared" si="337"/>
        <v>0</v>
      </c>
      <c r="AU19" s="131">
        <f t="shared" si="337"/>
        <v>0</v>
      </c>
      <c r="AV19" s="131">
        <f t="shared" si="337"/>
        <v>0</v>
      </c>
      <c r="AW19" s="131">
        <f t="shared" si="337"/>
        <v>0</v>
      </c>
      <c r="AX19" s="131">
        <f t="shared" si="337"/>
        <v>0</v>
      </c>
      <c r="AY19" s="131">
        <f t="shared" si="337"/>
        <v>0</v>
      </c>
      <c r="AZ19" s="131">
        <f t="shared" si="337"/>
        <v>0</v>
      </c>
      <c r="BA19" s="131">
        <f t="shared" si="337"/>
        <v>0</v>
      </c>
      <c r="BB19" s="131">
        <f t="shared" si="337"/>
        <v>0</v>
      </c>
      <c r="BC19" s="131">
        <f t="shared" si="337"/>
        <v>0</v>
      </c>
      <c r="BD19" s="131">
        <f t="shared" si="337"/>
        <v>0</v>
      </c>
      <c r="BE19" s="131">
        <f t="shared" si="337"/>
        <v>0</v>
      </c>
      <c r="BF19" s="131">
        <f t="shared" si="337"/>
        <v>0</v>
      </c>
      <c r="BG19" s="131">
        <f t="shared" si="337"/>
        <v>0</v>
      </c>
      <c r="BH19" s="131">
        <f t="shared" si="337"/>
        <v>0</v>
      </c>
      <c r="BI19" s="131">
        <f t="shared" si="337"/>
        <v>0</v>
      </c>
      <c r="BJ19" s="131">
        <f t="shared" si="337"/>
        <v>0</v>
      </c>
      <c r="BK19" s="131">
        <f t="shared" si="337"/>
        <v>0</v>
      </c>
      <c r="BL19" s="131">
        <f t="shared" si="337"/>
        <v>0</v>
      </c>
      <c r="BM19" s="131">
        <f t="shared" si="337"/>
        <v>0</v>
      </c>
      <c r="BN19" s="131">
        <f t="shared" si="337"/>
        <v>0</v>
      </c>
      <c r="BO19" s="131">
        <f t="shared" si="337"/>
        <v>0</v>
      </c>
      <c r="BP19" s="131">
        <f t="shared" ref="BP19:EA19" si="338">-SUM(BP16:BP18)</f>
        <v>0</v>
      </c>
      <c r="BQ19" s="131">
        <f t="shared" si="338"/>
        <v>0</v>
      </c>
      <c r="BR19" s="131">
        <f t="shared" si="338"/>
        <v>0</v>
      </c>
      <c r="BS19" s="131">
        <f t="shared" si="338"/>
        <v>0</v>
      </c>
      <c r="BT19" s="131">
        <f t="shared" si="338"/>
        <v>0</v>
      </c>
      <c r="BU19" s="131">
        <f t="shared" si="338"/>
        <v>0</v>
      </c>
      <c r="BV19" s="131">
        <f t="shared" si="338"/>
        <v>0</v>
      </c>
      <c r="BW19" s="131">
        <f t="shared" si="338"/>
        <v>0</v>
      </c>
      <c r="BX19" s="131">
        <f t="shared" si="338"/>
        <v>0</v>
      </c>
      <c r="BY19" s="131">
        <f t="shared" si="338"/>
        <v>0</v>
      </c>
      <c r="BZ19" s="131">
        <f t="shared" si="338"/>
        <v>0</v>
      </c>
      <c r="CA19" s="131">
        <f t="shared" si="338"/>
        <v>0</v>
      </c>
      <c r="CB19" s="131">
        <f t="shared" si="338"/>
        <v>0</v>
      </c>
      <c r="CC19" s="131">
        <f t="shared" si="338"/>
        <v>0</v>
      </c>
      <c r="CD19" s="131">
        <f t="shared" si="338"/>
        <v>0</v>
      </c>
      <c r="CE19" s="131">
        <f t="shared" si="338"/>
        <v>0</v>
      </c>
      <c r="CF19" s="131">
        <f t="shared" si="338"/>
        <v>0</v>
      </c>
      <c r="CG19" s="131">
        <f t="shared" si="338"/>
        <v>0</v>
      </c>
      <c r="CH19" s="131">
        <f t="shared" si="338"/>
        <v>0</v>
      </c>
      <c r="CI19" s="131">
        <f t="shared" si="338"/>
        <v>0</v>
      </c>
      <c r="CJ19" s="131">
        <f t="shared" si="338"/>
        <v>0</v>
      </c>
      <c r="CK19" s="131">
        <f t="shared" si="338"/>
        <v>0</v>
      </c>
      <c r="CL19" s="131">
        <f t="shared" si="338"/>
        <v>0</v>
      </c>
      <c r="CM19" s="131">
        <f t="shared" si="338"/>
        <v>0</v>
      </c>
      <c r="CN19" s="131">
        <f t="shared" si="338"/>
        <v>0</v>
      </c>
      <c r="CO19" s="131">
        <f t="shared" si="338"/>
        <v>0</v>
      </c>
      <c r="CP19" s="131">
        <f t="shared" si="338"/>
        <v>0</v>
      </c>
      <c r="CQ19" s="131">
        <f t="shared" si="338"/>
        <v>0</v>
      </c>
      <c r="CR19" s="131">
        <f t="shared" si="338"/>
        <v>0</v>
      </c>
      <c r="CS19" s="131">
        <f t="shared" si="338"/>
        <v>0</v>
      </c>
      <c r="CT19" s="131">
        <f t="shared" si="338"/>
        <v>0</v>
      </c>
      <c r="CU19" s="131">
        <f t="shared" si="338"/>
        <v>0</v>
      </c>
      <c r="CV19" s="131">
        <f t="shared" si="338"/>
        <v>0</v>
      </c>
      <c r="CW19" s="131">
        <f t="shared" si="338"/>
        <v>0</v>
      </c>
      <c r="CX19" s="131">
        <f t="shared" si="338"/>
        <v>0</v>
      </c>
      <c r="CY19" s="131">
        <f t="shared" si="338"/>
        <v>0</v>
      </c>
      <c r="CZ19" s="131">
        <f t="shared" si="338"/>
        <v>0</v>
      </c>
      <c r="DA19" s="131">
        <f t="shared" si="338"/>
        <v>0</v>
      </c>
      <c r="DB19" s="131">
        <f t="shared" si="338"/>
        <v>0</v>
      </c>
      <c r="DC19" s="131">
        <f t="shared" si="338"/>
        <v>0</v>
      </c>
      <c r="DD19" s="131">
        <f t="shared" si="338"/>
        <v>0</v>
      </c>
      <c r="DE19" s="131">
        <f t="shared" si="338"/>
        <v>0</v>
      </c>
      <c r="DF19" s="131">
        <f t="shared" si="338"/>
        <v>0</v>
      </c>
      <c r="DG19" s="131">
        <f t="shared" si="338"/>
        <v>0</v>
      </c>
      <c r="DH19" s="131">
        <f t="shared" si="338"/>
        <v>0</v>
      </c>
      <c r="DI19" s="131">
        <f t="shared" si="338"/>
        <v>0</v>
      </c>
      <c r="DJ19" s="131">
        <f t="shared" si="338"/>
        <v>0</v>
      </c>
      <c r="DK19" s="131">
        <f t="shared" si="338"/>
        <v>0</v>
      </c>
      <c r="DL19" s="131">
        <f t="shared" si="338"/>
        <v>0</v>
      </c>
      <c r="DM19" s="131">
        <f t="shared" si="338"/>
        <v>0</v>
      </c>
      <c r="DN19" s="131">
        <f t="shared" si="338"/>
        <v>0</v>
      </c>
      <c r="DO19" s="131">
        <f t="shared" si="338"/>
        <v>0</v>
      </c>
      <c r="DP19" s="131">
        <f t="shared" si="338"/>
        <v>0</v>
      </c>
      <c r="DQ19" s="131">
        <f t="shared" si="338"/>
        <v>0</v>
      </c>
      <c r="DR19" s="131">
        <f t="shared" si="338"/>
        <v>0</v>
      </c>
      <c r="DS19" s="131">
        <f t="shared" si="338"/>
        <v>0</v>
      </c>
      <c r="DT19" s="131">
        <f t="shared" si="338"/>
        <v>0</v>
      </c>
      <c r="DU19" s="131">
        <f t="shared" si="338"/>
        <v>0</v>
      </c>
      <c r="DV19" s="131">
        <f t="shared" si="338"/>
        <v>0</v>
      </c>
      <c r="DW19" s="131">
        <f t="shared" si="338"/>
        <v>0</v>
      </c>
      <c r="DX19" s="131">
        <f t="shared" si="338"/>
        <v>0</v>
      </c>
      <c r="DY19" s="131">
        <f t="shared" si="338"/>
        <v>0</v>
      </c>
      <c r="DZ19" s="131">
        <f t="shared" si="338"/>
        <v>0</v>
      </c>
      <c r="EA19" s="131">
        <f t="shared" si="338"/>
        <v>0</v>
      </c>
      <c r="EB19" s="131">
        <f t="shared" ref="EB19:GM19" si="339">-SUM(EB16:EB18)</f>
        <v>0</v>
      </c>
      <c r="EC19" s="131">
        <f t="shared" si="339"/>
        <v>0</v>
      </c>
      <c r="ED19" s="131">
        <f t="shared" si="339"/>
        <v>0</v>
      </c>
      <c r="EE19" s="131">
        <f t="shared" si="339"/>
        <v>0</v>
      </c>
      <c r="EF19" s="131">
        <f t="shared" si="339"/>
        <v>0</v>
      </c>
      <c r="EG19" s="131">
        <f t="shared" si="339"/>
        <v>0</v>
      </c>
      <c r="EH19" s="131">
        <f t="shared" si="339"/>
        <v>0</v>
      </c>
      <c r="EI19" s="131">
        <f t="shared" si="339"/>
        <v>0</v>
      </c>
      <c r="EJ19" s="131">
        <f t="shared" si="339"/>
        <v>0</v>
      </c>
      <c r="EK19" s="131">
        <f t="shared" si="339"/>
        <v>0</v>
      </c>
      <c r="EL19" s="131">
        <f t="shared" si="339"/>
        <v>0</v>
      </c>
      <c r="EM19" s="131">
        <f t="shared" si="339"/>
        <v>0</v>
      </c>
      <c r="EN19" s="131">
        <f t="shared" si="339"/>
        <v>0</v>
      </c>
      <c r="EO19" s="131">
        <f t="shared" si="339"/>
        <v>0</v>
      </c>
      <c r="EP19" s="131">
        <f t="shared" si="339"/>
        <v>0</v>
      </c>
      <c r="EQ19" s="131">
        <f t="shared" si="339"/>
        <v>0</v>
      </c>
      <c r="ER19" s="131">
        <f t="shared" si="339"/>
        <v>0</v>
      </c>
      <c r="ES19" s="131">
        <f t="shared" si="339"/>
        <v>0</v>
      </c>
      <c r="ET19" s="131">
        <f t="shared" si="339"/>
        <v>0</v>
      </c>
      <c r="EU19" s="131">
        <f t="shared" si="339"/>
        <v>0</v>
      </c>
      <c r="EV19" s="131">
        <f t="shared" si="339"/>
        <v>0</v>
      </c>
      <c r="EW19" s="131">
        <f t="shared" si="339"/>
        <v>0</v>
      </c>
      <c r="EX19" s="131">
        <f t="shared" si="339"/>
        <v>0</v>
      </c>
      <c r="EY19" s="131">
        <f t="shared" si="339"/>
        <v>0</v>
      </c>
      <c r="EZ19" s="131">
        <f t="shared" si="339"/>
        <v>0</v>
      </c>
      <c r="FA19" s="131">
        <f t="shared" si="339"/>
        <v>0</v>
      </c>
      <c r="FB19" s="131">
        <f t="shared" si="339"/>
        <v>0</v>
      </c>
      <c r="FC19" s="131">
        <f t="shared" si="339"/>
        <v>0</v>
      </c>
      <c r="FD19" s="131">
        <f t="shared" si="339"/>
        <v>0</v>
      </c>
      <c r="FE19" s="131">
        <f t="shared" si="339"/>
        <v>0</v>
      </c>
      <c r="FF19" s="131">
        <f t="shared" si="339"/>
        <v>0</v>
      </c>
      <c r="FG19" s="131">
        <f t="shared" si="339"/>
        <v>0</v>
      </c>
      <c r="FH19" s="131">
        <f t="shared" si="339"/>
        <v>0</v>
      </c>
      <c r="FI19" s="131">
        <f t="shared" si="339"/>
        <v>0</v>
      </c>
      <c r="FJ19" s="131">
        <f t="shared" si="339"/>
        <v>0</v>
      </c>
      <c r="FK19" s="131">
        <f t="shared" si="339"/>
        <v>0</v>
      </c>
      <c r="FL19" s="131">
        <f t="shared" si="339"/>
        <v>0</v>
      </c>
      <c r="FM19" s="131">
        <f t="shared" si="339"/>
        <v>0</v>
      </c>
      <c r="FN19" s="131">
        <f t="shared" si="339"/>
        <v>0</v>
      </c>
      <c r="FO19" s="131">
        <f t="shared" si="339"/>
        <v>0</v>
      </c>
      <c r="FP19" s="131">
        <f t="shared" si="339"/>
        <v>0</v>
      </c>
      <c r="FQ19" s="131">
        <f t="shared" si="339"/>
        <v>0</v>
      </c>
      <c r="FR19" s="131">
        <f t="shared" si="339"/>
        <v>0</v>
      </c>
      <c r="FS19" s="131">
        <f t="shared" si="339"/>
        <v>0</v>
      </c>
      <c r="FT19" s="131">
        <f t="shared" si="339"/>
        <v>0</v>
      </c>
      <c r="FU19" s="131">
        <f t="shared" si="339"/>
        <v>0</v>
      </c>
      <c r="FV19" s="131">
        <f t="shared" si="339"/>
        <v>0</v>
      </c>
      <c r="FW19" s="131">
        <f t="shared" si="339"/>
        <v>0</v>
      </c>
      <c r="FX19" s="131">
        <f t="shared" si="339"/>
        <v>0</v>
      </c>
      <c r="FY19" s="131">
        <f t="shared" si="339"/>
        <v>0</v>
      </c>
      <c r="FZ19" s="131">
        <f t="shared" si="339"/>
        <v>0</v>
      </c>
      <c r="GA19" s="131">
        <f t="shared" si="339"/>
        <v>0</v>
      </c>
      <c r="GB19" s="131">
        <f t="shared" si="339"/>
        <v>0</v>
      </c>
      <c r="GC19" s="131">
        <f t="shared" si="339"/>
        <v>0</v>
      </c>
      <c r="GD19" s="131">
        <f t="shared" si="339"/>
        <v>0</v>
      </c>
      <c r="GE19" s="131">
        <f t="shared" si="339"/>
        <v>0</v>
      </c>
      <c r="GF19" s="131">
        <f t="shared" si="339"/>
        <v>0</v>
      </c>
      <c r="GG19" s="131">
        <f t="shared" si="339"/>
        <v>0</v>
      </c>
      <c r="GH19" s="131">
        <f t="shared" si="339"/>
        <v>0</v>
      </c>
      <c r="GI19" s="131">
        <f t="shared" si="339"/>
        <v>0</v>
      </c>
      <c r="GJ19" s="131">
        <f t="shared" si="339"/>
        <v>0</v>
      </c>
      <c r="GK19" s="131">
        <f t="shared" si="339"/>
        <v>0</v>
      </c>
      <c r="GL19" s="131">
        <f t="shared" si="339"/>
        <v>0</v>
      </c>
      <c r="GM19" s="131">
        <f t="shared" si="339"/>
        <v>0</v>
      </c>
      <c r="GN19" s="131">
        <f t="shared" ref="GN19:IY19" si="340">-SUM(GN16:GN18)</f>
        <v>0</v>
      </c>
      <c r="GO19" s="131">
        <f t="shared" si="340"/>
        <v>0</v>
      </c>
      <c r="GP19" s="131">
        <f t="shared" si="340"/>
        <v>0</v>
      </c>
      <c r="GQ19" s="131">
        <f t="shared" si="340"/>
        <v>0</v>
      </c>
      <c r="GR19" s="131">
        <f t="shared" si="340"/>
        <v>0</v>
      </c>
      <c r="GS19" s="131">
        <f t="shared" si="340"/>
        <v>0</v>
      </c>
      <c r="GT19" s="131">
        <f t="shared" si="340"/>
        <v>0</v>
      </c>
      <c r="GU19" s="131">
        <f t="shared" si="340"/>
        <v>0</v>
      </c>
      <c r="GV19" s="131">
        <f t="shared" si="340"/>
        <v>0</v>
      </c>
      <c r="GW19" s="131">
        <f t="shared" si="340"/>
        <v>0</v>
      </c>
      <c r="GX19" s="131">
        <f t="shared" si="340"/>
        <v>0</v>
      </c>
      <c r="GY19" s="131">
        <f t="shared" si="340"/>
        <v>0</v>
      </c>
      <c r="GZ19" s="131">
        <f t="shared" si="340"/>
        <v>0</v>
      </c>
      <c r="HA19" s="131">
        <f t="shared" si="340"/>
        <v>0</v>
      </c>
      <c r="HB19" s="131">
        <f t="shared" si="340"/>
        <v>0</v>
      </c>
      <c r="HC19" s="131">
        <f t="shared" si="340"/>
        <v>0</v>
      </c>
      <c r="HD19" s="131">
        <f t="shared" si="340"/>
        <v>0</v>
      </c>
      <c r="HE19" s="131">
        <f t="shared" si="340"/>
        <v>0</v>
      </c>
      <c r="HF19" s="131">
        <f t="shared" si="340"/>
        <v>0</v>
      </c>
      <c r="HG19" s="131">
        <f t="shared" si="340"/>
        <v>0</v>
      </c>
      <c r="HH19" s="131">
        <f t="shared" si="340"/>
        <v>0</v>
      </c>
      <c r="HI19" s="131">
        <f t="shared" si="340"/>
        <v>0</v>
      </c>
      <c r="HJ19" s="131">
        <f t="shared" si="340"/>
        <v>0</v>
      </c>
      <c r="HK19" s="131">
        <f t="shared" si="340"/>
        <v>0</v>
      </c>
      <c r="HL19" s="131">
        <f t="shared" si="340"/>
        <v>0</v>
      </c>
      <c r="HM19" s="131">
        <f t="shared" si="340"/>
        <v>0</v>
      </c>
      <c r="HN19" s="131">
        <f t="shared" si="340"/>
        <v>0</v>
      </c>
      <c r="HO19" s="131">
        <f t="shared" si="340"/>
        <v>0</v>
      </c>
      <c r="HP19" s="131">
        <f t="shared" si="340"/>
        <v>0</v>
      </c>
      <c r="HQ19" s="131">
        <f t="shared" si="340"/>
        <v>0</v>
      </c>
      <c r="HR19" s="131">
        <f t="shared" si="340"/>
        <v>0</v>
      </c>
      <c r="HS19" s="131">
        <f t="shared" si="340"/>
        <v>0</v>
      </c>
      <c r="HT19" s="131">
        <f t="shared" si="340"/>
        <v>0</v>
      </c>
      <c r="HU19" s="131">
        <f t="shared" si="340"/>
        <v>0</v>
      </c>
      <c r="HV19" s="131">
        <f t="shared" si="340"/>
        <v>0</v>
      </c>
      <c r="HW19" s="131">
        <f t="shared" si="340"/>
        <v>0</v>
      </c>
      <c r="HX19" s="131">
        <f t="shared" si="340"/>
        <v>0</v>
      </c>
      <c r="HY19" s="131">
        <f t="shared" si="340"/>
        <v>0</v>
      </c>
      <c r="HZ19" s="131">
        <f t="shared" si="340"/>
        <v>0</v>
      </c>
      <c r="IA19" s="131">
        <f t="shared" si="340"/>
        <v>0</v>
      </c>
      <c r="IB19" s="131">
        <f t="shared" si="340"/>
        <v>0</v>
      </c>
      <c r="IC19" s="131">
        <f t="shared" si="340"/>
        <v>0</v>
      </c>
      <c r="ID19" s="131">
        <f t="shared" si="340"/>
        <v>0</v>
      </c>
      <c r="IE19" s="131">
        <f t="shared" si="340"/>
        <v>0</v>
      </c>
      <c r="IF19" s="131">
        <f t="shared" si="340"/>
        <v>0</v>
      </c>
      <c r="IG19" s="131">
        <f t="shared" si="340"/>
        <v>0</v>
      </c>
      <c r="IH19" s="131">
        <f t="shared" si="340"/>
        <v>0</v>
      </c>
      <c r="II19" s="131">
        <f t="shared" si="340"/>
        <v>0</v>
      </c>
      <c r="IJ19" s="131">
        <f t="shared" si="340"/>
        <v>0</v>
      </c>
      <c r="IK19" s="131">
        <f t="shared" si="340"/>
        <v>0</v>
      </c>
      <c r="IL19" s="131">
        <f t="shared" si="340"/>
        <v>0</v>
      </c>
      <c r="IM19" s="131">
        <f t="shared" si="340"/>
        <v>0</v>
      </c>
      <c r="IN19" s="131">
        <f t="shared" si="340"/>
        <v>0</v>
      </c>
      <c r="IO19" s="131">
        <f t="shared" si="340"/>
        <v>0</v>
      </c>
      <c r="IP19" s="131">
        <f t="shared" si="340"/>
        <v>0</v>
      </c>
      <c r="IQ19" s="131">
        <f t="shared" si="340"/>
        <v>0</v>
      </c>
      <c r="IR19" s="131">
        <f t="shared" si="340"/>
        <v>0</v>
      </c>
      <c r="IS19" s="131">
        <f t="shared" si="340"/>
        <v>0</v>
      </c>
      <c r="IT19" s="131">
        <f t="shared" si="340"/>
        <v>0</v>
      </c>
      <c r="IU19" s="131">
        <f t="shared" si="340"/>
        <v>0</v>
      </c>
      <c r="IV19" s="131">
        <f t="shared" si="340"/>
        <v>0</v>
      </c>
      <c r="IW19" s="131">
        <f t="shared" si="340"/>
        <v>0</v>
      </c>
      <c r="IX19" s="131">
        <f t="shared" si="340"/>
        <v>0</v>
      </c>
      <c r="IY19" s="131">
        <f t="shared" si="340"/>
        <v>0</v>
      </c>
      <c r="IZ19" s="131">
        <f t="shared" ref="IZ19:KQ19" si="341">-SUM(IZ16:IZ18)</f>
        <v>0</v>
      </c>
      <c r="JA19" s="131">
        <f t="shared" si="341"/>
        <v>0</v>
      </c>
      <c r="JB19" s="131">
        <f t="shared" si="341"/>
        <v>0</v>
      </c>
      <c r="JC19" s="131">
        <f t="shared" si="341"/>
        <v>0</v>
      </c>
      <c r="JD19" s="131">
        <f t="shared" si="341"/>
        <v>0</v>
      </c>
      <c r="JE19" s="131">
        <f t="shared" si="341"/>
        <v>0</v>
      </c>
      <c r="JF19" s="131">
        <f t="shared" si="341"/>
        <v>0</v>
      </c>
      <c r="JG19" s="131">
        <f t="shared" si="341"/>
        <v>0</v>
      </c>
      <c r="JH19" s="131">
        <f t="shared" si="341"/>
        <v>0</v>
      </c>
      <c r="JI19" s="131">
        <f t="shared" si="341"/>
        <v>0</v>
      </c>
      <c r="JJ19" s="131">
        <f t="shared" si="341"/>
        <v>0</v>
      </c>
      <c r="JK19" s="131">
        <f t="shared" si="341"/>
        <v>0</v>
      </c>
      <c r="JL19" s="131">
        <f t="shared" si="341"/>
        <v>0</v>
      </c>
      <c r="JM19" s="131">
        <f t="shared" si="341"/>
        <v>0</v>
      </c>
      <c r="JN19" s="131">
        <f t="shared" si="341"/>
        <v>0</v>
      </c>
      <c r="JO19" s="131">
        <f t="shared" si="341"/>
        <v>0</v>
      </c>
      <c r="JP19" s="131">
        <f t="shared" si="341"/>
        <v>0</v>
      </c>
      <c r="JQ19" s="131">
        <f t="shared" si="341"/>
        <v>0</v>
      </c>
      <c r="JR19" s="131">
        <f t="shared" si="341"/>
        <v>0</v>
      </c>
      <c r="JS19" s="131">
        <f t="shared" si="341"/>
        <v>0</v>
      </c>
      <c r="JT19" s="131">
        <f t="shared" si="341"/>
        <v>0</v>
      </c>
      <c r="JU19" s="131">
        <f t="shared" si="341"/>
        <v>0</v>
      </c>
      <c r="JV19" s="131">
        <f t="shared" si="341"/>
        <v>0</v>
      </c>
      <c r="JW19" s="131">
        <f t="shared" si="341"/>
        <v>0</v>
      </c>
      <c r="JX19" s="131">
        <f t="shared" si="341"/>
        <v>0</v>
      </c>
      <c r="JY19" s="131">
        <f t="shared" si="341"/>
        <v>0</v>
      </c>
      <c r="JZ19" s="131">
        <f t="shared" si="341"/>
        <v>0</v>
      </c>
      <c r="KA19" s="131">
        <f t="shared" si="341"/>
        <v>0</v>
      </c>
      <c r="KB19" s="131">
        <f t="shared" si="341"/>
        <v>0</v>
      </c>
      <c r="KC19" s="131">
        <f t="shared" si="341"/>
        <v>0</v>
      </c>
      <c r="KD19" s="131">
        <f t="shared" si="341"/>
        <v>0</v>
      </c>
      <c r="KE19" s="131">
        <f t="shared" si="341"/>
        <v>0</v>
      </c>
      <c r="KF19" s="131">
        <f t="shared" si="341"/>
        <v>0</v>
      </c>
      <c r="KG19" s="131">
        <f t="shared" si="341"/>
        <v>0</v>
      </c>
      <c r="KH19" s="131">
        <f t="shared" si="341"/>
        <v>0</v>
      </c>
      <c r="KI19" s="131">
        <f t="shared" si="341"/>
        <v>0</v>
      </c>
      <c r="KJ19" s="131">
        <f t="shared" si="341"/>
        <v>0</v>
      </c>
      <c r="KK19" s="131">
        <f t="shared" si="341"/>
        <v>0</v>
      </c>
      <c r="KL19" s="131">
        <f t="shared" si="341"/>
        <v>0</v>
      </c>
      <c r="KM19" s="131">
        <f t="shared" si="341"/>
        <v>0</v>
      </c>
      <c r="KN19" s="131">
        <f t="shared" si="341"/>
        <v>0</v>
      </c>
      <c r="KO19" s="131">
        <f t="shared" si="341"/>
        <v>0</v>
      </c>
      <c r="KP19" s="131">
        <f t="shared" si="341"/>
        <v>0</v>
      </c>
      <c r="KQ19" s="131">
        <f t="shared" si="341"/>
        <v>0</v>
      </c>
    </row>
    <row r="20" spans="2:303" x14ac:dyDescent="0.35"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</row>
    <row r="21" spans="2:303" x14ac:dyDescent="0.35">
      <c r="B21" s="134" t="s">
        <v>116</v>
      </c>
      <c r="C21" s="135">
        <f>SUM(D21:KQ21)</f>
        <v>2566322391.3627601</v>
      </c>
      <c r="D21" s="136">
        <f t="shared" ref="D21:BO21" si="342">D15+D19</f>
        <v>60481718.284000009</v>
      </c>
      <c r="E21" s="136">
        <f t="shared" si="342"/>
        <v>61137968.284000009</v>
      </c>
      <c r="F21" s="136">
        <f t="shared" si="342"/>
        <v>61794218.284000009</v>
      </c>
      <c r="G21" s="136">
        <f t="shared" si="342"/>
        <v>4117327.6749999821</v>
      </c>
      <c r="H21" s="136">
        <f t="shared" si="342"/>
        <v>-18898695.26982753</v>
      </c>
      <c r="I21" s="136">
        <f t="shared" si="342"/>
        <v>16143127.674999982</v>
      </c>
      <c r="J21" s="136">
        <f t="shared" si="342"/>
        <v>16799377.674999982</v>
      </c>
      <c r="K21" s="136">
        <f t="shared" si="342"/>
        <v>-75263085.878827497</v>
      </c>
      <c r="L21" s="136">
        <f t="shared" si="342"/>
        <v>-29507962.933999985</v>
      </c>
      <c r="M21" s="136">
        <f t="shared" si="342"/>
        <v>-28851712.933999985</v>
      </c>
      <c r="N21" s="136">
        <f t="shared" si="342"/>
        <v>-190897155.44696549</v>
      </c>
      <c r="O21" s="136">
        <f t="shared" si="342"/>
        <v>-35425322.573999986</v>
      </c>
      <c r="P21" s="136">
        <f t="shared" si="342"/>
        <v>-11110743.653999984</v>
      </c>
      <c r="Q21" s="136">
        <f t="shared" si="342"/>
        <v>-34126766.598827496</v>
      </c>
      <c r="R21" s="136">
        <f t="shared" si="342"/>
        <v>47581568.833200097</v>
      </c>
      <c r="S21" s="136">
        <f t="shared" si="342"/>
        <v>48237818.833200097</v>
      </c>
      <c r="T21" s="136">
        <f t="shared" si="342"/>
        <v>14508495.888372585</v>
      </c>
      <c r="U21" s="136">
        <f t="shared" si="342"/>
        <v>49550318.833200097</v>
      </c>
      <c r="V21" s="136">
        <f t="shared" si="342"/>
        <v>466239718.83319998</v>
      </c>
      <c r="W21" s="136">
        <f t="shared" si="342"/>
        <v>-421211544.17241275</v>
      </c>
      <c r="X21" s="136">
        <f t="shared" si="342"/>
        <v>769572049.99999988</v>
      </c>
      <c r="Y21" s="136">
        <f t="shared" si="342"/>
        <v>769572049.99999988</v>
      </c>
      <c r="Z21" s="136">
        <f t="shared" si="342"/>
        <v>256307571.72744787</v>
      </c>
      <c r="AA21" s="136">
        <f t="shared" si="342"/>
        <v>769572049.99999988</v>
      </c>
      <c r="AB21" s="136">
        <f t="shared" si="342"/>
        <v>0</v>
      </c>
      <c r="AC21" s="136">
        <f t="shared" si="342"/>
        <v>0</v>
      </c>
      <c r="AD21" s="136">
        <f t="shared" si="342"/>
        <v>0</v>
      </c>
      <c r="AE21" s="136">
        <f t="shared" si="342"/>
        <v>0</v>
      </c>
      <c r="AF21" s="136">
        <f t="shared" si="342"/>
        <v>0</v>
      </c>
      <c r="AG21" s="136">
        <f t="shared" si="342"/>
        <v>0</v>
      </c>
      <c r="AH21" s="136">
        <f t="shared" si="342"/>
        <v>0</v>
      </c>
      <c r="AI21" s="136">
        <f t="shared" si="342"/>
        <v>0</v>
      </c>
      <c r="AJ21" s="136">
        <f t="shared" si="342"/>
        <v>0</v>
      </c>
      <c r="AK21" s="136">
        <f t="shared" si="342"/>
        <v>0</v>
      </c>
      <c r="AL21" s="136">
        <f t="shared" si="342"/>
        <v>0</v>
      </c>
      <c r="AM21" s="136">
        <f t="shared" si="342"/>
        <v>0</v>
      </c>
      <c r="AN21" s="136">
        <f t="shared" si="342"/>
        <v>0</v>
      </c>
      <c r="AO21" s="136">
        <f t="shared" si="342"/>
        <v>0</v>
      </c>
      <c r="AP21" s="136">
        <f t="shared" si="342"/>
        <v>0</v>
      </c>
      <c r="AQ21" s="136">
        <f t="shared" si="342"/>
        <v>0</v>
      </c>
      <c r="AR21" s="136">
        <f t="shared" si="342"/>
        <v>0</v>
      </c>
      <c r="AS21" s="136">
        <f t="shared" si="342"/>
        <v>0</v>
      </c>
      <c r="AT21" s="136">
        <f t="shared" si="342"/>
        <v>0</v>
      </c>
      <c r="AU21" s="136">
        <f t="shared" si="342"/>
        <v>0</v>
      </c>
      <c r="AV21" s="136">
        <f t="shared" si="342"/>
        <v>0</v>
      </c>
      <c r="AW21" s="136">
        <f t="shared" si="342"/>
        <v>0</v>
      </c>
      <c r="AX21" s="136">
        <f t="shared" si="342"/>
        <v>0</v>
      </c>
      <c r="AY21" s="136">
        <f t="shared" si="342"/>
        <v>0</v>
      </c>
      <c r="AZ21" s="136">
        <f t="shared" si="342"/>
        <v>0</v>
      </c>
      <c r="BA21" s="136">
        <f t="shared" si="342"/>
        <v>0</v>
      </c>
      <c r="BB21" s="136">
        <f t="shared" si="342"/>
        <v>0</v>
      </c>
      <c r="BC21" s="136">
        <f t="shared" si="342"/>
        <v>0</v>
      </c>
      <c r="BD21" s="136">
        <f t="shared" si="342"/>
        <v>0</v>
      </c>
      <c r="BE21" s="136">
        <f t="shared" si="342"/>
        <v>0</v>
      </c>
      <c r="BF21" s="136">
        <f t="shared" si="342"/>
        <v>0</v>
      </c>
      <c r="BG21" s="136">
        <f t="shared" si="342"/>
        <v>0</v>
      </c>
      <c r="BH21" s="136">
        <f t="shared" si="342"/>
        <v>0</v>
      </c>
      <c r="BI21" s="136">
        <f t="shared" si="342"/>
        <v>0</v>
      </c>
      <c r="BJ21" s="136">
        <f t="shared" si="342"/>
        <v>0</v>
      </c>
      <c r="BK21" s="136">
        <f t="shared" si="342"/>
        <v>0</v>
      </c>
      <c r="BL21" s="136">
        <f t="shared" si="342"/>
        <v>0</v>
      </c>
      <c r="BM21" s="136">
        <f t="shared" si="342"/>
        <v>0</v>
      </c>
      <c r="BN21" s="136">
        <f t="shared" si="342"/>
        <v>0</v>
      </c>
      <c r="BO21" s="136">
        <f t="shared" si="342"/>
        <v>0</v>
      </c>
      <c r="BP21" s="136">
        <f t="shared" ref="BP21:EA21" si="343">BP15+BP19</f>
        <v>0</v>
      </c>
      <c r="BQ21" s="136">
        <f t="shared" si="343"/>
        <v>0</v>
      </c>
      <c r="BR21" s="136">
        <f t="shared" si="343"/>
        <v>0</v>
      </c>
      <c r="BS21" s="136">
        <f t="shared" si="343"/>
        <v>0</v>
      </c>
      <c r="BT21" s="136">
        <f t="shared" si="343"/>
        <v>0</v>
      </c>
      <c r="BU21" s="136">
        <f t="shared" si="343"/>
        <v>0</v>
      </c>
      <c r="BV21" s="136">
        <f t="shared" si="343"/>
        <v>0</v>
      </c>
      <c r="BW21" s="136">
        <f>BW15+BW19</f>
        <v>0</v>
      </c>
      <c r="BX21" s="136">
        <f t="shared" si="343"/>
        <v>0</v>
      </c>
      <c r="BY21" s="136">
        <f t="shared" si="343"/>
        <v>0</v>
      </c>
      <c r="BZ21" s="136">
        <f t="shared" si="343"/>
        <v>0</v>
      </c>
      <c r="CA21" s="136">
        <f t="shared" si="343"/>
        <v>0</v>
      </c>
      <c r="CB21" s="136">
        <f t="shared" si="343"/>
        <v>0</v>
      </c>
      <c r="CC21" s="136">
        <f t="shared" si="343"/>
        <v>0</v>
      </c>
      <c r="CD21" s="136">
        <f t="shared" si="343"/>
        <v>0</v>
      </c>
      <c r="CE21" s="136">
        <f t="shared" si="343"/>
        <v>0</v>
      </c>
      <c r="CF21" s="136">
        <f t="shared" si="343"/>
        <v>0</v>
      </c>
      <c r="CG21" s="136">
        <f t="shared" si="343"/>
        <v>0</v>
      </c>
      <c r="CH21" s="136">
        <f t="shared" si="343"/>
        <v>0</v>
      </c>
      <c r="CI21" s="136">
        <f t="shared" si="343"/>
        <v>0</v>
      </c>
      <c r="CJ21" s="136">
        <f t="shared" si="343"/>
        <v>0</v>
      </c>
      <c r="CK21" s="136">
        <f t="shared" si="343"/>
        <v>0</v>
      </c>
      <c r="CL21" s="136">
        <f t="shared" si="343"/>
        <v>0</v>
      </c>
      <c r="CM21" s="136">
        <f t="shared" si="343"/>
        <v>0</v>
      </c>
      <c r="CN21" s="136">
        <f t="shared" si="343"/>
        <v>0</v>
      </c>
      <c r="CO21" s="136">
        <f t="shared" si="343"/>
        <v>0</v>
      </c>
      <c r="CP21" s="136">
        <f t="shared" si="343"/>
        <v>0</v>
      </c>
      <c r="CQ21" s="136">
        <f t="shared" si="343"/>
        <v>0</v>
      </c>
      <c r="CR21" s="136">
        <f t="shared" si="343"/>
        <v>0</v>
      </c>
      <c r="CS21" s="136">
        <f t="shared" si="343"/>
        <v>0</v>
      </c>
      <c r="CT21" s="136">
        <f t="shared" si="343"/>
        <v>0</v>
      </c>
      <c r="CU21" s="136">
        <f t="shared" si="343"/>
        <v>0</v>
      </c>
      <c r="CV21" s="136">
        <f t="shared" si="343"/>
        <v>0</v>
      </c>
      <c r="CW21" s="136">
        <f t="shared" si="343"/>
        <v>0</v>
      </c>
      <c r="CX21" s="136">
        <f t="shared" si="343"/>
        <v>0</v>
      </c>
      <c r="CY21" s="136">
        <f t="shared" si="343"/>
        <v>0</v>
      </c>
      <c r="CZ21" s="136">
        <f t="shared" si="343"/>
        <v>0</v>
      </c>
      <c r="DA21" s="136">
        <f t="shared" si="343"/>
        <v>0</v>
      </c>
      <c r="DB21" s="136">
        <f t="shared" si="343"/>
        <v>0</v>
      </c>
      <c r="DC21" s="136">
        <f t="shared" si="343"/>
        <v>0</v>
      </c>
      <c r="DD21" s="136">
        <f t="shared" si="343"/>
        <v>0</v>
      </c>
      <c r="DE21" s="136">
        <f t="shared" si="343"/>
        <v>0</v>
      </c>
      <c r="DF21" s="136">
        <f t="shared" si="343"/>
        <v>0</v>
      </c>
      <c r="DG21" s="136">
        <f t="shared" si="343"/>
        <v>0</v>
      </c>
      <c r="DH21" s="136">
        <f t="shared" si="343"/>
        <v>0</v>
      </c>
      <c r="DI21" s="136">
        <f t="shared" si="343"/>
        <v>0</v>
      </c>
      <c r="DJ21" s="136">
        <f t="shared" si="343"/>
        <v>0</v>
      </c>
      <c r="DK21" s="136">
        <f t="shared" si="343"/>
        <v>0</v>
      </c>
      <c r="DL21" s="136">
        <f t="shared" si="343"/>
        <v>0</v>
      </c>
      <c r="DM21" s="136">
        <f t="shared" si="343"/>
        <v>0</v>
      </c>
      <c r="DN21" s="136">
        <f t="shared" si="343"/>
        <v>0</v>
      </c>
      <c r="DO21" s="136">
        <f t="shared" si="343"/>
        <v>0</v>
      </c>
      <c r="DP21" s="136">
        <f t="shared" si="343"/>
        <v>0</v>
      </c>
      <c r="DQ21" s="136">
        <f t="shared" si="343"/>
        <v>0</v>
      </c>
      <c r="DR21" s="136">
        <f t="shared" si="343"/>
        <v>0</v>
      </c>
      <c r="DS21" s="136">
        <f t="shared" si="343"/>
        <v>0</v>
      </c>
      <c r="DT21" s="136">
        <f t="shared" si="343"/>
        <v>0</v>
      </c>
      <c r="DU21" s="136">
        <f t="shared" si="343"/>
        <v>0</v>
      </c>
      <c r="DV21" s="136">
        <f t="shared" si="343"/>
        <v>0</v>
      </c>
      <c r="DW21" s="136">
        <f t="shared" si="343"/>
        <v>0</v>
      </c>
      <c r="DX21" s="136">
        <f t="shared" si="343"/>
        <v>0</v>
      </c>
      <c r="DY21" s="136">
        <f t="shared" si="343"/>
        <v>0</v>
      </c>
      <c r="DZ21" s="136">
        <f t="shared" si="343"/>
        <v>0</v>
      </c>
      <c r="EA21" s="136">
        <f t="shared" si="343"/>
        <v>0</v>
      </c>
      <c r="EB21" s="136">
        <f t="shared" ref="EB21:GM21" si="344">EB15+EB19</f>
        <v>0</v>
      </c>
      <c r="EC21" s="136">
        <f t="shared" si="344"/>
        <v>0</v>
      </c>
      <c r="ED21" s="136">
        <f t="shared" si="344"/>
        <v>0</v>
      </c>
      <c r="EE21" s="136">
        <f t="shared" si="344"/>
        <v>0</v>
      </c>
      <c r="EF21" s="136">
        <f t="shared" si="344"/>
        <v>0</v>
      </c>
      <c r="EG21" s="136">
        <f t="shared" si="344"/>
        <v>0</v>
      </c>
      <c r="EH21" s="136">
        <f t="shared" si="344"/>
        <v>0</v>
      </c>
      <c r="EI21" s="136">
        <f t="shared" si="344"/>
        <v>0</v>
      </c>
      <c r="EJ21" s="136">
        <f t="shared" si="344"/>
        <v>0</v>
      </c>
      <c r="EK21" s="136">
        <f t="shared" si="344"/>
        <v>0</v>
      </c>
      <c r="EL21" s="136">
        <f t="shared" si="344"/>
        <v>0</v>
      </c>
      <c r="EM21" s="136">
        <f t="shared" si="344"/>
        <v>0</v>
      </c>
      <c r="EN21" s="136">
        <f t="shared" si="344"/>
        <v>0</v>
      </c>
      <c r="EO21" s="136">
        <f t="shared" si="344"/>
        <v>0</v>
      </c>
      <c r="EP21" s="136">
        <f t="shared" si="344"/>
        <v>0</v>
      </c>
      <c r="EQ21" s="136">
        <f t="shared" si="344"/>
        <v>0</v>
      </c>
      <c r="ER21" s="136">
        <f t="shared" si="344"/>
        <v>0</v>
      </c>
      <c r="ES21" s="136">
        <f t="shared" si="344"/>
        <v>0</v>
      </c>
      <c r="ET21" s="136">
        <f t="shared" si="344"/>
        <v>0</v>
      </c>
      <c r="EU21" s="136">
        <f t="shared" si="344"/>
        <v>0</v>
      </c>
      <c r="EV21" s="136">
        <f t="shared" si="344"/>
        <v>0</v>
      </c>
      <c r="EW21" s="136">
        <f t="shared" si="344"/>
        <v>0</v>
      </c>
      <c r="EX21" s="136">
        <f t="shared" si="344"/>
        <v>0</v>
      </c>
      <c r="EY21" s="136">
        <f t="shared" si="344"/>
        <v>0</v>
      </c>
      <c r="EZ21" s="136">
        <f t="shared" si="344"/>
        <v>0</v>
      </c>
      <c r="FA21" s="136">
        <f t="shared" si="344"/>
        <v>0</v>
      </c>
      <c r="FB21" s="136">
        <f t="shared" si="344"/>
        <v>0</v>
      </c>
      <c r="FC21" s="136">
        <f t="shared" si="344"/>
        <v>0</v>
      </c>
      <c r="FD21" s="136">
        <f t="shared" si="344"/>
        <v>0</v>
      </c>
      <c r="FE21" s="136">
        <f t="shared" si="344"/>
        <v>0</v>
      </c>
      <c r="FF21" s="136">
        <f t="shared" si="344"/>
        <v>0</v>
      </c>
      <c r="FG21" s="136">
        <f t="shared" si="344"/>
        <v>0</v>
      </c>
      <c r="FH21" s="136">
        <f t="shared" si="344"/>
        <v>0</v>
      </c>
      <c r="FI21" s="136">
        <f t="shared" si="344"/>
        <v>0</v>
      </c>
      <c r="FJ21" s="136">
        <f t="shared" si="344"/>
        <v>0</v>
      </c>
      <c r="FK21" s="136">
        <f t="shared" si="344"/>
        <v>0</v>
      </c>
      <c r="FL21" s="136">
        <f t="shared" si="344"/>
        <v>0</v>
      </c>
      <c r="FM21" s="136">
        <f t="shared" si="344"/>
        <v>0</v>
      </c>
      <c r="FN21" s="136">
        <f t="shared" si="344"/>
        <v>0</v>
      </c>
      <c r="FO21" s="136">
        <f t="shared" si="344"/>
        <v>0</v>
      </c>
      <c r="FP21" s="136">
        <f t="shared" si="344"/>
        <v>0</v>
      </c>
      <c r="FQ21" s="136">
        <f t="shared" si="344"/>
        <v>0</v>
      </c>
      <c r="FR21" s="136">
        <f t="shared" si="344"/>
        <v>0</v>
      </c>
      <c r="FS21" s="136">
        <f t="shared" si="344"/>
        <v>0</v>
      </c>
      <c r="FT21" s="136">
        <f t="shared" si="344"/>
        <v>0</v>
      </c>
      <c r="FU21" s="136">
        <f t="shared" si="344"/>
        <v>0</v>
      </c>
      <c r="FV21" s="136">
        <f t="shared" si="344"/>
        <v>0</v>
      </c>
      <c r="FW21" s="136">
        <f t="shared" si="344"/>
        <v>0</v>
      </c>
      <c r="FX21" s="136">
        <f t="shared" si="344"/>
        <v>0</v>
      </c>
      <c r="FY21" s="136">
        <f t="shared" si="344"/>
        <v>0</v>
      </c>
      <c r="FZ21" s="136">
        <f t="shared" si="344"/>
        <v>0</v>
      </c>
      <c r="GA21" s="136">
        <f t="shared" si="344"/>
        <v>0</v>
      </c>
      <c r="GB21" s="136">
        <f t="shared" si="344"/>
        <v>0</v>
      </c>
      <c r="GC21" s="136">
        <f t="shared" si="344"/>
        <v>0</v>
      </c>
      <c r="GD21" s="136">
        <f t="shared" si="344"/>
        <v>0</v>
      </c>
      <c r="GE21" s="136">
        <f t="shared" si="344"/>
        <v>0</v>
      </c>
      <c r="GF21" s="136">
        <f t="shared" si="344"/>
        <v>0</v>
      </c>
      <c r="GG21" s="136">
        <f t="shared" si="344"/>
        <v>0</v>
      </c>
      <c r="GH21" s="136">
        <f t="shared" si="344"/>
        <v>0</v>
      </c>
      <c r="GI21" s="136">
        <f t="shared" si="344"/>
        <v>0</v>
      </c>
      <c r="GJ21" s="136">
        <f t="shared" si="344"/>
        <v>0</v>
      </c>
      <c r="GK21" s="136">
        <f t="shared" si="344"/>
        <v>0</v>
      </c>
      <c r="GL21" s="136">
        <f t="shared" si="344"/>
        <v>0</v>
      </c>
      <c r="GM21" s="136">
        <f t="shared" si="344"/>
        <v>0</v>
      </c>
      <c r="GN21" s="136">
        <f t="shared" ref="GN21:IY21" si="345">GN15+GN19</f>
        <v>0</v>
      </c>
      <c r="GO21" s="136">
        <f t="shared" si="345"/>
        <v>0</v>
      </c>
      <c r="GP21" s="136">
        <f t="shared" si="345"/>
        <v>0</v>
      </c>
      <c r="GQ21" s="136">
        <f t="shared" si="345"/>
        <v>0</v>
      </c>
      <c r="GR21" s="136">
        <f t="shared" si="345"/>
        <v>0</v>
      </c>
      <c r="GS21" s="136">
        <f t="shared" si="345"/>
        <v>0</v>
      </c>
      <c r="GT21" s="136">
        <f t="shared" si="345"/>
        <v>0</v>
      </c>
      <c r="GU21" s="136">
        <f t="shared" si="345"/>
        <v>0</v>
      </c>
      <c r="GV21" s="136">
        <f t="shared" si="345"/>
        <v>0</v>
      </c>
      <c r="GW21" s="136">
        <f t="shared" si="345"/>
        <v>0</v>
      </c>
      <c r="GX21" s="136">
        <f t="shared" si="345"/>
        <v>0</v>
      </c>
      <c r="GY21" s="136">
        <f t="shared" si="345"/>
        <v>0</v>
      </c>
      <c r="GZ21" s="136">
        <f t="shared" si="345"/>
        <v>0</v>
      </c>
      <c r="HA21" s="136">
        <f t="shared" si="345"/>
        <v>0</v>
      </c>
      <c r="HB21" s="136">
        <f t="shared" si="345"/>
        <v>0</v>
      </c>
      <c r="HC21" s="136">
        <f t="shared" si="345"/>
        <v>0</v>
      </c>
      <c r="HD21" s="136">
        <f t="shared" si="345"/>
        <v>0</v>
      </c>
      <c r="HE21" s="136">
        <f t="shared" si="345"/>
        <v>0</v>
      </c>
      <c r="HF21" s="136">
        <f t="shared" si="345"/>
        <v>0</v>
      </c>
      <c r="HG21" s="136">
        <f t="shared" si="345"/>
        <v>0</v>
      </c>
      <c r="HH21" s="136">
        <f t="shared" si="345"/>
        <v>0</v>
      </c>
      <c r="HI21" s="136">
        <f t="shared" si="345"/>
        <v>0</v>
      </c>
      <c r="HJ21" s="136">
        <f t="shared" si="345"/>
        <v>0</v>
      </c>
      <c r="HK21" s="136">
        <f t="shared" si="345"/>
        <v>0</v>
      </c>
      <c r="HL21" s="136">
        <f t="shared" si="345"/>
        <v>0</v>
      </c>
      <c r="HM21" s="136">
        <f t="shared" si="345"/>
        <v>0</v>
      </c>
      <c r="HN21" s="136">
        <f t="shared" si="345"/>
        <v>0</v>
      </c>
      <c r="HO21" s="136">
        <f t="shared" si="345"/>
        <v>0</v>
      </c>
      <c r="HP21" s="136">
        <f t="shared" si="345"/>
        <v>0</v>
      </c>
      <c r="HQ21" s="136">
        <f t="shared" si="345"/>
        <v>0</v>
      </c>
      <c r="HR21" s="136">
        <f t="shared" si="345"/>
        <v>0</v>
      </c>
      <c r="HS21" s="136">
        <f t="shared" si="345"/>
        <v>0</v>
      </c>
      <c r="HT21" s="136">
        <f t="shared" si="345"/>
        <v>0</v>
      </c>
      <c r="HU21" s="136">
        <f t="shared" si="345"/>
        <v>0</v>
      </c>
      <c r="HV21" s="136">
        <f t="shared" si="345"/>
        <v>0</v>
      </c>
      <c r="HW21" s="136">
        <f t="shared" si="345"/>
        <v>0</v>
      </c>
      <c r="HX21" s="136">
        <f t="shared" si="345"/>
        <v>0</v>
      </c>
      <c r="HY21" s="136">
        <f t="shared" si="345"/>
        <v>0</v>
      </c>
      <c r="HZ21" s="136">
        <f t="shared" si="345"/>
        <v>0</v>
      </c>
      <c r="IA21" s="136">
        <f t="shared" si="345"/>
        <v>0</v>
      </c>
      <c r="IB21" s="136">
        <f t="shared" si="345"/>
        <v>0</v>
      </c>
      <c r="IC21" s="136">
        <f t="shared" si="345"/>
        <v>0</v>
      </c>
      <c r="ID21" s="136">
        <f t="shared" si="345"/>
        <v>0</v>
      </c>
      <c r="IE21" s="136">
        <f t="shared" si="345"/>
        <v>0</v>
      </c>
      <c r="IF21" s="136">
        <f t="shared" si="345"/>
        <v>0</v>
      </c>
      <c r="IG21" s="136">
        <f t="shared" si="345"/>
        <v>0</v>
      </c>
      <c r="IH21" s="136">
        <f t="shared" si="345"/>
        <v>0</v>
      </c>
      <c r="II21" s="136">
        <f t="shared" si="345"/>
        <v>0</v>
      </c>
      <c r="IJ21" s="136">
        <f t="shared" si="345"/>
        <v>0</v>
      </c>
      <c r="IK21" s="136">
        <f t="shared" si="345"/>
        <v>0</v>
      </c>
      <c r="IL21" s="136">
        <f t="shared" si="345"/>
        <v>0</v>
      </c>
      <c r="IM21" s="136">
        <f t="shared" si="345"/>
        <v>0</v>
      </c>
      <c r="IN21" s="136">
        <f t="shared" si="345"/>
        <v>0</v>
      </c>
      <c r="IO21" s="136">
        <f t="shared" si="345"/>
        <v>0</v>
      </c>
      <c r="IP21" s="136">
        <f t="shared" si="345"/>
        <v>0</v>
      </c>
      <c r="IQ21" s="136">
        <f t="shared" si="345"/>
        <v>0</v>
      </c>
      <c r="IR21" s="136">
        <f t="shared" si="345"/>
        <v>0</v>
      </c>
      <c r="IS21" s="136">
        <f t="shared" si="345"/>
        <v>0</v>
      </c>
      <c r="IT21" s="136">
        <f t="shared" si="345"/>
        <v>0</v>
      </c>
      <c r="IU21" s="136">
        <f t="shared" si="345"/>
        <v>0</v>
      </c>
      <c r="IV21" s="136">
        <f t="shared" si="345"/>
        <v>0</v>
      </c>
      <c r="IW21" s="136">
        <f t="shared" si="345"/>
        <v>0</v>
      </c>
      <c r="IX21" s="136">
        <f t="shared" si="345"/>
        <v>0</v>
      </c>
      <c r="IY21" s="136">
        <f t="shared" si="345"/>
        <v>0</v>
      </c>
      <c r="IZ21" s="136">
        <f t="shared" ref="IZ21:KQ21" si="346">IZ15+IZ19</f>
        <v>0</v>
      </c>
      <c r="JA21" s="136">
        <f t="shared" si="346"/>
        <v>0</v>
      </c>
      <c r="JB21" s="136">
        <f t="shared" si="346"/>
        <v>0</v>
      </c>
      <c r="JC21" s="136">
        <f t="shared" si="346"/>
        <v>0</v>
      </c>
      <c r="JD21" s="136">
        <f t="shared" si="346"/>
        <v>0</v>
      </c>
      <c r="JE21" s="136">
        <f t="shared" si="346"/>
        <v>0</v>
      </c>
      <c r="JF21" s="136">
        <f t="shared" si="346"/>
        <v>0</v>
      </c>
      <c r="JG21" s="136">
        <f t="shared" si="346"/>
        <v>0</v>
      </c>
      <c r="JH21" s="136">
        <f t="shared" si="346"/>
        <v>0</v>
      </c>
      <c r="JI21" s="136">
        <f t="shared" si="346"/>
        <v>0</v>
      </c>
      <c r="JJ21" s="136">
        <f t="shared" si="346"/>
        <v>0</v>
      </c>
      <c r="JK21" s="136">
        <f t="shared" si="346"/>
        <v>0</v>
      </c>
      <c r="JL21" s="136">
        <f t="shared" si="346"/>
        <v>0</v>
      </c>
      <c r="JM21" s="136">
        <f t="shared" si="346"/>
        <v>0</v>
      </c>
      <c r="JN21" s="136">
        <f t="shared" si="346"/>
        <v>0</v>
      </c>
      <c r="JO21" s="136">
        <f t="shared" si="346"/>
        <v>0</v>
      </c>
      <c r="JP21" s="136">
        <f t="shared" si="346"/>
        <v>0</v>
      </c>
      <c r="JQ21" s="136">
        <f t="shared" si="346"/>
        <v>0</v>
      </c>
      <c r="JR21" s="136">
        <f t="shared" si="346"/>
        <v>0</v>
      </c>
      <c r="JS21" s="136">
        <f t="shared" si="346"/>
        <v>0</v>
      </c>
      <c r="JT21" s="136">
        <f t="shared" si="346"/>
        <v>0</v>
      </c>
      <c r="JU21" s="136">
        <f t="shared" si="346"/>
        <v>0</v>
      </c>
      <c r="JV21" s="136">
        <f t="shared" si="346"/>
        <v>0</v>
      </c>
      <c r="JW21" s="136">
        <f t="shared" si="346"/>
        <v>0</v>
      </c>
      <c r="JX21" s="136">
        <f t="shared" si="346"/>
        <v>0</v>
      </c>
      <c r="JY21" s="136">
        <f t="shared" si="346"/>
        <v>0</v>
      </c>
      <c r="JZ21" s="136">
        <f t="shared" si="346"/>
        <v>0</v>
      </c>
      <c r="KA21" s="136">
        <f t="shared" si="346"/>
        <v>0</v>
      </c>
      <c r="KB21" s="136">
        <f t="shared" si="346"/>
        <v>0</v>
      </c>
      <c r="KC21" s="136">
        <f t="shared" si="346"/>
        <v>0</v>
      </c>
      <c r="KD21" s="136">
        <f t="shared" si="346"/>
        <v>0</v>
      </c>
      <c r="KE21" s="136">
        <f t="shared" si="346"/>
        <v>0</v>
      </c>
      <c r="KF21" s="136">
        <f t="shared" si="346"/>
        <v>0</v>
      </c>
      <c r="KG21" s="136">
        <f t="shared" si="346"/>
        <v>0</v>
      </c>
      <c r="KH21" s="136">
        <f t="shared" si="346"/>
        <v>0</v>
      </c>
      <c r="KI21" s="136">
        <f t="shared" si="346"/>
        <v>0</v>
      </c>
      <c r="KJ21" s="136">
        <f t="shared" si="346"/>
        <v>0</v>
      </c>
      <c r="KK21" s="136">
        <f t="shared" si="346"/>
        <v>0</v>
      </c>
      <c r="KL21" s="136">
        <f t="shared" si="346"/>
        <v>0</v>
      </c>
      <c r="KM21" s="136">
        <f t="shared" si="346"/>
        <v>0</v>
      </c>
      <c r="KN21" s="136">
        <f t="shared" si="346"/>
        <v>0</v>
      </c>
      <c r="KO21" s="136">
        <f t="shared" si="346"/>
        <v>0</v>
      </c>
      <c r="KP21" s="136">
        <f t="shared" si="346"/>
        <v>0</v>
      </c>
      <c r="KQ21" s="136">
        <f t="shared" si="346"/>
        <v>0</v>
      </c>
    </row>
    <row r="22" spans="2:303" x14ac:dyDescent="0.35">
      <c r="B22" s="126" t="s">
        <v>117</v>
      </c>
      <c r="C22" s="123">
        <f t="shared" ref="C22:C28" si="347">SUM(D22:KQ22)</f>
        <v>675000000</v>
      </c>
      <c r="D22" s="140"/>
      <c r="E22" s="140"/>
      <c r="F22" s="140"/>
      <c r="G22" s="140"/>
      <c r="H22" s="140">
        <f>'Dashboard все'!F24</f>
        <v>675000000</v>
      </c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0"/>
      <c r="BF22" s="140"/>
      <c r="BG22" s="140"/>
      <c r="BH22" s="140"/>
      <c r="BI22" s="140"/>
      <c r="BJ22" s="140"/>
      <c r="BK22" s="140"/>
      <c r="BL22" s="140"/>
      <c r="BM22" s="140"/>
      <c r="BN22" s="140"/>
      <c r="BO22" s="140"/>
      <c r="BP22" s="140"/>
      <c r="BQ22" s="140"/>
      <c r="BR22" s="140"/>
      <c r="BS22" s="140"/>
      <c r="BT22" s="140"/>
      <c r="BU22" s="140"/>
      <c r="BV22" s="140"/>
      <c r="BW22" s="140"/>
      <c r="BX22" s="140"/>
      <c r="BY22" s="140"/>
      <c r="BZ22" s="140"/>
      <c r="CA22" s="140"/>
      <c r="CB22" s="140"/>
      <c r="CC22" s="140"/>
      <c r="CD22" s="140"/>
      <c r="CE22" s="140"/>
      <c r="CF22" s="140"/>
      <c r="CG22" s="140"/>
      <c r="CH22" s="140"/>
      <c r="CI22" s="140"/>
      <c r="CJ22" s="140"/>
      <c r="CK22" s="140"/>
      <c r="CL22" s="140"/>
      <c r="CM22" s="140"/>
      <c r="CN22" s="140"/>
      <c r="CO22" s="140"/>
      <c r="CP22" s="140"/>
      <c r="CQ22" s="140"/>
      <c r="CR22" s="140"/>
      <c r="CS22" s="140"/>
      <c r="CT22" s="140"/>
      <c r="CU22" s="140"/>
      <c r="CV22" s="140"/>
      <c r="CW22" s="140"/>
      <c r="CX22" s="140"/>
      <c r="CY22" s="140"/>
      <c r="CZ22" s="140"/>
      <c r="DA22" s="140"/>
      <c r="DB22" s="140"/>
      <c r="DC22" s="140"/>
      <c r="DD22" s="140"/>
      <c r="DE22" s="140"/>
      <c r="DF22" s="140"/>
      <c r="DG22" s="140"/>
      <c r="DH22" s="140"/>
      <c r="DI22" s="140"/>
      <c r="DJ22" s="140"/>
      <c r="DK22" s="140"/>
      <c r="DL22" s="140"/>
      <c r="DM22" s="140"/>
      <c r="DN22" s="140"/>
      <c r="DO22" s="140"/>
      <c r="DP22" s="140"/>
      <c r="DQ22" s="140"/>
      <c r="DR22" s="140"/>
      <c r="DS22" s="140"/>
      <c r="DT22" s="140"/>
      <c r="DU22" s="140"/>
      <c r="DV22" s="140"/>
      <c r="DW22" s="140"/>
      <c r="DX22" s="140"/>
      <c r="DY22" s="140"/>
      <c r="DZ22" s="140"/>
      <c r="EA22" s="140"/>
      <c r="EB22" s="140"/>
      <c r="EC22" s="140"/>
      <c r="ED22" s="140"/>
      <c r="EE22" s="140"/>
      <c r="EF22" s="140"/>
      <c r="EG22" s="140"/>
      <c r="EH22" s="140"/>
      <c r="EI22" s="140"/>
      <c r="EJ22" s="140"/>
      <c r="EK22" s="140"/>
      <c r="EL22" s="140"/>
      <c r="EM22" s="140"/>
      <c r="EN22" s="140"/>
      <c r="EO22" s="140"/>
      <c r="EP22" s="140"/>
      <c r="EQ22" s="140"/>
      <c r="ER22" s="140"/>
      <c r="ES22" s="140"/>
      <c r="ET22" s="140"/>
      <c r="EU22" s="140"/>
      <c r="EV22" s="140"/>
      <c r="EW22" s="140"/>
      <c r="EX22" s="140"/>
      <c r="EY22" s="140"/>
      <c r="EZ22" s="140"/>
      <c r="FA22" s="140"/>
      <c r="FB22" s="140"/>
      <c r="FC22" s="140"/>
      <c r="FD22" s="140"/>
      <c r="FE22" s="140"/>
      <c r="FF22" s="140"/>
      <c r="FG22" s="140"/>
      <c r="FH22" s="140"/>
      <c r="FI22" s="140"/>
      <c r="FJ22" s="140"/>
      <c r="FK22" s="140"/>
      <c r="FL22" s="140"/>
      <c r="FM22" s="140"/>
      <c r="FN22" s="140"/>
      <c r="FO22" s="140"/>
      <c r="FP22" s="140"/>
      <c r="FQ22" s="140"/>
      <c r="FR22" s="140"/>
      <c r="FS22" s="140"/>
      <c r="FT22" s="140"/>
      <c r="FU22" s="140"/>
      <c r="FV22" s="140"/>
      <c r="FW22" s="140"/>
      <c r="FX22" s="140"/>
      <c r="FY22" s="140"/>
      <c r="FZ22" s="140"/>
      <c r="GA22" s="140"/>
      <c r="GB22" s="140"/>
      <c r="GC22" s="140"/>
      <c r="GD22" s="140"/>
      <c r="GE22" s="140"/>
      <c r="GF22" s="140"/>
      <c r="GG22" s="140"/>
      <c r="GH22" s="140"/>
      <c r="GI22" s="140"/>
      <c r="GJ22" s="140"/>
      <c r="GK22" s="140"/>
      <c r="GL22" s="140"/>
      <c r="GM22" s="140"/>
      <c r="GN22" s="140"/>
      <c r="GO22" s="140"/>
      <c r="GP22" s="140"/>
      <c r="GQ22" s="140"/>
      <c r="GR22" s="140"/>
      <c r="GS22" s="140"/>
      <c r="GT22" s="140"/>
      <c r="GU22" s="140"/>
      <c r="GV22" s="140"/>
      <c r="GW22" s="140"/>
      <c r="GX22" s="140"/>
      <c r="GY22" s="140"/>
      <c r="GZ22" s="140"/>
      <c r="HA22" s="140"/>
      <c r="HB22" s="140"/>
      <c r="HC22" s="140"/>
      <c r="HD22" s="140"/>
      <c r="HE22" s="140"/>
      <c r="HF22" s="140"/>
      <c r="HG22" s="140"/>
      <c r="HH22" s="140"/>
      <c r="HI22" s="140"/>
      <c r="HJ22" s="140"/>
      <c r="HK22" s="140"/>
      <c r="HL22" s="140"/>
      <c r="HM22" s="140"/>
      <c r="HN22" s="140"/>
      <c r="HO22" s="140"/>
      <c r="HP22" s="140"/>
      <c r="HQ22" s="140"/>
      <c r="HR22" s="140"/>
      <c r="HS22" s="140"/>
      <c r="HT22" s="140"/>
      <c r="HU22" s="140"/>
      <c r="HV22" s="140"/>
      <c r="HW22" s="140"/>
      <c r="HX22" s="140"/>
      <c r="HY22" s="140"/>
      <c r="HZ22" s="140"/>
      <c r="IA22" s="140"/>
      <c r="IB22" s="140"/>
      <c r="IC22" s="140"/>
      <c r="ID22" s="140"/>
      <c r="IE22" s="140"/>
      <c r="IF22" s="140"/>
      <c r="IG22" s="140"/>
      <c r="IH22" s="140"/>
      <c r="II22" s="140"/>
      <c r="IJ22" s="140"/>
      <c r="IK22" s="140"/>
      <c r="IL22" s="140"/>
      <c r="IM22" s="140"/>
      <c r="IN22" s="140"/>
      <c r="IO22" s="140"/>
      <c r="IP22" s="140"/>
      <c r="IQ22" s="140"/>
      <c r="IR22" s="140"/>
      <c r="IS22" s="140"/>
      <c r="IT22" s="140"/>
      <c r="IU22" s="140"/>
      <c r="IV22" s="140"/>
      <c r="IW22" s="140"/>
      <c r="IX22" s="140"/>
      <c r="IY22" s="140"/>
      <c r="IZ22" s="140"/>
      <c r="JA22" s="140"/>
      <c r="JB22" s="140"/>
      <c r="JC22" s="140"/>
      <c r="JD22" s="140"/>
      <c r="JE22" s="140"/>
      <c r="JF22" s="140"/>
      <c r="JG22" s="140"/>
      <c r="JH22" s="140"/>
      <c r="JI22" s="140"/>
      <c r="JJ22" s="140"/>
      <c r="JK22" s="140"/>
      <c r="JL22" s="140"/>
      <c r="JM22" s="140"/>
      <c r="JN22" s="140"/>
      <c r="JO22" s="140"/>
      <c r="JP22" s="140"/>
      <c r="JQ22" s="140"/>
      <c r="JR22" s="140"/>
      <c r="JS22" s="140"/>
      <c r="JT22" s="140"/>
      <c r="JU22" s="140"/>
      <c r="JV22" s="140"/>
      <c r="JW22" s="140"/>
      <c r="JX22" s="140"/>
      <c r="JY22" s="140"/>
      <c r="JZ22" s="140"/>
      <c r="KA22" s="140"/>
      <c r="KB22" s="140"/>
      <c r="KC22" s="140"/>
      <c r="KD22" s="140"/>
      <c r="KE22" s="140"/>
      <c r="KF22" s="140"/>
      <c r="KG22" s="140"/>
      <c r="KH22" s="140"/>
      <c r="KI22" s="140"/>
      <c r="KJ22" s="140"/>
      <c r="KK22" s="140"/>
      <c r="KL22" s="140"/>
      <c r="KM22" s="140"/>
      <c r="KN22" s="140"/>
      <c r="KO22" s="140"/>
      <c r="KP22" s="140"/>
      <c r="KQ22" s="140"/>
    </row>
    <row r="23" spans="2:303" x14ac:dyDescent="0.35">
      <c r="B23" s="126" t="s">
        <v>118</v>
      </c>
      <c r="C23" s="123">
        <f t="shared" si="347"/>
        <v>0</v>
      </c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255"/>
      <c r="AZ23" s="255"/>
      <c r="BA23" s="255"/>
      <c r="BB23" s="255"/>
      <c r="BC23" s="255"/>
      <c r="BD23" s="255"/>
      <c r="BE23" s="255"/>
      <c r="BF23" s="255"/>
      <c r="BG23" s="255"/>
      <c r="BH23" s="255"/>
      <c r="BI23" s="255"/>
      <c r="BJ23" s="255"/>
      <c r="BK23" s="255"/>
      <c r="BL23" s="255"/>
      <c r="BM23" s="255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55"/>
      <c r="BY23" s="255"/>
      <c r="BZ23" s="255"/>
      <c r="CA23" s="255"/>
      <c r="CB23" s="255"/>
      <c r="CC23" s="255"/>
      <c r="CD23" s="255"/>
      <c r="CE23" s="255"/>
      <c r="CF23" s="255"/>
      <c r="CG23" s="255"/>
      <c r="CH23" s="255"/>
      <c r="CI23" s="255"/>
      <c r="CJ23" s="255"/>
      <c r="CK23" s="255"/>
      <c r="CL23" s="255"/>
      <c r="CM23" s="255"/>
      <c r="CN23" s="255"/>
      <c r="CO23" s="255"/>
      <c r="CP23" s="255"/>
      <c r="CQ23" s="255"/>
      <c r="CR23" s="255"/>
      <c r="CS23" s="255"/>
      <c r="CT23" s="255"/>
      <c r="CU23" s="255"/>
      <c r="CV23" s="255"/>
      <c r="CW23" s="255"/>
      <c r="CX23" s="255"/>
      <c r="CY23" s="255"/>
      <c r="CZ23" s="255"/>
      <c r="DA23" s="255"/>
      <c r="DB23" s="255"/>
      <c r="DC23" s="255"/>
      <c r="DD23" s="255"/>
      <c r="DE23" s="255"/>
      <c r="DF23" s="255"/>
      <c r="DG23" s="255"/>
      <c r="DH23" s="255"/>
      <c r="DI23" s="255"/>
      <c r="DJ23" s="255"/>
      <c r="DK23" s="255"/>
      <c r="DL23" s="255"/>
      <c r="DM23" s="255"/>
      <c r="DN23" s="255"/>
      <c r="DO23" s="255"/>
      <c r="DP23" s="255"/>
      <c r="DQ23" s="255"/>
      <c r="DR23" s="255"/>
      <c r="DS23" s="255"/>
      <c r="DT23" s="255"/>
      <c r="DU23" s="255"/>
      <c r="DV23" s="255"/>
      <c r="DW23" s="255"/>
      <c r="DX23" s="255"/>
      <c r="DY23" s="255"/>
      <c r="DZ23" s="255"/>
      <c r="EA23" s="255"/>
      <c r="EB23" s="255"/>
      <c r="EC23" s="255"/>
      <c r="ED23" s="255"/>
      <c r="EE23" s="255"/>
      <c r="EF23" s="255"/>
      <c r="EG23" s="255"/>
      <c r="EH23" s="255"/>
      <c r="EI23" s="255"/>
      <c r="EJ23" s="255"/>
      <c r="EK23" s="255"/>
      <c r="EL23" s="255"/>
      <c r="EM23" s="255"/>
      <c r="EN23" s="255"/>
      <c r="EO23" s="255"/>
      <c r="EP23" s="255"/>
      <c r="EQ23" s="255"/>
      <c r="ER23" s="255"/>
      <c r="ES23" s="255"/>
      <c r="ET23" s="255"/>
      <c r="EU23" s="255"/>
      <c r="EV23" s="255"/>
      <c r="EW23" s="255"/>
      <c r="EX23" s="255"/>
      <c r="EY23" s="255"/>
      <c r="EZ23" s="255"/>
      <c r="FA23" s="255"/>
      <c r="FB23" s="255"/>
      <c r="FC23" s="255"/>
      <c r="FD23" s="255"/>
      <c r="FE23" s="255"/>
      <c r="FF23" s="255"/>
      <c r="FG23" s="255"/>
      <c r="FH23" s="255"/>
      <c r="FI23" s="255"/>
      <c r="FJ23" s="255"/>
      <c r="FK23" s="255"/>
      <c r="FL23" s="255"/>
      <c r="FM23" s="255"/>
      <c r="FN23" s="255"/>
      <c r="FO23" s="255"/>
      <c r="FP23" s="255"/>
      <c r="FQ23" s="255"/>
      <c r="FR23" s="255"/>
      <c r="FS23" s="255"/>
      <c r="FT23" s="255"/>
      <c r="FU23" s="255"/>
      <c r="FV23" s="255"/>
      <c r="FW23" s="255"/>
      <c r="FX23" s="255"/>
      <c r="FY23" s="255"/>
      <c r="FZ23" s="255"/>
      <c r="GA23" s="255"/>
      <c r="GB23" s="255"/>
      <c r="GC23" s="255"/>
      <c r="GD23" s="255"/>
      <c r="GE23" s="255"/>
      <c r="GF23" s="255"/>
      <c r="GG23" s="255"/>
      <c r="GH23" s="255"/>
      <c r="GI23" s="255"/>
      <c r="GJ23" s="255"/>
      <c r="GK23" s="255"/>
      <c r="GL23" s="255"/>
      <c r="GM23" s="255"/>
      <c r="GN23" s="255"/>
      <c r="GO23" s="255"/>
      <c r="GP23" s="255"/>
      <c r="GQ23" s="255"/>
      <c r="GR23" s="255"/>
      <c r="GS23" s="255"/>
      <c r="GT23" s="255"/>
      <c r="GU23" s="255"/>
      <c r="GV23" s="255"/>
      <c r="GW23" s="255"/>
      <c r="GX23" s="255"/>
      <c r="GY23" s="255"/>
      <c r="GZ23" s="255"/>
      <c r="HA23" s="255"/>
      <c r="HB23" s="255"/>
      <c r="HC23" s="255"/>
      <c r="HD23" s="255"/>
      <c r="HE23" s="255"/>
      <c r="HF23" s="255"/>
      <c r="HG23" s="255"/>
      <c r="HH23" s="255"/>
      <c r="HI23" s="255"/>
      <c r="HJ23" s="255"/>
      <c r="HK23" s="255"/>
      <c r="HL23" s="255"/>
      <c r="HM23" s="255"/>
      <c r="HN23" s="255"/>
      <c r="HO23" s="255"/>
      <c r="HP23" s="255"/>
      <c r="HQ23" s="255"/>
      <c r="HR23" s="255"/>
      <c r="HS23" s="255"/>
      <c r="HT23" s="255"/>
      <c r="HU23" s="255"/>
      <c r="HV23" s="255"/>
      <c r="HW23" s="255"/>
      <c r="HX23" s="255"/>
      <c r="HY23" s="255"/>
      <c r="HZ23" s="255"/>
      <c r="IA23" s="255"/>
      <c r="IB23" s="255"/>
      <c r="IC23" s="255"/>
      <c r="ID23" s="255"/>
      <c r="IE23" s="255"/>
      <c r="IF23" s="255"/>
      <c r="IG23" s="255"/>
      <c r="IH23" s="255"/>
      <c r="II23" s="255"/>
      <c r="IJ23" s="255"/>
      <c r="IK23" s="255"/>
      <c r="IL23" s="255"/>
      <c r="IM23" s="255"/>
      <c r="IN23" s="255"/>
      <c r="IO23" s="255"/>
      <c r="IP23" s="255"/>
      <c r="IQ23" s="255"/>
      <c r="IR23" s="255"/>
      <c r="IS23" s="255"/>
      <c r="IT23" s="255"/>
      <c r="IU23" s="255"/>
      <c r="IV23" s="255"/>
      <c r="IW23" s="255"/>
      <c r="IX23" s="255"/>
      <c r="IY23" s="255"/>
      <c r="IZ23" s="255"/>
      <c r="JA23" s="255"/>
      <c r="JB23" s="255"/>
      <c r="JC23" s="255"/>
      <c r="JD23" s="255"/>
      <c r="JE23" s="255"/>
      <c r="JF23" s="255"/>
      <c r="JG23" s="255"/>
      <c r="JH23" s="255"/>
      <c r="JI23" s="255"/>
      <c r="JJ23" s="255"/>
      <c r="JK23" s="255"/>
      <c r="JL23" s="255"/>
      <c r="JM23" s="255"/>
      <c r="JN23" s="255"/>
      <c r="JO23" s="255"/>
      <c r="JP23" s="255"/>
      <c r="JQ23" s="255"/>
      <c r="JR23" s="255"/>
      <c r="JS23" s="255"/>
      <c r="JT23" s="255"/>
      <c r="JU23" s="255"/>
      <c r="JV23" s="255"/>
      <c r="JW23" s="255"/>
      <c r="JX23" s="255"/>
      <c r="JY23" s="255"/>
      <c r="JZ23" s="255"/>
      <c r="KA23" s="255"/>
      <c r="KB23" s="255"/>
      <c r="KC23" s="255"/>
      <c r="KD23" s="255"/>
      <c r="KE23" s="255"/>
      <c r="KF23" s="255"/>
      <c r="KG23" s="255"/>
      <c r="KH23" s="255"/>
      <c r="KI23" s="255"/>
      <c r="KJ23" s="255"/>
      <c r="KK23" s="255"/>
      <c r="KL23" s="255"/>
      <c r="KM23" s="255"/>
      <c r="KN23" s="255"/>
      <c r="KO23" s="255"/>
      <c r="KP23" s="255"/>
      <c r="KQ23" s="255"/>
    </row>
    <row r="24" spans="2:303" x14ac:dyDescent="0.35">
      <c r="B24" s="126" t="s">
        <v>119</v>
      </c>
      <c r="C24" s="123">
        <f t="shared" si="347"/>
        <v>0</v>
      </c>
      <c r="D24" s="143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256"/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  <c r="BB24" s="256"/>
      <c r="BC24" s="256"/>
      <c r="BD24" s="256"/>
      <c r="BE24" s="256"/>
      <c r="BF24" s="256"/>
      <c r="BG24" s="256"/>
      <c r="BH24" s="256"/>
      <c r="BI24" s="256"/>
      <c r="BJ24" s="256"/>
      <c r="BK24" s="256"/>
      <c r="BL24" s="256"/>
      <c r="BM24" s="256"/>
      <c r="BN24" s="256"/>
      <c r="BO24" s="256"/>
      <c r="BP24" s="256"/>
      <c r="BQ24" s="256"/>
      <c r="BR24" s="256"/>
      <c r="BS24" s="256"/>
      <c r="BT24" s="256"/>
      <c r="BU24" s="256"/>
      <c r="BV24" s="256"/>
      <c r="BW24" s="256"/>
      <c r="BX24" s="256"/>
      <c r="BY24" s="256"/>
      <c r="BZ24" s="256"/>
      <c r="CA24" s="256"/>
      <c r="CB24" s="256"/>
      <c r="CC24" s="256"/>
      <c r="CD24" s="256"/>
      <c r="CE24" s="256"/>
      <c r="CF24" s="256"/>
      <c r="CG24" s="256"/>
      <c r="CH24" s="256"/>
      <c r="CI24" s="256"/>
      <c r="CJ24" s="256"/>
      <c r="CK24" s="256"/>
      <c r="CL24" s="256"/>
      <c r="CM24" s="256"/>
      <c r="CN24" s="256"/>
      <c r="CO24" s="256"/>
      <c r="CP24" s="256"/>
      <c r="CQ24" s="256"/>
      <c r="CR24" s="256"/>
      <c r="CS24" s="256"/>
      <c r="CT24" s="256"/>
      <c r="CU24" s="256"/>
      <c r="CV24" s="256"/>
      <c r="CW24" s="256"/>
      <c r="CX24" s="256"/>
      <c r="CY24" s="256"/>
      <c r="CZ24" s="256"/>
      <c r="DA24" s="256"/>
      <c r="DB24" s="256"/>
      <c r="DC24" s="256"/>
      <c r="DD24" s="256"/>
      <c r="DE24" s="256"/>
      <c r="DF24" s="256"/>
      <c r="DG24" s="256"/>
      <c r="DH24" s="256"/>
      <c r="DI24" s="256"/>
      <c r="DJ24" s="256"/>
      <c r="DK24" s="256"/>
      <c r="DL24" s="256"/>
      <c r="DM24" s="256"/>
      <c r="DN24" s="256"/>
      <c r="DO24" s="256"/>
      <c r="DP24" s="256"/>
      <c r="DQ24" s="256"/>
      <c r="DR24" s="256"/>
      <c r="DS24" s="256"/>
      <c r="DT24" s="256"/>
      <c r="DU24" s="256"/>
      <c r="DV24" s="256"/>
      <c r="DW24" s="256"/>
      <c r="DX24" s="256"/>
      <c r="DY24" s="256"/>
      <c r="DZ24" s="256"/>
      <c r="EA24" s="256"/>
      <c r="EB24" s="256"/>
      <c r="EC24" s="256"/>
      <c r="ED24" s="256"/>
      <c r="EE24" s="256"/>
      <c r="EF24" s="256"/>
      <c r="EG24" s="256"/>
      <c r="EH24" s="256"/>
      <c r="EI24" s="256"/>
      <c r="EJ24" s="256"/>
      <c r="EK24" s="256"/>
      <c r="EL24" s="256"/>
      <c r="EM24" s="256"/>
      <c r="EN24" s="256"/>
      <c r="EO24" s="256"/>
      <c r="EP24" s="256"/>
      <c r="EQ24" s="256"/>
      <c r="ER24" s="256"/>
      <c r="ES24" s="256"/>
      <c r="ET24" s="256"/>
      <c r="EU24" s="256"/>
      <c r="EV24" s="256"/>
      <c r="EW24" s="256"/>
      <c r="EX24" s="256"/>
      <c r="EY24" s="256"/>
      <c r="EZ24" s="256"/>
      <c r="FA24" s="256"/>
      <c r="FB24" s="256"/>
      <c r="FC24" s="256"/>
      <c r="FD24" s="256"/>
      <c r="FE24" s="256"/>
      <c r="FF24" s="256"/>
      <c r="FG24" s="256"/>
      <c r="FH24" s="256"/>
      <c r="FI24" s="256"/>
      <c r="FJ24" s="256"/>
      <c r="FK24" s="256"/>
      <c r="FL24" s="256"/>
      <c r="FM24" s="256"/>
      <c r="FN24" s="256"/>
      <c r="FO24" s="256"/>
      <c r="FP24" s="256"/>
      <c r="FQ24" s="256"/>
      <c r="FR24" s="256"/>
      <c r="FS24" s="256"/>
      <c r="FT24" s="256"/>
      <c r="FU24" s="256"/>
      <c r="FV24" s="256"/>
      <c r="FW24" s="256"/>
      <c r="FX24" s="256"/>
      <c r="FY24" s="256"/>
      <c r="FZ24" s="256"/>
      <c r="GA24" s="256"/>
      <c r="GB24" s="256"/>
      <c r="GC24" s="256"/>
      <c r="GD24" s="256"/>
      <c r="GE24" s="256"/>
      <c r="GF24" s="256"/>
      <c r="GG24" s="256"/>
      <c r="GH24" s="256"/>
      <c r="GI24" s="256"/>
      <c r="GJ24" s="256"/>
      <c r="GK24" s="256"/>
      <c r="GL24" s="256"/>
      <c r="GM24" s="256"/>
      <c r="GN24" s="256"/>
      <c r="GO24" s="256"/>
      <c r="GP24" s="256"/>
      <c r="GQ24" s="256"/>
      <c r="GR24" s="256"/>
      <c r="GS24" s="256"/>
      <c r="GT24" s="256"/>
      <c r="GU24" s="256"/>
      <c r="GV24" s="256"/>
      <c r="GW24" s="256"/>
      <c r="GX24" s="256"/>
      <c r="GY24" s="256"/>
      <c r="GZ24" s="256"/>
      <c r="HA24" s="256"/>
      <c r="HB24" s="256"/>
      <c r="HC24" s="256"/>
      <c r="HD24" s="256"/>
      <c r="HE24" s="256"/>
      <c r="HF24" s="256"/>
      <c r="HG24" s="256"/>
      <c r="HH24" s="256"/>
      <c r="HI24" s="256"/>
      <c r="HJ24" s="256"/>
      <c r="HK24" s="256"/>
      <c r="HL24" s="256"/>
      <c r="HM24" s="256"/>
      <c r="HN24" s="256"/>
      <c r="HO24" s="256"/>
      <c r="HP24" s="256"/>
      <c r="HQ24" s="256"/>
      <c r="HR24" s="256"/>
      <c r="HS24" s="256"/>
      <c r="HT24" s="256"/>
      <c r="HU24" s="256"/>
      <c r="HV24" s="256"/>
      <c r="HW24" s="256"/>
      <c r="HX24" s="256"/>
      <c r="HY24" s="256"/>
      <c r="HZ24" s="256"/>
      <c r="IA24" s="256"/>
      <c r="IB24" s="256"/>
      <c r="IC24" s="256"/>
      <c r="ID24" s="256"/>
      <c r="IE24" s="256"/>
      <c r="IF24" s="256"/>
      <c r="IG24" s="256"/>
      <c r="IH24" s="256"/>
      <c r="II24" s="256"/>
      <c r="IJ24" s="256"/>
      <c r="IK24" s="256"/>
      <c r="IL24" s="256"/>
      <c r="IM24" s="256"/>
      <c r="IN24" s="256"/>
      <c r="IO24" s="256"/>
      <c r="IP24" s="256"/>
      <c r="IQ24" s="256"/>
      <c r="IR24" s="256"/>
      <c r="IS24" s="256"/>
      <c r="IT24" s="256"/>
      <c r="IU24" s="256"/>
      <c r="IV24" s="256"/>
      <c r="IW24" s="256"/>
      <c r="IX24" s="256"/>
      <c r="IY24" s="256"/>
      <c r="IZ24" s="256"/>
      <c r="JA24" s="256"/>
      <c r="JB24" s="256"/>
      <c r="JC24" s="256"/>
      <c r="JD24" s="256"/>
      <c r="JE24" s="256"/>
      <c r="JF24" s="256"/>
      <c r="JG24" s="256"/>
      <c r="JH24" s="256"/>
      <c r="JI24" s="256"/>
      <c r="JJ24" s="256"/>
      <c r="JK24" s="256"/>
      <c r="JL24" s="256"/>
      <c r="JM24" s="256"/>
      <c r="JN24" s="256"/>
      <c r="JO24" s="256"/>
      <c r="JP24" s="256"/>
      <c r="JQ24" s="256"/>
      <c r="JR24" s="256"/>
      <c r="JS24" s="256"/>
      <c r="JT24" s="256"/>
      <c r="JU24" s="256"/>
      <c r="JV24" s="256"/>
      <c r="JW24" s="256"/>
      <c r="JX24" s="256"/>
      <c r="JY24" s="256"/>
      <c r="JZ24" s="256"/>
      <c r="KA24" s="256"/>
      <c r="KB24" s="256"/>
      <c r="KC24" s="256"/>
      <c r="KD24" s="256"/>
      <c r="KE24" s="256"/>
      <c r="KF24" s="256"/>
      <c r="KG24" s="256"/>
      <c r="KH24" s="256"/>
      <c r="KI24" s="256"/>
      <c r="KJ24" s="256"/>
      <c r="KK24" s="256"/>
      <c r="KL24" s="256"/>
      <c r="KM24" s="256"/>
      <c r="KN24" s="256"/>
      <c r="KO24" s="256"/>
      <c r="KP24" s="256"/>
      <c r="KQ24" s="256"/>
    </row>
    <row r="25" spans="2:303" x14ac:dyDescent="0.35">
      <c r="B25" s="126" t="s">
        <v>120</v>
      </c>
      <c r="C25" s="123">
        <f t="shared" si="347"/>
        <v>675000000</v>
      </c>
      <c r="D25" s="133" cm="1">
        <f t="array" ref="D25">TRANSPOSE(SUMIFS(Графики!$K$7:$K$306,Графики!$D$7:$D$306,DCF!D$6))</f>
        <v>37500000</v>
      </c>
      <c r="E25" s="133" cm="1">
        <f t="array" ref="E25">TRANSPOSE(SUMIFS(Графики!$K$7:$K$306,Графики!$D$7:$D$306,DCF!E$6))</f>
        <v>37500000</v>
      </c>
      <c r="F25" s="133" cm="1">
        <f t="array" ref="F25">TRANSPOSE(SUMIFS(Графики!$K$7:$K$306,Графики!$D$7:$D$306,DCF!F$6))</f>
        <v>37500000</v>
      </c>
      <c r="G25" s="133" cm="1">
        <f t="array" ref="G25">TRANSPOSE(SUMIFS(Графики!$K$7:$K$306,Графики!$D$7:$D$306,DCF!G$6))</f>
        <v>37500000</v>
      </c>
      <c r="H25" s="133" cm="1">
        <f t="array" ref="H25">TRANSPOSE(SUMIFS(Графики!$K$7:$K$306,Графики!$D$7:$D$306,DCF!H$6))</f>
        <v>37500000</v>
      </c>
      <c r="I25" s="133" cm="1">
        <f t="array" ref="I25">TRANSPOSE(SUMIFS(Графики!$K$7:$K$306,Графики!$D$7:$D$306,DCF!I$6))</f>
        <v>37500000</v>
      </c>
      <c r="J25" s="133" cm="1">
        <f t="array" ref="J25">TRANSPOSE(SUMIFS(Графики!$K$7:$K$306,Графики!$D$7:$D$306,DCF!J$6))</f>
        <v>37500000</v>
      </c>
      <c r="K25" s="133" cm="1">
        <f t="array" ref="K25">TRANSPOSE(SUMIFS(Графики!$K$7:$K$306,Графики!$D$7:$D$306,DCF!K$6))</f>
        <v>37500000</v>
      </c>
      <c r="L25" s="133" cm="1">
        <f t="array" ref="L25">TRANSPOSE(SUMIFS(Графики!$K$7:$K$306,Графики!$D$7:$D$306,DCF!L$6))</f>
        <v>37500000</v>
      </c>
      <c r="M25" s="133" cm="1">
        <f t="array" ref="M25">TRANSPOSE(SUMIFS(Графики!$K$7:$K$306,Графики!$D$7:$D$306,DCF!M$6))</f>
        <v>37500000</v>
      </c>
      <c r="N25" s="133" cm="1">
        <f t="array" ref="N25">TRANSPOSE(SUMIFS(Графики!$K$7:$K$306,Графики!$D$7:$D$306,DCF!N$6))</f>
        <v>37500000</v>
      </c>
      <c r="O25" s="133" cm="1">
        <f t="array" ref="O25">TRANSPOSE(SUMIFS(Графики!$K$7:$K$306,Графики!$D$7:$D$306,DCF!O$6))</f>
        <v>37500000</v>
      </c>
      <c r="P25" s="133" cm="1">
        <f t="array" ref="P25">TRANSPOSE(SUMIFS(Графики!$K$7:$K$306,Графики!$D$7:$D$306,DCF!P$6))</f>
        <v>37500000</v>
      </c>
      <c r="Q25" s="133" cm="1">
        <f t="array" ref="Q25">TRANSPOSE(SUMIFS(Графики!$K$7:$K$306,Графики!$D$7:$D$306,DCF!Q$6))</f>
        <v>37500000</v>
      </c>
      <c r="R25" s="133" cm="1">
        <f t="array" ref="R25">TRANSPOSE(SUMIFS(Графики!$K$7:$K$306,Графики!$D$7:$D$306,DCF!R$6))</f>
        <v>37500000</v>
      </c>
      <c r="S25" s="133" cm="1">
        <f t="array" ref="S25">TRANSPOSE(SUMIFS(Графики!$K$7:$K$306,Графики!$D$7:$D$306,DCF!S$6))</f>
        <v>37500000</v>
      </c>
      <c r="T25" s="133" cm="1">
        <f t="array" ref="T25">TRANSPOSE(SUMIFS(Графики!$K$7:$K$306,Графики!$D$7:$D$306,DCF!T$6))</f>
        <v>37500000</v>
      </c>
      <c r="U25" s="133" cm="1">
        <f t="array" ref="U25">TRANSPOSE(SUMIFS(Графики!$K$7:$K$306,Графики!$D$7:$D$306,DCF!U$6))</f>
        <v>37500000</v>
      </c>
      <c r="V25" s="133" cm="1">
        <f t="array" ref="V25">TRANSPOSE(SUMIFS(Графики!$K$7:$K$306,Графики!$D$7:$D$306,DCF!V$6))</f>
        <v>0</v>
      </c>
      <c r="W25" s="133" cm="1">
        <f t="array" ref="W25">TRANSPOSE(SUMIFS(Графики!$K$7:$K$306,Графики!$D$7:$D$306,DCF!W$6))</f>
        <v>0</v>
      </c>
      <c r="X25" s="133" cm="1">
        <f t="array" ref="X25">TRANSPOSE(SUMIFS(Графики!$K$7:$K$306,Графики!$D$7:$D$306,DCF!X$6))</f>
        <v>0</v>
      </c>
      <c r="Y25" s="133" cm="1">
        <f t="array" ref="Y25">TRANSPOSE(SUMIFS(Графики!$K$7:$K$306,Графики!$D$7:$D$306,DCF!Y$6))</f>
        <v>0</v>
      </c>
      <c r="Z25" s="133" cm="1">
        <f t="array" ref="Z25">TRANSPOSE(SUMIFS(Графики!$K$7:$K$306,Графики!$D$7:$D$306,DCF!Z$6))</f>
        <v>0</v>
      </c>
      <c r="AA25" s="133" cm="1">
        <f t="array" ref="AA25">TRANSPOSE(SUMIFS(Графики!$K$7:$K$306,Графики!$D$7:$D$306,DCF!AA$6))</f>
        <v>0</v>
      </c>
      <c r="AB25" s="133" cm="1">
        <f t="array" ref="AB25">TRANSPOSE(SUMIFS(Графики!$K$7:$K$306,Графики!$D$7:$D$306,DCF!AB$6))</f>
        <v>0</v>
      </c>
      <c r="AC25" s="133" cm="1">
        <f t="array" ref="AC25">TRANSPOSE(SUMIFS(Графики!$K$7:$K$306,Графики!$D$7:$D$306,DCF!AC$6))</f>
        <v>0</v>
      </c>
      <c r="AD25" s="133" cm="1">
        <f t="array" ref="AD25">TRANSPOSE(SUMIFS(Графики!$K$7:$K$306,Графики!$D$7:$D$306,DCF!AD$6))</f>
        <v>0</v>
      </c>
      <c r="AE25" s="133" cm="1">
        <f t="array" ref="AE25">TRANSPOSE(SUMIFS(Графики!$K$7:$K$306,Графики!$D$7:$D$306,DCF!AE$6))</f>
        <v>0</v>
      </c>
      <c r="AF25" s="133" cm="1">
        <f t="array" ref="AF25">TRANSPOSE(SUMIFS(Графики!$K$7:$K$306,Графики!$D$7:$D$306,DCF!AF$6))</f>
        <v>0</v>
      </c>
      <c r="AG25" s="133" cm="1">
        <f t="array" ref="AG25">TRANSPOSE(SUMIFS(Графики!$K$7:$K$306,Графики!$D$7:$D$306,DCF!AG$6))</f>
        <v>0</v>
      </c>
      <c r="AH25" s="133" cm="1">
        <f t="array" ref="AH25">TRANSPOSE(SUMIFS(Графики!$K$7:$K$306,Графики!$D$7:$D$306,DCF!AH$6))</f>
        <v>0</v>
      </c>
      <c r="AI25" s="133" cm="1">
        <f t="array" ref="AI25">TRANSPOSE(SUMIFS(Графики!$K$7:$K$306,Графики!$D$7:$D$306,DCF!AI$6))</f>
        <v>0</v>
      </c>
      <c r="AJ25" s="133" cm="1">
        <f t="array" ref="AJ25">TRANSPOSE(SUMIFS(Графики!$K$7:$K$306,Графики!$D$7:$D$306,DCF!AJ$6))</f>
        <v>0</v>
      </c>
      <c r="AK25" s="133" cm="1">
        <f t="array" ref="AK25">TRANSPOSE(SUMIFS(Графики!$K$7:$K$306,Графики!$D$7:$D$306,DCF!AK$6))</f>
        <v>0</v>
      </c>
      <c r="AL25" s="133" cm="1">
        <f t="array" ref="AL25">TRANSPOSE(SUMIFS(Графики!$K$7:$K$306,Графики!$D$7:$D$306,DCF!AL$6))</f>
        <v>0</v>
      </c>
      <c r="AM25" s="133" cm="1">
        <f t="array" ref="AM25">TRANSPOSE(SUMIFS(Графики!$K$7:$K$306,Графики!$D$7:$D$306,DCF!AM$6))</f>
        <v>0</v>
      </c>
      <c r="AN25" s="133" cm="1">
        <f t="array" ref="AN25">TRANSPOSE(SUMIFS(Графики!$K$7:$K$306,Графики!$D$7:$D$306,DCF!AN$6))</f>
        <v>0</v>
      </c>
      <c r="AO25" s="133" cm="1">
        <f t="array" ref="AO25">TRANSPOSE(SUMIFS(Графики!$K$7:$K$306,Графики!$D$7:$D$306,DCF!AO$6))</f>
        <v>0</v>
      </c>
      <c r="AP25" s="133" cm="1">
        <f t="array" ref="AP25">TRANSPOSE(SUMIFS(Графики!$K$7:$K$306,Графики!$D$7:$D$306,DCF!AP$6))</f>
        <v>0</v>
      </c>
      <c r="AQ25" s="133" cm="1">
        <f t="array" ref="AQ25">TRANSPOSE(SUMIFS(Графики!$K$7:$K$306,Графики!$D$7:$D$306,DCF!AQ$6))</f>
        <v>0</v>
      </c>
      <c r="AR25" s="133" cm="1">
        <f t="array" ref="AR25">TRANSPOSE(SUMIFS(Графики!$K$7:$K$306,Графики!$D$7:$D$306,DCF!AR$6))</f>
        <v>0</v>
      </c>
      <c r="AS25" s="133" cm="1">
        <f t="array" ref="AS25">TRANSPOSE(SUMIFS(Графики!$K$7:$K$306,Графики!$D$7:$D$306,DCF!AS$6))</f>
        <v>0</v>
      </c>
      <c r="AT25" s="133" cm="1">
        <f t="array" ref="AT25">TRANSPOSE(SUMIFS(Графики!$K$7:$K$306,Графики!$D$7:$D$306,DCF!AT$6))</f>
        <v>0</v>
      </c>
      <c r="AU25" s="133" cm="1">
        <f t="array" ref="AU25">TRANSPOSE(SUMIFS(Графики!$K$7:$K$306,Графики!$D$7:$D$306,DCF!AU$6))</f>
        <v>0</v>
      </c>
      <c r="AV25" s="133" cm="1">
        <f t="array" ref="AV25">TRANSPOSE(SUMIFS(Графики!$K$7:$K$306,Графики!$D$7:$D$306,DCF!AV$6))</f>
        <v>0</v>
      </c>
      <c r="AW25" s="133" cm="1">
        <f t="array" ref="AW25">TRANSPOSE(SUMIFS(Графики!$K$7:$K$306,Графики!$D$7:$D$306,DCF!AW$6))</f>
        <v>0</v>
      </c>
      <c r="AX25" s="133" cm="1">
        <f t="array" ref="AX25">TRANSPOSE(SUMIFS(Графики!$K$7:$K$306,Графики!$D$7:$D$306,DCF!AX$6))</f>
        <v>0</v>
      </c>
      <c r="AY25" s="133" cm="1">
        <f t="array" ref="AY25">TRANSPOSE(SUMIFS(Графики!$K$7:$K$306,Графики!$D$7:$D$306,DCF!AY$6))</f>
        <v>0</v>
      </c>
      <c r="AZ25" s="133" cm="1">
        <f t="array" ref="AZ25">TRANSPOSE(SUMIFS(Графики!$K$7:$K$306,Графики!$D$7:$D$306,DCF!AZ$6))</f>
        <v>0</v>
      </c>
      <c r="BA25" s="133" cm="1">
        <f t="array" ref="BA25">TRANSPOSE(SUMIFS(Графики!$K$7:$K$306,Графики!$D$7:$D$306,DCF!BA$6))</f>
        <v>0</v>
      </c>
      <c r="BB25" s="133" cm="1">
        <f t="array" ref="BB25">TRANSPOSE(SUMIFS(Графики!$K$7:$K$306,Графики!$D$7:$D$306,DCF!BB$6))</f>
        <v>0</v>
      </c>
      <c r="BC25" s="133" cm="1">
        <f t="array" ref="BC25">TRANSPOSE(SUMIFS(Графики!$K$7:$K$306,Графики!$D$7:$D$306,DCF!BC$6))</f>
        <v>0</v>
      </c>
      <c r="BD25" s="133" cm="1">
        <f t="array" ref="BD25">TRANSPOSE(SUMIFS(Графики!$K$7:$K$306,Графики!$D$7:$D$306,DCF!BD$6))</f>
        <v>0</v>
      </c>
      <c r="BE25" s="133" cm="1">
        <f t="array" ref="BE25">TRANSPOSE(SUMIFS(Графики!$K$7:$K$306,Графики!$D$7:$D$306,DCF!BE$6))</f>
        <v>0</v>
      </c>
      <c r="BF25" s="133" cm="1">
        <f t="array" ref="BF25">TRANSPOSE(SUMIFS(Графики!$K$7:$K$306,Графики!$D$7:$D$306,DCF!BF$6))</f>
        <v>0</v>
      </c>
      <c r="BG25" s="133" cm="1">
        <f t="array" ref="BG25">TRANSPOSE(SUMIFS(Графики!$K$7:$K$306,Графики!$D$7:$D$306,DCF!BG$6))</f>
        <v>0</v>
      </c>
      <c r="BH25" s="133" cm="1">
        <f t="array" ref="BH25">TRANSPOSE(SUMIFS(Графики!$K$7:$K$306,Графики!$D$7:$D$306,DCF!BH$6))</f>
        <v>0</v>
      </c>
      <c r="BI25" s="133" cm="1">
        <f t="array" ref="BI25">TRANSPOSE(SUMIFS(Графики!$K$7:$K$306,Графики!$D$7:$D$306,DCF!BI$6))</f>
        <v>0</v>
      </c>
      <c r="BJ25" s="133" cm="1">
        <f t="array" ref="BJ25">TRANSPOSE(SUMIFS(Графики!$K$7:$K$306,Графики!$D$7:$D$306,DCF!BJ$6))</f>
        <v>0</v>
      </c>
      <c r="BK25" s="133" cm="1">
        <f t="array" ref="BK25">TRANSPOSE(SUMIFS(Графики!$K$7:$K$306,Графики!$D$7:$D$306,DCF!BK$6))</f>
        <v>0</v>
      </c>
      <c r="BL25" s="133" cm="1">
        <f t="array" ref="BL25">TRANSPOSE(SUMIFS(Графики!$K$7:$K$306,Графики!$D$7:$D$306,DCF!BL$6))</f>
        <v>0</v>
      </c>
      <c r="BM25" s="133" cm="1">
        <f t="array" ref="BM25">TRANSPOSE(SUMIFS(Графики!$K$7:$K$306,Графики!$D$7:$D$306,DCF!BM$6))</f>
        <v>0</v>
      </c>
      <c r="BN25" s="133" cm="1">
        <f t="array" ref="BN25">TRANSPOSE(SUMIFS(Графики!$K$7:$K$306,Графики!$D$7:$D$306,DCF!BN$6))</f>
        <v>0</v>
      </c>
      <c r="BO25" s="133" cm="1">
        <f t="array" ref="BO25">TRANSPOSE(SUMIFS(Графики!$K$7:$K$306,Графики!$D$7:$D$306,DCF!BO$6))</f>
        <v>0</v>
      </c>
      <c r="BP25" s="133" cm="1">
        <f t="array" ref="BP25">TRANSPOSE(SUMIFS(Графики!$K$7:$K$306,Графики!$D$7:$D$306,DCF!BP$6))</f>
        <v>0</v>
      </c>
      <c r="BQ25" s="133" cm="1">
        <f t="array" ref="BQ25">TRANSPOSE(SUMIFS(Графики!$K$7:$K$306,Графики!$D$7:$D$306,DCF!BQ$6))</f>
        <v>0</v>
      </c>
      <c r="BR25" s="133" cm="1">
        <f t="array" ref="BR25">TRANSPOSE(SUMIFS(Графики!$K$7:$K$306,Графики!$D$7:$D$306,DCF!BR$6))</f>
        <v>0</v>
      </c>
      <c r="BS25" s="133" cm="1">
        <f t="array" ref="BS25">TRANSPOSE(SUMIFS(Графики!$K$7:$K$306,Графики!$D$7:$D$306,DCF!BS$6))</f>
        <v>0</v>
      </c>
      <c r="BT25" s="133" cm="1">
        <f t="array" ref="BT25">TRANSPOSE(SUMIFS(Графики!$K$7:$K$306,Графики!$D$7:$D$306,DCF!BT$6))</f>
        <v>0</v>
      </c>
      <c r="BU25" s="133" cm="1">
        <f t="array" ref="BU25">TRANSPOSE(SUMIFS(Графики!$K$7:$K$306,Графики!$D$7:$D$306,DCF!BU$6))</f>
        <v>0</v>
      </c>
      <c r="BV25" s="133" cm="1">
        <f t="array" ref="BV25">TRANSPOSE(SUMIFS(Графики!$K$7:$K$306,Графики!$D$7:$D$306,DCF!BV$6))</f>
        <v>0</v>
      </c>
      <c r="BW25" s="133" cm="1">
        <f t="array" ref="BW25">TRANSPOSE(SUMIFS(Графики!$K$7:$K$306,Графики!$D$7:$D$306,DCF!BW$6))</f>
        <v>0</v>
      </c>
      <c r="BX25" s="133" cm="1">
        <f t="array" ref="BX25">TRANSPOSE(SUMIFS(Графики!$K$7:$K$306,Графики!$D$7:$D$306,DCF!BX$6))</f>
        <v>0</v>
      </c>
      <c r="BY25" s="133" cm="1">
        <f t="array" ref="BY25">TRANSPOSE(SUMIFS(Графики!$K$7:$K$306,Графики!$D$7:$D$306,DCF!BY$6))</f>
        <v>0</v>
      </c>
      <c r="BZ25" s="133" cm="1">
        <f t="array" ref="BZ25">TRANSPOSE(SUMIFS(Графики!$K$7:$K$306,Графики!$D$7:$D$306,DCF!BZ$6))</f>
        <v>0</v>
      </c>
      <c r="CA25" s="133" cm="1">
        <f t="array" ref="CA25">TRANSPOSE(SUMIFS(Графики!$K$7:$K$306,Графики!$D$7:$D$306,DCF!CA$6))</f>
        <v>0</v>
      </c>
      <c r="CB25" s="133" cm="1">
        <f t="array" ref="CB25">TRANSPOSE(SUMIFS(Графики!$K$7:$K$306,Графики!$D$7:$D$306,DCF!CB$6))</f>
        <v>0</v>
      </c>
      <c r="CC25" s="133" cm="1">
        <f t="array" ref="CC25">TRANSPOSE(SUMIFS(Графики!$K$7:$K$306,Графики!$D$7:$D$306,DCF!CC$6))</f>
        <v>0</v>
      </c>
      <c r="CD25" s="133" cm="1">
        <f t="array" ref="CD25">TRANSPOSE(SUMIFS(Графики!$K$7:$K$306,Графики!$D$7:$D$306,DCF!CD$6))</f>
        <v>0</v>
      </c>
      <c r="CE25" s="133" cm="1">
        <f t="array" ref="CE25">TRANSPOSE(SUMIFS(Графики!$K$7:$K$306,Графики!$D$7:$D$306,DCF!CE$6))</f>
        <v>0</v>
      </c>
      <c r="CF25" s="133" cm="1">
        <f t="array" ref="CF25">TRANSPOSE(SUMIFS(Графики!$K$7:$K$306,Графики!$D$7:$D$306,DCF!CF$6))</f>
        <v>0</v>
      </c>
      <c r="CG25" s="133" cm="1">
        <f t="array" ref="CG25">TRANSPOSE(SUMIFS(Графики!$K$7:$K$306,Графики!$D$7:$D$306,DCF!CG$6))</f>
        <v>0</v>
      </c>
      <c r="CH25" s="133" cm="1">
        <f t="array" ref="CH25">TRANSPOSE(SUMIFS(Графики!$K$7:$K$306,Графики!$D$7:$D$306,DCF!CH$6))</f>
        <v>0</v>
      </c>
      <c r="CI25" s="133" cm="1">
        <f t="array" ref="CI25">TRANSPOSE(SUMIFS(Графики!$K$7:$K$306,Графики!$D$7:$D$306,DCF!CI$6))</f>
        <v>0</v>
      </c>
      <c r="CJ25" s="133" cm="1">
        <f t="array" ref="CJ25">TRANSPOSE(SUMIFS(Графики!$K$7:$K$306,Графики!$D$7:$D$306,DCF!CJ$6))</f>
        <v>0</v>
      </c>
      <c r="CK25" s="133" cm="1">
        <f t="array" ref="CK25">TRANSPOSE(SUMIFS(Графики!$K$7:$K$306,Графики!$D$7:$D$306,DCF!CK$6))</f>
        <v>0</v>
      </c>
      <c r="CL25" s="133" cm="1">
        <f t="array" ref="CL25">TRANSPOSE(SUMIFS(Графики!$K$7:$K$306,Графики!$D$7:$D$306,DCF!CL$6))</f>
        <v>0</v>
      </c>
      <c r="CM25" s="133" cm="1">
        <f t="array" ref="CM25">TRANSPOSE(SUMIFS(Графики!$K$7:$K$306,Графики!$D$7:$D$306,DCF!CM$6))</f>
        <v>0</v>
      </c>
      <c r="CN25" s="133" cm="1">
        <f t="array" ref="CN25">TRANSPOSE(SUMIFS(Графики!$K$7:$K$306,Графики!$D$7:$D$306,DCF!CN$6))</f>
        <v>0</v>
      </c>
      <c r="CO25" s="133" cm="1">
        <f t="array" ref="CO25">TRANSPOSE(SUMIFS(Графики!$K$7:$K$306,Графики!$D$7:$D$306,DCF!CO$6))</f>
        <v>0</v>
      </c>
      <c r="CP25" s="133" cm="1">
        <f t="array" ref="CP25">TRANSPOSE(SUMIFS(Графики!$K$7:$K$306,Графики!$D$7:$D$306,DCF!CP$6))</f>
        <v>0</v>
      </c>
      <c r="CQ25" s="133" cm="1">
        <f t="array" ref="CQ25">TRANSPOSE(SUMIFS(Графики!$K$7:$K$306,Графики!$D$7:$D$306,DCF!CQ$6))</f>
        <v>0</v>
      </c>
      <c r="CR25" s="133" cm="1">
        <f t="array" ref="CR25">TRANSPOSE(SUMIFS(Графики!$K$7:$K$306,Графики!$D$7:$D$306,DCF!CR$6))</f>
        <v>0</v>
      </c>
      <c r="CS25" s="133" cm="1">
        <f t="array" ref="CS25">TRANSPOSE(SUMIFS(Графики!$K$7:$K$306,Графики!$D$7:$D$306,DCF!CS$6))</f>
        <v>0</v>
      </c>
      <c r="CT25" s="133" cm="1">
        <f t="array" ref="CT25">TRANSPOSE(SUMIFS(Графики!$K$7:$K$306,Графики!$D$7:$D$306,DCF!CT$6))</f>
        <v>0</v>
      </c>
      <c r="CU25" s="133" cm="1">
        <f t="array" ref="CU25">TRANSPOSE(SUMIFS(Графики!$K$7:$K$306,Графики!$D$7:$D$306,DCF!CU$6))</f>
        <v>0</v>
      </c>
      <c r="CV25" s="133" cm="1">
        <f t="array" ref="CV25">TRANSPOSE(SUMIFS(Графики!$K$7:$K$306,Графики!$D$7:$D$306,DCF!CV$6))</f>
        <v>0</v>
      </c>
      <c r="CW25" s="133" cm="1">
        <f t="array" ref="CW25">TRANSPOSE(SUMIFS(Графики!$K$7:$K$306,Графики!$D$7:$D$306,DCF!CW$6))</f>
        <v>0</v>
      </c>
      <c r="CX25" s="133" cm="1">
        <f t="array" ref="CX25">TRANSPOSE(SUMIFS(Графики!$K$7:$K$306,Графики!$D$7:$D$306,DCF!CX$6))</f>
        <v>0</v>
      </c>
      <c r="CY25" s="133" cm="1">
        <f t="array" ref="CY25">TRANSPOSE(SUMIFS(Графики!$K$7:$K$306,Графики!$D$7:$D$306,DCF!CY$6))</f>
        <v>0</v>
      </c>
      <c r="CZ25" s="133" cm="1">
        <f t="array" ref="CZ25">TRANSPOSE(SUMIFS(Графики!$K$7:$K$306,Графики!$D$7:$D$306,DCF!CZ$6))</f>
        <v>0</v>
      </c>
      <c r="DA25" s="133" cm="1">
        <f t="array" ref="DA25">TRANSPOSE(SUMIFS(Графики!$K$7:$K$306,Графики!$D$7:$D$306,DCF!DA$6))</f>
        <v>0</v>
      </c>
      <c r="DB25" s="133" cm="1">
        <f t="array" ref="DB25">TRANSPOSE(SUMIFS(Графики!$K$7:$K$306,Графики!$D$7:$D$306,DCF!DB$6))</f>
        <v>0</v>
      </c>
      <c r="DC25" s="133" cm="1">
        <f t="array" ref="DC25">TRANSPOSE(SUMIFS(Графики!$K$7:$K$306,Графики!$D$7:$D$306,DCF!DC$6))</f>
        <v>0</v>
      </c>
      <c r="DD25" s="133" cm="1">
        <f t="array" ref="DD25">TRANSPOSE(SUMIFS(Графики!$K$7:$K$306,Графики!$D$7:$D$306,DCF!DD$6))</f>
        <v>0</v>
      </c>
      <c r="DE25" s="133" cm="1">
        <f t="array" ref="DE25">TRANSPOSE(SUMIFS(Графики!$K$7:$K$306,Графики!$D$7:$D$306,DCF!DE$6))</f>
        <v>0</v>
      </c>
      <c r="DF25" s="133" cm="1">
        <f t="array" ref="DF25">TRANSPOSE(SUMIFS(Графики!$K$7:$K$306,Графики!$D$7:$D$306,DCF!DF$6))</f>
        <v>0</v>
      </c>
      <c r="DG25" s="133" cm="1">
        <f t="array" ref="DG25">TRANSPOSE(SUMIFS(Графики!$K$7:$K$306,Графики!$D$7:$D$306,DCF!DG$6))</f>
        <v>0</v>
      </c>
      <c r="DH25" s="133" cm="1">
        <f t="array" ref="DH25">TRANSPOSE(SUMIFS(Графики!$K$7:$K$306,Графики!$D$7:$D$306,DCF!DH$6))</f>
        <v>0</v>
      </c>
      <c r="DI25" s="133" cm="1">
        <f t="array" ref="DI25">TRANSPOSE(SUMIFS(Графики!$K$7:$K$306,Графики!$D$7:$D$306,DCF!DI$6))</f>
        <v>0</v>
      </c>
      <c r="DJ25" s="133" cm="1">
        <f t="array" ref="DJ25">TRANSPOSE(SUMIFS(Графики!$K$7:$K$306,Графики!$D$7:$D$306,DCF!DJ$6))</f>
        <v>0</v>
      </c>
      <c r="DK25" s="133" cm="1">
        <f t="array" ref="DK25">TRANSPOSE(SUMIFS(Графики!$K$7:$K$306,Графики!$D$7:$D$306,DCF!DK$6))</f>
        <v>0</v>
      </c>
      <c r="DL25" s="133" cm="1">
        <f t="array" ref="DL25">TRANSPOSE(SUMIFS(Графики!$K$7:$K$306,Графики!$D$7:$D$306,DCF!DL$6))</f>
        <v>0</v>
      </c>
      <c r="DM25" s="133" cm="1">
        <f t="array" ref="DM25">TRANSPOSE(SUMIFS(Графики!$K$7:$K$306,Графики!$D$7:$D$306,DCF!DM$6))</f>
        <v>0</v>
      </c>
      <c r="DN25" s="133" cm="1">
        <f t="array" ref="DN25">TRANSPOSE(SUMIFS(Графики!$K$7:$K$306,Графики!$D$7:$D$306,DCF!DN$6))</f>
        <v>0</v>
      </c>
      <c r="DO25" s="133" cm="1">
        <f t="array" ref="DO25">TRANSPOSE(SUMIFS(Графики!$K$7:$K$306,Графики!$D$7:$D$306,DCF!DO$6))</f>
        <v>0</v>
      </c>
      <c r="DP25" s="133" cm="1">
        <f t="array" ref="DP25">TRANSPOSE(SUMIFS(Графики!$K$7:$K$306,Графики!$D$7:$D$306,DCF!DP$6))</f>
        <v>0</v>
      </c>
      <c r="DQ25" s="133" cm="1">
        <f t="array" ref="DQ25">TRANSPOSE(SUMIFS(Графики!$K$7:$K$306,Графики!$D$7:$D$306,DCF!DQ$6))</f>
        <v>0</v>
      </c>
      <c r="DR25" s="133" cm="1">
        <f t="array" ref="DR25">TRANSPOSE(SUMIFS(Графики!$K$7:$K$306,Графики!$D$7:$D$306,DCF!DR$6))</f>
        <v>0</v>
      </c>
      <c r="DS25" s="133" cm="1">
        <f t="array" ref="DS25">TRANSPOSE(SUMIFS(Графики!$K$7:$K$306,Графики!$D$7:$D$306,DCF!DS$6))</f>
        <v>0</v>
      </c>
      <c r="DT25" s="133" cm="1">
        <f t="array" ref="DT25">TRANSPOSE(SUMIFS(Графики!$K$7:$K$306,Графики!$D$7:$D$306,DCF!DT$6))</f>
        <v>0</v>
      </c>
      <c r="DU25" s="133" cm="1">
        <f t="array" ref="DU25">TRANSPOSE(SUMIFS(Графики!$K$7:$K$306,Графики!$D$7:$D$306,DCF!DU$6))</f>
        <v>0</v>
      </c>
      <c r="DV25" s="133" cm="1">
        <f t="array" ref="DV25">TRANSPOSE(SUMIFS(Графики!$K$7:$K$306,Графики!$D$7:$D$306,DCF!DV$6))</f>
        <v>0</v>
      </c>
      <c r="DW25" s="133" cm="1">
        <f t="array" ref="DW25">TRANSPOSE(SUMIFS(Графики!$K$7:$K$306,Графики!$D$7:$D$306,DCF!DW$6))</f>
        <v>0</v>
      </c>
      <c r="DX25" s="133" cm="1">
        <f t="array" ref="DX25">TRANSPOSE(SUMIFS(Графики!$K$7:$K$306,Графики!$D$7:$D$306,DCF!DX$6))</f>
        <v>0</v>
      </c>
      <c r="DY25" s="133" cm="1">
        <f t="array" ref="DY25">TRANSPOSE(SUMIFS(Графики!$K$7:$K$306,Графики!$D$7:$D$306,DCF!DY$6))</f>
        <v>0</v>
      </c>
      <c r="DZ25" s="133" cm="1">
        <f t="array" ref="DZ25">TRANSPOSE(SUMIFS(Графики!$K$7:$K$306,Графики!$D$7:$D$306,DCF!DZ$6))</f>
        <v>0</v>
      </c>
      <c r="EA25" s="133" cm="1">
        <f t="array" ref="EA25">TRANSPOSE(SUMIFS(Графики!$K$7:$K$306,Графики!$D$7:$D$306,DCF!EA$6))</f>
        <v>0</v>
      </c>
      <c r="EB25" s="133" cm="1">
        <f t="array" ref="EB25">TRANSPOSE(SUMIFS(Графики!$K$7:$K$306,Графики!$D$7:$D$306,DCF!EB$6))</f>
        <v>0</v>
      </c>
      <c r="EC25" s="133" cm="1">
        <f t="array" ref="EC25">TRANSPOSE(SUMIFS(Графики!$K$7:$K$306,Графики!$D$7:$D$306,DCF!EC$6))</f>
        <v>0</v>
      </c>
      <c r="ED25" s="133" cm="1">
        <f t="array" ref="ED25">TRANSPOSE(SUMIFS(Графики!$K$7:$K$306,Графики!$D$7:$D$306,DCF!ED$6))</f>
        <v>0</v>
      </c>
      <c r="EE25" s="133" cm="1">
        <f t="array" ref="EE25">TRANSPOSE(SUMIFS(Графики!$K$7:$K$306,Графики!$D$7:$D$306,DCF!EE$6))</f>
        <v>0</v>
      </c>
      <c r="EF25" s="133" cm="1">
        <f t="array" ref="EF25">TRANSPOSE(SUMIFS(Графики!$K$7:$K$306,Графики!$D$7:$D$306,DCF!EF$6))</f>
        <v>0</v>
      </c>
      <c r="EG25" s="133" cm="1">
        <f t="array" ref="EG25">TRANSPOSE(SUMIFS(Графики!$K$7:$K$306,Графики!$D$7:$D$306,DCF!EG$6))</f>
        <v>0</v>
      </c>
      <c r="EH25" s="133" cm="1">
        <f t="array" ref="EH25">TRANSPOSE(SUMIFS(Графики!$K$7:$K$306,Графики!$D$7:$D$306,DCF!EH$6))</f>
        <v>0</v>
      </c>
      <c r="EI25" s="133" cm="1">
        <f t="array" ref="EI25">TRANSPOSE(SUMIFS(Графики!$K$7:$K$306,Графики!$D$7:$D$306,DCF!EI$6))</f>
        <v>0</v>
      </c>
      <c r="EJ25" s="133" cm="1">
        <f t="array" ref="EJ25">TRANSPOSE(SUMIFS(Графики!$K$7:$K$306,Графики!$D$7:$D$306,DCF!EJ$6))</f>
        <v>0</v>
      </c>
      <c r="EK25" s="133" cm="1">
        <f t="array" ref="EK25">TRANSPOSE(SUMIFS(Графики!$K$7:$K$306,Графики!$D$7:$D$306,DCF!EK$6))</f>
        <v>0</v>
      </c>
      <c r="EL25" s="133" cm="1">
        <f t="array" ref="EL25">TRANSPOSE(SUMIFS(Графики!$K$7:$K$306,Графики!$D$7:$D$306,DCF!EL$6))</f>
        <v>0</v>
      </c>
      <c r="EM25" s="133" cm="1">
        <f t="array" ref="EM25">TRANSPOSE(SUMIFS(Графики!$K$7:$K$306,Графики!$D$7:$D$306,DCF!EM$6))</f>
        <v>0</v>
      </c>
      <c r="EN25" s="133" cm="1">
        <f t="array" ref="EN25">TRANSPOSE(SUMIFS(Графики!$K$7:$K$306,Графики!$D$7:$D$306,DCF!EN$6))</f>
        <v>0</v>
      </c>
      <c r="EO25" s="133" cm="1">
        <f t="array" ref="EO25">TRANSPOSE(SUMIFS(Графики!$K$7:$K$306,Графики!$D$7:$D$306,DCF!EO$6))</f>
        <v>0</v>
      </c>
      <c r="EP25" s="133" cm="1">
        <f t="array" ref="EP25">TRANSPOSE(SUMIFS(Графики!$K$7:$K$306,Графики!$D$7:$D$306,DCF!EP$6))</f>
        <v>0</v>
      </c>
      <c r="EQ25" s="133" cm="1">
        <f t="array" ref="EQ25">TRANSPOSE(SUMIFS(Графики!$K$7:$K$306,Графики!$D$7:$D$306,DCF!EQ$6))</f>
        <v>0</v>
      </c>
      <c r="ER25" s="133" cm="1">
        <f t="array" ref="ER25">TRANSPOSE(SUMIFS(Графики!$K$7:$K$306,Графики!$D$7:$D$306,DCF!ER$6))</f>
        <v>0</v>
      </c>
      <c r="ES25" s="133" cm="1">
        <f t="array" ref="ES25">TRANSPOSE(SUMIFS(Графики!$K$7:$K$306,Графики!$D$7:$D$306,DCF!ES$6))</f>
        <v>0</v>
      </c>
      <c r="ET25" s="133" cm="1">
        <f t="array" ref="ET25">TRANSPOSE(SUMIFS(Графики!$K$7:$K$306,Графики!$D$7:$D$306,DCF!ET$6))</f>
        <v>0</v>
      </c>
      <c r="EU25" s="133" cm="1">
        <f t="array" ref="EU25">TRANSPOSE(SUMIFS(Графики!$K$7:$K$306,Графики!$D$7:$D$306,DCF!EU$6))</f>
        <v>0</v>
      </c>
      <c r="EV25" s="133" cm="1">
        <f t="array" ref="EV25">TRANSPOSE(SUMIFS(Графики!$K$7:$K$306,Графики!$D$7:$D$306,DCF!EV$6))</f>
        <v>0</v>
      </c>
      <c r="EW25" s="133" cm="1">
        <f t="array" ref="EW25">TRANSPOSE(SUMIFS(Графики!$K$7:$K$306,Графики!$D$7:$D$306,DCF!EW$6))</f>
        <v>0</v>
      </c>
      <c r="EX25" s="133" cm="1">
        <f t="array" ref="EX25">TRANSPOSE(SUMIFS(Графики!$K$7:$K$306,Графики!$D$7:$D$306,DCF!EX$6))</f>
        <v>0</v>
      </c>
      <c r="EY25" s="133" cm="1">
        <f t="array" ref="EY25">TRANSPOSE(SUMIFS(Графики!$K$7:$K$306,Графики!$D$7:$D$306,DCF!EY$6))</f>
        <v>0</v>
      </c>
      <c r="EZ25" s="133" cm="1">
        <f t="array" ref="EZ25">TRANSPOSE(SUMIFS(Графики!$K$7:$K$306,Графики!$D$7:$D$306,DCF!EZ$6))</f>
        <v>0</v>
      </c>
      <c r="FA25" s="133" cm="1">
        <f t="array" ref="FA25">TRANSPOSE(SUMIFS(Графики!$K$7:$K$306,Графики!$D$7:$D$306,DCF!FA$6))</f>
        <v>0</v>
      </c>
      <c r="FB25" s="133" cm="1">
        <f t="array" ref="FB25">TRANSPOSE(SUMIFS(Графики!$K$7:$K$306,Графики!$D$7:$D$306,DCF!FB$6))</f>
        <v>0</v>
      </c>
      <c r="FC25" s="133" cm="1">
        <f t="array" ref="FC25">TRANSPOSE(SUMIFS(Графики!$K$7:$K$306,Графики!$D$7:$D$306,DCF!FC$6))</f>
        <v>0</v>
      </c>
      <c r="FD25" s="133" cm="1">
        <f t="array" ref="FD25">TRANSPOSE(SUMIFS(Графики!$K$7:$K$306,Графики!$D$7:$D$306,DCF!FD$6))</f>
        <v>0</v>
      </c>
      <c r="FE25" s="133" cm="1">
        <f t="array" ref="FE25">TRANSPOSE(SUMIFS(Графики!$K$7:$K$306,Графики!$D$7:$D$306,DCF!FE$6))</f>
        <v>0</v>
      </c>
      <c r="FF25" s="133" cm="1">
        <f t="array" ref="FF25">TRANSPOSE(SUMIFS(Графики!$K$7:$K$306,Графики!$D$7:$D$306,DCF!FF$6))</f>
        <v>0</v>
      </c>
      <c r="FG25" s="133" cm="1">
        <f t="array" ref="FG25">TRANSPOSE(SUMIFS(Графики!$K$7:$K$306,Графики!$D$7:$D$306,DCF!FG$6))</f>
        <v>0</v>
      </c>
      <c r="FH25" s="133" cm="1">
        <f t="array" ref="FH25">TRANSPOSE(SUMIFS(Графики!$K$7:$K$306,Графики!$D$7:$D$306,DCF!FH$6))</f>
        <v>0</v>
      </c>
      <c r="FI25" s="133" cm="1">
        <f t="array" ref="FI25">TRANSPOSE(SUMIFS(Графики!$K$7:$K$306,Графики!$D$7:$D$306,DCF!FI$6))</f>
        <v>0</v>
      </c>
      <c r="FJ25" s="133" cm="1">
        <f t="array" ref="FJ25">TRANSPOSE(SUMIFS(Графики!$K$7:$K$306,Графики!$D$7:$D$306,DCF!FJ$6))</f>
        <v>0</v>
      </c>
      <c r="FK25" s="133" cm="1">
        <f t="array" ref="FK25">TRANSPOSE(SUMIFS(Графики!$K$7:$K$306,Графики!$D$7:$D$306,DCF!FK$6))</f>
        <v>0</v>
      </c>
      <c r="FL25" s="133" cm="1">
        <f t="array" ref="FL25">TRANSPOSE(SUMIFS(Графики!$K$7:$K$306,Графики!$D$7:$D$306,DCF!FL$6))</f>
        <v>0</v>
      </c>
      <c r="FM25" s="133" cm="1">
        <f t="array" ref="FM25">TRANSPOSE(SUMIFS(Графики!$K$7:$K$306,Графики!$D$7:$D$306,DCF!FM$6))</f>
        <v>0</v>
      </c>
      <c r="FN25" s="133" cm="1">
        <f t="array" ref="FN25">TRANSPOSE(SUMIFS(Графики!$K$7:$K$306,Графики!$D$7:$D$306,DCF!FN$6))</f>
        <v>0</v>
      </c>
      <c r="FO25" s="133" cm="1">
        <f t="array" ref="FO25">TRANSPOSE(SUMIFS(Графики!$K$7:$K$306,Графики!$D$7:$D$306,DCF!FO$6))</f>
        <v>0</v>
      </c>
      <c r="FP25" s="133" cm="1">
        <f t="array" ref="FP25">TRANSPOSE(SUMIFS(Графики!$K$7:$K$306,Графики!$D$7:$D$306,DCF!FP$6))</f>
        <v>0</v>
      </c>
      <c r="FQ25" s="133" cm="1">
        <f t="array" ref="FQ25">TRANSPOSE(SUMIFS(Графики!$K$7:$K$306,Графики!$D$7:$D$306,DCF!FQ$6))</f>
        <v>0</v>
      </c>
      <c r="FR25" s="133" cm="1">
        <f t="array" ref="FR25">TRANSPOSE(SUMIFS(Графики!$K$7:$K$306,Графики!$D$7:$D$306,DCF!FR$6))</f>
        <v>0</v>
      </c>
      <c r="FS25" s="133" cm="1">
        <f t="array" ref="FS25">TRANSPOSE(SUMIFS(Графики!$K$7:$K$306,Графики!$D$7:$D$306,DCF!FS$6))</f>
        <v>0</v>
      </c>
      <c r="FT25" s="133" cm="1">
        <f t="array" ref="FT25">TRANSPOSE(SUMIFS(Графики!$K$7:$K$306,Графики!$D$7:$D$306,DCF!FT$6))</f>
        <v>0</v>
      </c>
      <c r="FU25" s="133" cm="1">
        <f t="array" ref="FU25">TRANSPOSE(SUMIFS(Графики!$K$7:$K$306,Графики!$D$7:$D$306,DCF!FU$6))</f>
        <v>0</v>
      </c>
      <c r="FV25" s="133" cm="1">
        <f t="array" ref="FV25">TRANSPOSE(SUMIFS(Графики!$K$7:$K$306,Графики!$D$7:$D$306,DCF!FV$6))</f>
        <v>0</v>
      </c>
      <c r="FW25" s="133" cm="1">
        <f t="array" ref="FW25">TRANSPOSE(SUMIFS(Графики!$K$7:$K$306,Графики!$D$7:$D$306,DCF!FW$6))</f>
        <v>0</v>
      </c>
      <c r="FX25" s="133" cm="1">
        <f t="array" ref="FX25">TRANSPOSE(SUMIFS(Графики!$K$7:$K$306,Графики!$D$7:$D$306,DCF!FX$6))</f>
        <v>0</v>
      </c>
      <c r="FY25" s="133" cm="1">
        <f t="array" ref="FY25">TRANSPOSE(SUMIFS(Графики!$K$7:$K$306,Графики!$D$7:$D$306,DCF!FY$6))</f>
        <v>0</v>
      </c>
      <c r="FZ25" s="133" cm="1">
        <f t="array" ref="FZ25">TRANSPOSE(SUMIFS(Графики!$K$7:$K$306,Графики!$D$7:$D$306,DCF!FZ$6))</f>
        <v>0</v>
      </c>
      <c r="GA25" s="133" cm="1">
        <f t="array" ref="GA25">TRANSPOSE(SUMIFS(Графики!$K$7:$K$306,Графики!$D$7:$D$306,DCF!GA$6))</f>
        <v>0</v>
      </c>
      <c r="GB25" s="133" cm="1">
        <f t="array" ref="GB25">TRANSPOSE(SUMIFS(Графики!$K$7:$K$306,Графики!$D$7:$D$306,DCF!GB$6))</f>
        <v>0</v>
      </c>
      <c r="GC25" s="133" cm="1">
        <f t="array" ref="GC25">TRANSPOSE(SUMIFS(Графики!$K$7:$K$306,Графики!$D$7:$D$306,DCF!GC$6))</f>
        <v>0</v>
      </c>
      <c r="GD25" s="133" cm="1">
        <f t="array" ref="GD25">TRANSPOSE(SUMIFS(Графики!$K$7:$K$306,Графики!$D$7:$D$306,DCF!GD$6))</f>
        <v>0</v>
      </c>
      <c r="GE25" s="133" cm="1">
        <f t="array" ref="GE25">TRANSPOSE(SUMIFS(Графики!$K$7:$K$306,Графики!$D$7:$D$306,DCF!GE$6))</f>
        <v>0</v>
      </c>
      <c r="GF25" s="133" cm="1">
        <f t="array" ref="GF25">TRANSPOSE(SUMIFS(Графики!$K$7:$K$306,Графики!$D$7:$D$306,DCF!GF$6))</f>
        <v>0</v>
      </c>
      <c r="GG25" s="133" cm="1">
        <f t="array" ref="GG25">TRANSPOSE(SUMIFS(Графики!$K$7:$K$306,Графики!$D$7:$D$306,DCF!GG$6))</f>
        <v>0</v>
      </c>
      <c r="GH25" s="133" cm="1">
        <f t="array" ref="GH25">TRANSPOSE(SUMIFS(Графики!$K$7:$K$306,Графики!$D$7:$D$306,DCF!GH$6))</f>
        <v>0</v>
      </c>
      <c r="GI25" s="133" cm="1">
        <f t="array" ref="GI25">TRANSPOSE(SUMIFS(Графики!$K$7:$K$306,Графики!$D$7:$D$306,DCF!GI$6))</f>
        <v>0</v>
      </c>
      <c r="GJ25" s="133" cm="1">
        <f t="array" ref="GJ25">TRANSPOSE(SUMIFS(Графики!$K$7:$K$306,Графики!$D$7:$D$306,DCF!GJ$6))</f>
        <v>0</v>
      </c>
      <c r="GK25" s="133" cm="1">
        <f t="array" ref="GK25">TRANSPOSE(SUMIFS(Графики!$K$7:$K$306,Графики!$D$7:$D$306,DCF!GK$6))</f>
        <v>0</v>
      </c>
      <c r="GL25" s="133" cm="1">
        <f t="array" ref="GL25">TRANSPOSE(SUMIFS(Графики!$K$7:$K$306,Графики!$D$7:$D$306,DCF!GL$6))</f>
        <v>0</v>
      </c>
      <c r="GM25" s="133" cm="1">
        <f t="array" ref="GM25">TRANSPOSE(SUMIFS(Графики!$K$7:$K$306,Графики!$D$7:$D$306,DCF!GM$6))</f>
        <v>0</v>
      </c>
      <c r="GN25" s="133" cm="1">
        <f t="array" ref="GN25">TRANSPOSE(SUMIFS(Графики!$K$7:$K$306,Графики!$D$7:$D$306,DCF!GN$6))</f>
        <v>0</v>
      </c>
      <c r="GO25" s="133" cm="1">
        <f t="array" ref="GO25">TRANSPOSE(SUMIFS(Графики!$K$7:$K$306,Графики!$D$7:$D$306,DCF!GO$6))</f>
        <v>0</v>
      </c>
      <c r="GP25" s="133" cm="1">
        <f t="array" ref="GP25">TRANSPOSE(SUMIFS(Графики!$K$7:$K$306,Графики!$D$7:$D$306,DCF!GP$6))</f>
        <v>0</v>
      </c>
      <c r="GQ25" s="133" cm="1">
        <f t="array" ref="GQ25">TRANSPOSE(SUMIFS(Графики!$K$7:$K$306,Графики!$D$7:$D$306,DCF!GQ$6))</f>
        <v>0</v>
      </c>
      <c r="GR25" s="133" cm="1">
        <f t="array" ref="GR25">TRANSPOSE(SUMIFS(Графики!$K$7:$K$306,Графики!$D$7:$D$306,DCF!GR$6))</f>
        <v>0</v>
      </c>
      <c r="GS25" s="133" cm="1">
        <f t="array" ref="GS25">TRANSPOSE(SUMIFS(Графики!$K$7:$K$306,Графики!$D$7:$D$306,DCF!GS$6))</f>
        <v>0</v>
      </c>
      <c r="GT25" s="133" cm="1">
        <f t="array" ref="GT25">TRANSPOSE(SUMIFS(Графики!$K$7:$K$306,Графики!$D$7:$D$306,DCF!GT$6))</f>
        <v>0</v>
      </c>
      <c r="GU25" s="133" cm="1">
        <f t="array" ref="GU25">TRANSPOSE(SUMIFS(Графики!$K$7:$K$306,Графики!$D$7:$D$306,DCF!GU$6))</f>
        <v>0</v>
      </c>
      <c r="GV25" s="133" cm="1">
        <f t="array" ref="GV25">TRANSPOSE(SUMIFS(Графики!$K$7:$K$306,Графики!$D$7:$D$306,DCF!GV$6))</f>
        <v>0</v>
      </c>
      <c r="GW25" s="133" cm="1">
        <f t="array" ref="GW25">TRANSPOSE(SUMIFS(Графики!$K$7:$K$306,Графики!$D$7:$D$306,DCF!GW$6))</f>
        <v>0</v>
      </c>
      <c r="GX25" s="133" cm="1">
        <f t="array" ref="GX25">TRANSPOSE(SUMIFS(Графики!$K$7:$K$306,Графики!$D$7:$D$306,DCF!GX$6))</f>
        <v>0</v>
      </c>
      <c r="GY25" s="133" cm="1">
        <f t="array" ref="GY25">TRANSPOSE(SUMIFS(Графики!$K$7:$K$306,Графики!$D$7:$D$306,DCF!GY$6))</f>
        <v>0</v>
      </c>
      <c r="GZ25" s="133" cm="1">
        <f t="array" ref="GZ25">TRANSPOSE(SUMIFS(Графики!$K$7:$K$306,Графики!$D$7:$D$306,DCF!GZ$6))</f>
        <v>0</v>
      </c>
      <c r="HA25" s="133" cm="1">
        <f t="array" ref="HA25">TRANSPOSE(SUMIFS(Графики!$K$7:$K$306,Графики!$D$7:$D$306,DCF!HA$6))</f>
        <v>0</v>
      </c>
      <c r="HB25" s="133" cm="1">
        <f t="array" ref="HB25">TRANSPOSE(SUMIFS(Графики!$K$7:$K$306,Графики!$D$7:$D$306,DCF!HB$6))</f>
        <v>0</v>
      </c>
      <c r="HC25" s="133" cm="1">
        <f t="array" ref="HC25">TRANSPOSE(SUMIFS(Графики!$K$7:$K$306,Графики!$D$7:$D$306,DCF!HC$6))</f>
        <v>0</v>
      </c>
      <c r="HD25" s="133" cm="1">
        <f t="array" ref="HD25">TRANSPOSE(SUMIFS(Графики!$K$7:$K$306,Графики!$D$7:$D$306,DCF!HD$6))</f>
        <v>0</v>
      </c>
      <c r="HE25" s="133" cm="1">
        <f t="array" ref="HE25">TRANSPOSE(SUMIFS(Графики!$K$7:$K$306,Графики!$D$7:$D$306,DCF!HE$6))</f>
        <v>0</v>
      </c>
      <c r="HF25" s="133" cm="1">
        <f t="array" ref="HF25">TRANSPOSE(SUMIFS(Графики!$K$7:$K$306,Графики!$D$7:$D$306,DCF!HF$6))</f>
        <v>0</v>
      </c>
      <c r="HG25" s="133" cm="1">
        <f t="array" ref="HG25">TRANSPOSE(SUMIFS(Графики!$K$7:$K$306,Графики!$D$7:$D$306,DCF!HG$6))</f>
        <v>0</v>
      </c>
      <c r="HH25" s="133" cm="1">
        <f t="array" ref="HH25">TRANSPOSE(SUMIFS(Графики!$K$7:$K$306,Графики!$D$7:$D$306,DCF!HH$6))</f>
        <v>0</v>
      </c>
      <c r="HI25" s="133" cm="1">
        <f t="array" ref="HI25">TRANSPOSE(SUMIFS(Графики!$K$7:$K$306,Графики!$D$7:$D$306,DCF!HI$6))</f>
        <v>0</v>
      </c>
      <c r="HJ25" s="133" cm="1">
        <f t="array" ref="HJ25">TRANSPOSE(SUMIFS(Графики!$K$7:$K$306,Графики!$D$7:$D$306,DCF!HJ$6))</f>
        <v>0</v>
      </c>
      <c r="HK25" s="133" cm="1">
        <f t="array" ref="HK25">TRANSPOSE(SUMIFS(Графики!$K$7:$K$306,Графики!$D$7:$D$306,DCF!HK$6))</f>
        <v>0</v>
      </c>
      <c r="HL25" s="133" cm="1">
        <f t="array" ref="HL25">TRANSPOSE(SUMIFS(Графики!$K$7:$K$306,Графики!$D$7:$D$306,DCF!HL$6))</f>
        <v>0</v>
      </c>
      <c r="HM25" s="133" cm="1">
        <f t="array" ref="HM25">TRANSPOSE(SUMIFS(Графики!$K$7:$K$306,Графики!$D$7:$D$306,DCF!HM$6))</f>
        <v>0</v>
      </c>
      <c r="HN25" s="133" cm="1">
        <f t="array" ref="HN25">TRANSPOSE(SUMIFS(Графики!$K$7:$K$306,Графики!$D$7:$D$306,DCF!HN$6))</f>
        <v>0</v>
      </c>
      <c r="HO25" s="133" cm="1">
        <f t="array" ref="HO25">TRANSPOSE(SUMIFS(Графики!$K$7:$K$306,Графики!$D$7:$D$306,DCF!HO$6))</f>
        <v>0</v>
      </c>
      <c r="HP25" s="133" cm="1">
        <f t="array" ref="HP25">TRANSPOSE(SUMIFS(Графики!$K$7:$K$306,Графики!$D$7:$D$306,DCF!HP$6))</f>
        <v>0</v>
      </c>
      <c r="HQ25" s="133" cm="1">
        <f t="array" ref="HQ25">TRANSPOSE(SUMIFS(Графики!$K$7:$K$306,Графики!$D$7:$D$306,DCF!HQ$6))</f>
        <v>0</v>
      </c>
      <c r="HR25" s="133" cm="1">
        <f t="array" ref="HR25">TRANSPOSE(SUMIFS(Графики!$K$7:$K$306,Графики!$D$7:$D$306,DCF!HR$6))</f>
        <v>0</v>
      </c>
      <c r="HS25" s="133" cm="1">
        <f t="array" ref="HS25">TRANSPOSE(SUMIFS(Графики!$K$7:$K$306,Графики!$D$7:$D$306,DCF!HS$6))</f>
        <v>0</v>
      </c>
      <c r="HT25" s="133" cm="1">
        <f t="array" ref="HT25">TRANSPOSE(SUMIFS(Графики!$K$7:$K$306,Графики!$D$7:$D$306,DCF!HT$6))</f>
        <v>0</v>
      </c>
      <c r="HU25" s="133" cm="1">
        <f t="array" ref="HU25">TRANSPOSE(SUMIFS(Графики!$K$7:$K$306,Графики!$D$7:$D$306,DCF!HU$6))</f>
        <v>0</v>
      </c>
      <c r="HV25" s="133" cm="1">
        <f t="array" ref="HV25">TRANSPOSE(SUMIFS(Графики!$K$7:$K$306,Графики!$D$7:$D$306,DCF!HV$6))</f>
        <v>0</v>
      </c>
      <c r="HW25" s="133" cm="1">
        <f t="array" ref="HW25">TRANSPOSE(SUMIFS(Графики!$K$7:$K$306,Графики!$D$7:$D$306,DCF!HW$6))</f>
        <v>0</v>
      </c>
      <c r="HX25" s="133" cm="1">
        <f t="array" ref="HX25">TRANSPOSE(SUMIFS(Графики!$K$7:$K$306,Графики!$D$7:$D$306,DCF!HX$6))</f>
        <v>0</v>
      </c>
      <c r="HY25" s="133" cm="1">
        <f t="array" ref="HY25">TRANSPOSE(SUMIFS(Графики!$K$7:$K$306,Графики!$D$7:$D$306,DCF!HY$6))</f>
        <v>0</v>
      </c>
      <c r="HZ25" s="133" cm="1">
        <f t="array" ref="HZ25">TRANSPOSE(SUMIFS(Графики!$K$7:$K$306,Графики!$D$7:$D$306,DCF!HZ$6))</f>
        <v>0</v>
      </c>
      <c r="IA25" s="133" cm="1">
        <f t="array" ref="IA25">TRANSPOSE(SUMIFS(Графики!$K$7:$K$306,Графики!$D$7:$D$306,DCF!IA$6))</f>
        <v>0</v>
      </c>
      <c r="IB25" s="133" cm="1">
        <f t="array" ref="IB25">TRANSPOSE(SUMIFS(Графики!$K$7:$K$306,Графики!$D$7:$D$306,DCF!IB$6))</f>
        <v>0</v>
      </c>
      <c r="IC25" s="133" cm="1">
        <f t="array" ref="IC25">TRANSPOSE(SUMIFS(Графики!$K$7:$K$306,Графики!$D$7:$D$306,DCF!IC$6))</f>
        <v>0</v>
      </c>
      <c r="ID25" s="133" cm="1">
        <f t="array" ref="ID25">TRANSPOSE(SUMIFS(Графики!$K$7:$K$306,Графики!$D$7:$D$306,DCF!ID$6))</f>
        <v>0</v>
      </c>
      <c r="IE25" s="133" cm="1">
        <f t="array" ref="IE25">TRANSPOSE(SUMIFS(Графики!$K$7:$K$306,Графики!$D$7:$D$306,DCF!IE$6))</f>
        <v>0</v>
      </c>
      <c r="IF25" s="133" cm="1">
        <f t="array" ref="IF25">TRANSPOSE(SUMIFS(Графики!$K$7:$K$306,Графики!$D$7:$D$306,DCF!IF$6))</f>
        <v>0</v>
      </c>
      <c r="IG25" s="133" cm="1">
        <f t="array" ref="IG25">TRANSPOSE(SUMIFS(Графики!$K$7:$K$306,Графики!$D$7:$D$306,DCF!IG$6))</f>
        <v>0</v>
      </c>
      <c r="IH25" s="133" cm="1">
        <f t="array" ref="IH25">TRANSPOSE(SUMIFS(Графики!$K$7:$K$306,Графики!$D$7:$D$306,DCF!IH$6))</f>
        <v>0</v>
      </c>
      <c r="II25" s="133" cm="1">
        <f t="array" ref="II25">TRANSPOSE(SUMIFS(Графики!$K$7:$K$306,Графики!$D$7:$D$306,DCF!II$6))</f>
        <v>0</v>
      </c>
      <c r="IJ25" s="133" cm="1">
        <f t="array" ref="IJ25">TRANSPOSE(SUMIFS(Графики!$K$7:$K$306,Графики!$D$7:$D$306,DCF!IJ$6))</f>
        <v>0</v>
      </c>
      <c r="IK25" s="133" cm="1">
        <f t="array" ref="IK25">TRANSPOSE(SUMIFS(Графики!$K$7:$K$306,Графики!$D$7:$D$306,DCF!IK$6))</f>
        <v>0</v>
      </c>
      <c r="IL25" s="133" cm="1">
        <f t="array" ref="IL25">TRANSPOSE(SUMIFS(Графики!$K$7:$K$306,Графики!$D$7:$D$306,DCF!IL$6))</f>
        <v>0</v>
      </c>
      <c r="IM25" s="133" cm="1">
        <f t="array" ref="IM25">TRANSPOSE(SUMIFS(Графики!$K$7:$K$306,Графики!$D$7:$D$306,DCF!IM$6))</f>
        <v>0</v>
      </c>
      <c r="IN25" s="133" cm="1">
        <f t="array" ref="IN25">TRANSPOSE(SUMIFS(Графики!$K$7:$K$306,Графики!$D$7:$D$306,DCF!IN$6))</f>
        <v>0</v>
      </c>
      <c r="IO25" s="133" cm="1">
        <f t="array" ref="IO25">TRANSPOSE(SUMIFS(Графики!$K$7:$K$306,Графики!$D$7:$D$306,DCF!IO$6))</f>
        <v>0</v>
      </c>
      <c r="IP25" s="133" cm="1">
        <f t="array" ref="IP25">TRANSPOSE(SUMIFS(Графики!$K$7:$K$306,Графики!$D$7:$D$306,DCF!IP$6))</f>
        <v>0</v>
      </c>
      <c r="IQ25" s="133" cm="1">
        <f t="array" ref="IQ25">TRANSPOSE(SUMIFS(Графики!$K$7:$K$306,Графики!$D$7:$D$306,DCF!IQ$6))</f>
        <v>0</v>
      </c>
      <c r="IR25" s="133" cm="1">
        <f t="array" ref="IR25">TRANSPOSE(SUMIFS(Графики!$K$7:$K$306,Графики!$D$7:$D$306,DCF!IR$6))</f>
        <v>0</v>
      </c>
      <c r="IS25" s="133" cm="1">
        <f t="array" ref="IS25">TRANSPOSE(SUMIFS(Графики!$K$7:$K$306,Графики!$D$7:$D$306,DCF!IS$6))</f>
        <v>0</v>
      </c>
      <c r="IT25" s="133" cm="1">
        <f t="array" ref="IT25">TRANSPOSE(SUMIFS(Графики!$K$7:$K$306,Графики!$D$7:$D$306,DCF!IT$6))</f>
        <v>0</v>
      </c>
      <c r="IU25" s="133" cm="1">
        <f t="array" ref="IU25">TRANSPOSE(SUMIFS(Графики!$K$7:$K$306,Графики!$D$7:$D$306,DCF!IU$6))</f>
        <v>0</v>
      </c>
      <c r="IV25" s="133" cm="1">
        <f t="array" ref="IV25">TRANSPOSE(SUMIFS(Графики!$K$7:$K$306,Графики!$D$7:$D$306,DCF!IV$6))</f>
        <v>0</v>
      </c>
      <c r="IW25" s="133" cm="1">
        <f t="array" ref="IW25">TRANSPOSE(SUMIFS(Графики!$K$7:$K$306,Графики!$D$7:$D$306,DCF!IW$6))</f>
        <v>0</v>
      </c>
      <c r="IX25" s="133" cm="1">
        <f t="array" ref="IX25">TRANSPOSE(SUMIFS(Графики!$K$7:$K$306,Графики!$D$7:$D$306,DCF!IX$6))</f>
        <v>0</v>
      </c>
      <c r="IY25" s="133" cm="1">
        <f t="array" ref="IY25">TRANSPOSE(SUMIFS(Графики!$K$7:$K$306,Графики!$D$7:$D$306,DCF!IY$6))</f>
        <v>0</v>
      </c>
      <c r="IZ25" s="133" cm="1">
        <f t="array" ref="IZ25">TRANSPOSE(SUMIFS(Графики!$K$7:$K$306,Графики!$D$7:$D$306,DCF!IZ$6))</f>
        <v>0</v>
      </c>
      <c r="JA25" s="133" cm="1">
        <f t="array" ref="JA25">TRANSPOSE(SUMIFS(Графики!$K$7:$K$306,Графики!$D$7:$D$306,DCF!JA$6))</f>
        <v>0</v>
      </c>
      <c r="JB25" s="133" cm="1">
        <f t="array" ref="JB25">TRANSPOSE(SUMIFS(Графики!$K$7:$K$306,Графики!$D$7:$D$306,DCF!JB$6))</f>
        <v>0</v>
      </c>
      <c r="JC25" s="133" cm="1">
        <f t="array" ref="JC25">TRANSPOSE(SUMIFS(Графики!$K$7:$K$306,Графики!$D$7:$D$306,DCF!JC$6))</f>
        <v>0</v>
      </c>
      <c r="JD25" s="133" cm="1">
        <f t="array" ref="JD25">TRANSPOSE(SUMIFS(Графики!$K$7:$K$306,Графики!$D$7:$D$306,DCF!JD$6))</f>
        <v>0</v>
      </c>
      <c r="JE25" s="133" cm="1">
        <f t="array" ref="JE25">TRANSPOSE(SUMIFS(Графики!$K$7:$K$306,Графики!$D$7:$D$306,DCF!JE$6))</f>
        <v>0</v>
      </c>
      <c r="JF25" s="133" cm="1">
        <f t="array" ref="JF25">TRANSPOSE(SUMIFS(Графики!$K$7:$K$306,Графики!$D$7:$D$306,DCF!JF$6))</f>
        <v>0</v>
      </c>
      <c r="JG25" s="133" cm="1">
        <f t="array" ref="JG25">TRANSPOSE(SUMIFS(Графики!$K$7:$K$306,Графики!$D$7:$D$306,DCF!JG$6))</f>
        <v>0</v>
      </c>
      <c r="JH25" s="133" cm="1">
        <f t="array" ref="JH25">TRANSPOSE(SUMIFS(Графики!$K$7:$K$306,Графики!$D$7:$D$306,DCF!JH$6))</f>
        <v>0</v>
      </c>
      <c r="JI25" s="133" cm="1">
        <f t="array" ref="JI25">TRANSPOSE(SUMIFS(Графики!$K$7:$K$306,Графики!$D$7:$D$306,DCF!JI$6))</f>
        <v>0</v>
      </c>
      <c r="JJ25" s="133" cm="1">
        <f t="array" ref="JJ25">TRANSPOSE(SUMIFS(Графики!$K$7:$K$306,Графики!$D$7:$D$306,DCF!JJ$6))</f>
        <v>0</v>
      </c>
      <c r="JK25" s="133" cm="1">
        <f t="array" ref="JK25">TRANSPOSE(SUMIFS(Графики!$K$7:$K$306,Графики!$D$7:$D$306,DCF!JK$6))</f>
        <v>0</v>
      </c>
      <c r="JL25" s="133" cm="1">
        <f t="array" ref="JL25">TRANSPOSE(SUMIFS(Графики!$K$7:$K$306,Графики!$D$7:$D$306,DCF!JL$6))</f>
        <v>0</v>
      </c>
      <c r="JM25" s="133" cm="1">
        <f t="array" ref="JM25">TRANSPOSE(SUMIFS(Графики!$K$7:$K$306,Графики!$D$7:$D$306,DCF!JM$6))</f>
        <v>0</v>
      </c>
      <c r="JN25" s="133" cm="1">
        <f t="array" ref="JN25">TRANSPOSE(SUMIFS(Графики!$K$7:$K$306,Графики!$D$7:$D$306,DCF!JN$6))</f>
        <v>0</v>
      </c>
      <c r="JO25" s="133" cm="1">
        <f t="array" ref="JO25">TRANSPOSE(SUMIFS(Графики!$K$7:$K$306,Графики!$D$7:$D$306,DCF!JO$6))</f>
        <v>0</v>
      </c>
      <c r="JP25" s="133" cm="1">
        <f t="array" ref="JP25">TRANSPOSE(SUMIFS(Графики!$K$7:$K$306,Графики!$D$7:$D$306,DCF!JP$6))</f>
        <v>0</v>
      </c>
      <c r="JQ25" s="133" cm="1">
        <f t="array" ref="JQ25">TRANSPOSE(SUMIFS(Графики!$K$7:$K$306,Графики!$D$7:$D$306,DCF!JQ$6))</f>
        <v>0</v>
      </c>
      <c r="JR25" s="133" cm="1">
        <f t="array" ref="JR25">TRANSPOSE(SUMIFS(Графики!$K$7:$K$306,Графики!$D$7:$D$306,DCF!JR$6))</f>
        <v>0</v>
      </c>
      <c r="JS25" s="133" cm="1">
        <f t="array" ref="JS25">TRANSPOSE(SUMIFS(Графики!$K$7:$K$306,Графики!$D$7:$D$306,DCF!JS$6))</f>
        <v>0</v>
      </c>
      <c r="JT25" s="133" cm="1">
        <f t="array" ref="JT25">TRANSPOSE(SUMIFS(Графики!$K$7:$K$306,Графики!$D$7:$D$306,DCF!JT$6))</f>
        <v>0</v>
      </c>
      <c r="JU25" s="133" cm="1">
        <f t="array" ref="JU25">TRANSPOSE(SUMIFS(Графики!$K$7:$K$306,Графики!$D$7:$D$306,DCF!JU$6))</f>
        <v>0</v>
      </c>
      <c r="JV25" s="133" cm="1">
        <f t="array" ref="JV25">TRANSPOSE(SUMIFS(Графики!$K$7:$K$306,Графики!$D$7:$D$306,DCF!JV$6))</f>
        <v>0</v>
      </c>
      <c r="JW25" s="133" cm="1">
        <f t="array" ref="JW25">TRANSPOSE(SUMIFS(Графики!$K$7:$K$306,Графики!$D$7:$D$306,DCF!JW$6))</f>
        <v>0</v>
      </c>
      <c r="JX25" s="133" cm="1">
        <f t="array" ref="JX25">TRANSPOSE(SUMIFS(Графики!$K$7:$K$306,Графики!$D$7:$D$306,DCF!JX$6))</f>
        <v>0</v>
      </c>
      <c r="JY25" s="133" cm="1">
        <f t="array" ref="JY25">TRANSPOSE(SUMIFS(Графики!$K$7:$K$306,Графики!$D$7:$D$306,DCF!JY$6))</f>
        <v>0</v>
      </c>
      <c r="JZ25" s="133" cm="1">
        <f t="array" ref="JZ25">TRANSPOSE(SUMIFS(Графики!$K$7:$K$306,Графики!$D$7:$D$306,DCF!JZ$6))</f>
        <v>0</v>
      </c>
      <c r="KA25" s="133" cm="1">
        <f t="array" ref="KA25">TRANSPOSE(SUMIFS(Графики!$K$7:$K$306,Графики!$D$7:$D$306,DCF!KA$6))</f>
        <v>0</v>
      </c>
      <c r="KB25" s="133" cm="1">
        <f t="array" ref="KB25">TRANSPOSE(SUMIFS(Графики!$K$7:$K$306,Графики!$D$7:$D$306,DCF!KB$6))</f>
        <v>0</v>
      </c>
      <c r="KC25" s="133" cm="1">
        <f t="array" ref="KC25">TRANSPOSE(SUMIFS(Графики!$K$7:$K$306,Графики!$D$7:$D$306,DCF!KC$6))</f>
        <v>0</v>
      </c>
      <c r="KD25" s="133" cm="1">
        <f t="array" ref="KD25">TRANSPOSE(SUMIFS(Графики!$K$7:$K$306,Графики!$D$7:$D$306,DCF!KD$6))</f>
        <v>0</v>
      </c>
      <c r="KE25" s="133" cm="1">
        <f t="array" ref="KE25">TRANSPOSE(SUMIFS(Графики!$K$7:$K$306,Графики!$D$7:$D$306,DCF!KE$6))</f>
        <v>0</v>
      </c>
      <c r="KF25" s="133" cm="1">
        <f t="array" ref="KF25">TRANSPOSE(SUMIFS(Графики!$K$7:$K$306,Графики!$D$7:$D$306,DCF!KF$6))</f>
        <v>0</v>
      </c>
      <c r="KG25" s="133" cm="1">
        <f t="array" ref="KG25">TRANSPOSE(SUMIFS(Графики!$K$7:$K$306,Графики!$D$7:$D$306,DCF!KG$6))</f>
        <v>0</v>
      </c>
      <c r="KH25" s="133" cm="1">
        <f t="array" ref="KH25">TRANSPOSE(SUMIFS(Графики!$K$7:$K$306,Графики!$D$7:$D$306,DCF!KH$6))</f>
        <v>0</v>
      </c>
      <c r="KI25" s="133" cm="1">
        <f t="array" ref="KI25">TRANSPOSE(SUMIFS(Графики!$K$7:$K$306,Графики!$D$7:$D$306,DCF!KI$6))</f>
        <v>0</v>
      </c>
      <c r="KJ25" s="133" cm="1">
        <f t="array" ref="KJ25">TRANSPOSE(SUMIFS(Графики!$K$7:$K$306,Графики!$D$7:$D$306,DCF!KJ$6))</f>
        <v>0</v>
      </c>
      <c r="KK25" s="133" cm="1">
        <f t="array" ref="KK25">TRANSPOSE(SUMIFS(Графики!$K$7:$K$306,Графики!$D$7:$D$306,DCF!KK$6))</f>
        <v>0</v>
      </c>
      <c r="KL25" s="133" cm="1">
        <f t="array" ref="KL25">TRANSPOSE(SUMIFS(Графики!$K$7:$K$306,Графики!$D$7:$D$306,DCF!KL$6))</f>
        <v>0</v>
      </c>
      <c r="KM25" s="133" cm="1">
        <f t="array" ref="KM25">TRANSPOSE(SUMIFS(Графики!$K$7:$K$306,Графики!$D$7:$D$306,DCF!KM$6))</f>
        <v>0</v>
      </c>
      <c r="KN25" s="133" cm="1">
        <f t="array" ref="KN25">TRANSPOSE(SUMIFS(Графики!$K$7:$K$306,Графики!$D$7:$D$306,DCF!KN$6))</f>
        <v>0</v>
      </c>
      <c r="KO25" s="133" cm="1">
        <f t="array" ref="KO25">TRANSPOSE(SUMIFS(Графики!$K$7:$K$306,Графики!$D$7:$D$306,DCF!KO$6))</f>
        <v>0</v>
      </c>
      <c r="KP25" s="133" cm="1">
        <f t="array" ref="KP25">TRANSPOSE(SUMIFS(Графики!$K$7:$K$306,Графики!$D$7:$D$306,DCF!KP$6))</f>
        <v>0</v>
      </c>
      <c r="KQ25" s="133" cm="1">
        <f t="array" ref="KQ25">TRANSPOSE(SUMIFS(Графики!$K$7:$K$306,Графики!$D$7:$D$306,DCF!KQ$6))</f>
        <v>0</v>
      </c>
    </row>
    <row r="26" spans="2:303" x14ac:dyDescent="0.35">
      <c r="B26" s="126" t="s">
        <v>121</v>
      </c>
      <c r="C26" s="123">
        <f t="shared" si="347"/>
        <v>0</v>
      </c>
      <c r="D26" s="140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258"/>
      <c r="AR26" s="258"/>
      <c r="AS26" s="258"/>
      <c r="AT26" s="258"/>
      <c r="AU26" s="258"/>
      <c r="AV26" s="258"/>
      <c r="AW26" s="258"/>
      <c r="AX26" s="258"/>
      <c r="AY26" s="258"/>
      <c r="AZ26" s="258"/>
      <c r="BA26" s="258"/>
      <c r="BB26" s="258"/>
      <c r="BC26" s="258"/>
      <c r="BD26" s="258"/>
      <c r="BE26" s="258"/>
      <c r="BF26" s="258"/>
      <c r="BG26" s="258"/>
      <c r="BH26" s="258"/>
      <c r="BI26" s="258"/>
      <c r="BJ26" s="258"/>
      <c r="BK26" s="258"/>
      <c r="BL26" s="258"/>
      <c r="BM26" s="258"/>
      <c r="BN26" s="258"/>
      <c r="BO26" s="258"/>
      <c r="BP26" s="258"/>
      <c r="BQ26" s="258"/>
      <c r="BR26" s="258"/>
      <c r="BS26" s="258"/>
      <c r="BT26" s="258"/>
      <c r="BU26" s="258"/>
      <c r="BV26" s="258"/>
      <c r="BW26" s="258"/>
      <c r="BX26" s="258"/>
      <c r="BY26" s="258"/>
      <c r="BZ26" s="258"/>
      <c r="CA26" s="258"/>
      <c r="CB26" s="258"/>
      <c r="CC26" s="258"/>
      <c r="CD26" s="258"/>
      <c r="CE26" s="258"/>
      <c r="CF26" s="258"/>
      <c r="CG26" s="258"/>
      <c r="CH26" s="258"/>
      <c r="CI26" s="258"/>
      <c r="CJ26" s="258"/>
      <c r="CK26" s="258"/>
      <c r="CL26" s="258"/>
      <c r="CM26" s="258"/>
      <c r="CN26" s="258"/>
      <c r="CO26" s="258"/>
      <c r="CP26" s="258"/>
      <c r="CQ26" s="258"/>
      <c r="CR26" s="258"/>
      <c r="CS26" s="258"/>
      <c r="CT26" s="258"/>
      <c r="CU26" s="258"/>
      <c r="CV26" s="258"/>
      <c r="CW26" s="258"/>
      <c r="CX26" s="258"/>
      <c r="CY26" s="258"/>
      <c r="CZ26" s="258"/>
      <c r="DA26" s="258"/>
      <c r="DB26" s="258"/>
      <c r="DC26" s="258"/>
      <c r="DD26" s="258"/>
      <c r="DE26" s="258"/>
      <c r="DF26" s="258"/>
      <c r="DG26" s="258"/>
      <c r="DH26" s="258"/>
      <c r="DI26" s="258"/>
      <c r="DJ26" s="258"/>
      <c r="DK26" s="258"/>
      <c r="DL26" s="258"/>
      <c r="DM26" s="258"/>
      <c r="DN26" s="258"/>
      <c r="DO26" s="258"/>
      <c r="DP26" s="258"/>
      <c r="DQ26" s="258"/>
      <c r="DR26" s="258"/>
      <c r="DS26" s="258"/>
      <c r="DT26" s="258"/>
      <c r="DU26" s="258"/>
      <c r="DV26" s="258"/>
      <c r="DW26" s="258"/>
      <c r="DX26" s="258"/>
      <c r="DY26" s="258"/>
      <c r="DZ26" s="258"/>
      <c r="EA26" s="258"/>
      <c r="EB26" s="258"/>
      <c r="EC26" s="258"/>
      <c r="ED26" s="258"/>
      <c r="EE26" s="258"/>
      <c r="EF26" s="258"/>
      <c r="EG26" s="258"/>
      <c r="EH26" s="258"/>
      <c r="EI26" s="258"/>
      <c r="EJ26" s="258"/>
      <c r="EK26" s="258"/>
      <c r="EL26" s="258"/>
      <c r="EM26" s="258"/>
      <c r="EN26" s="258"/>
      <c r="EO26" s="258"/>
      <c r="EP26" s="258"/>
      <c r="EQ26" s="258"/>
      <c r="ER26" s="258"/>
      <c r="ES26" s="258"/>
      <c r="ET26" s="258"/>
      <c r="EU26" s="258"/>
      <c r="EV26" s="258"/>
      <c r="EW26" s="258"/>
      <c r="EX26" s="258"/>
      <c r="EY26" s="258"/>
      <c r="EZ26" s="258"/>
      <c r="FA26" s="258"/>
      <c r="FB26" s="258"/>
      <c r="FC26" s="258"/>
      <c r="FD26" s="258"/>
      <c r="FE26" s="258"/>
      <c r="FF26" s="258"/>
      <c r="FG26" s="258"/>
      <c r="FH26" s="258"/>
      <c r="FI26" s="258"/>
      <c r="FJ26" s="258"/>
      <c r="FK26" s="258"/>
      <c r="FL26" s="258"/>
      <c r="FM26" s="258"/>
      <c r="FN26" s="258"/>
      <c r="FO26" s="258"/>
      <c r="FP26" s="258"/>
      <c r="FQ26" s="258"/>
      <c r="FR26" s="258"/>
      <c r="FS26" s="258"/>
      <c r="FT26" s="258"/>
      <c r="FU26" s="258"/>
      <c r="FV26" s="258"/>
      <c r="FW26" s="258"/>
      <c r="FX26" s="258"/>
      <c r="FY26" s="258"/>
      <c r="FZ26" s="258"/>
      <c r="GA26" s="258"/>
      <c r="GB26" s="258"/>
      <c r="GC26" s="258"/>
      <c r="GD26" s="258"/>
      <c r="GE26" s="258"/>
      <c r="GF26" s="258"/>
      <c r="GG26" s="258"/>
      <c r="GH26" s="258"/>
      <c r="GI26" s="258"/>
      <c r="GJ26" s="258"/>
      <c r="GK26" s="258"/>
      <c r="GL26" s="258"/>
      <c r="GM26" s="258"/>
      <c r="GN26" s="258"/>
      <c r="GO26" s="258"/>
      <c r="GP26" s="258"/>
      <c r="GQ26" s="258"/>
      <c r="GR26" s="258"/>
      <c r="GS26" s="258"/>
      <c r="GT26" s="258"/>
      <c r="GU26" s="258"/>
      <c r="GV26" s="258"/>
      <c r="GW26" s="258"/>
      <c r="GX26" s="258"/>
      <c r="GY26" s="258"/>
      <c r="GZ26" s="258"/>
      <c r="HA26" s="258"/>
      <c r="HB26" s="258"/>
      <c r="HC26" s="258"/>
      <c r="HD26" s="258"/>
      <c r="HE26" s="258"/>
      <c r="HF26" s="258"/>
      <c r="HG26" s="258"/>
      <c r="HH26" s="258"/>
      <c r="HI26" s="258"/>
      <c r="HJ26" s="258"/>
      <c r="HK26" s="258"/>
      <c r="HL26" s="258"/>
      <c r="HM26" s="258"/>
      <c r="HN26" s="258"/>
      <c r="HO26" s="258"/>
      <c r="HP26" s="258"/>
      <c r="HQ26" s="258"/>
      <c r="HR26" s="258"/>
      <c r="HS26" s="258"/>
      <c r="HT26" s="258"/>
      <c r="HU26" s="258"/>
      <c r="HV26" s="258"/>
      <c r="HW26" s="258"/>
      <c r="HX26" s="258"/>
      <c r="HY26" s="258"/>
      <c r="HZ26" s="258"/>
      <c r="IA26" s="258"/>
      <c r="IB26" s="258"/>
      <c r="IC26" s="258"/>
      <c r="ID26" s="258"/>
      <c r="IE26" s="258"/>
      <c r="IF26" s="258"/>
      <c r="IG26" s="258"/>
      <c r="IH26" s="258"/>
      <c r="II26" s="258"/>
      <c r="IJ26" s="258"/>
      <c r="IK26" s="258"/>
      <c r="IL26" s="258"/>
      <c r="IM26" s="258"/>
      <c r="IN26" s="258"/>
      <c r="IO26" s="258"/>
      <c r="IP26" s="258"/>
      <c r="IQ26" s="258"/>
      <c r="IR26" s="258"/>
      <c r="IS26" s="258"/>
      <c r="IT26" s="258"/>
      <c r="IU26" s="258"/>
      <c r="IV26" s="258"/>
      <c r="IW26" s="258"/>
      <c r="IX26" s="258"/>
      <c r="IY26" s="258"/>
      <c r="IZ26" s="258"/>
      <c r="JA26" s="258"/>
      <c r="JB26" s="258"/>
      <c r="JC26" s="258"/>
      <c r="JD26" s="258"/>
      <c r="JE26" s="258"/>
      <c r="JF26" s="258"/>
      <c r="JG26" s="258"/>
      <c r="JH26" s="258"/>
      <c r="JI26" s="258"/>
      <c r="JJ26" s="258"/>
      <c r="JK26" s="258"/>
      <c r="JL26" s="258"/>
      <c r="JM26" s="258"/>
      <c r="JN26" s="258"/>
      <c r="JO26" s="258"/>
      <c r="JP26" s="258"/>
      <c r="JQ26" s="258"/>
      <c r="JR26" s="258"/>
      <c r="JS26" s="258"/>
      <c r="JT26" s="258"/>
      <c r="JU26" s="258"/>
      <c r="JV26" s="258"/>
      <c r="JW26" s="258"/>
      <c r="JX26" s="258"/>
      <c r="JY26" s="258"/>
      <c r="JZ26" s="258"/>
      <c r="KA26" s="258"/>
      <c r="KB26" s="258"/>
      <c r="KC26" s="258"/>
      <c r="KD26" s="258"/>
      <c r="KE26" s="258"/>
      <c r="KF26" s="258"/>
      <c r="KG26" s="258"/>
      <c r="KH26" s="258"/>
      <c r="KI26" s="258"/>
      <c r="KJ26" s="258"/>
      <c r="KK26" s="258"/>
      <c r="KL26" s="258"/>
      <c r="KM26" s="258"/>
      <c r="KN26" s="258"/>
      <c r="KO26" s="258"/>
      <c r="KP26" s="258"/>
      <c r="KQ26" s="258"/>
    </row>
    <row r="27" spans="2:303" x14ac:dyDescent="0.35">
      <c r="B27" s="126" t="s">
        <v>122</v>
      </c>
      <c r="C27" s="123">
        <f t="shared" si="347"/>
        <v>0</v>
      </c>
      <c r="D27" s="140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8"/>
      <c r="BK27" s="258"/>
      <c r="BL27" s="258"/>
      <c r="BM27" s="258"/>
      <c r="BN27" s="258"/>
      <c r="BO27" s="258"/>
      <c r="BP27" s="258"/>
      <c r="BQ27" s="258"/>
      <c r="BR27" s="258"/>
      <c r="BS27" s="258"/>
      <c r="BT27" s="258"/>
      <c r="BU27" s="258"/>
      <c r="BV27" s="258"/>
      <c r="BW27" s="258"/>
      <c r="BX27" s="258"/>
      <c r="BY27" s="258"/>
      <c r="BZ27" s="258"/>
      <c r="CA27" s="258"/>
      <c r="CB27" s="258"/>
      <c r="CC27" s="258"/>
      <c r="CD27" s="258"/>
      <c r="CE27" s="258"/>
      <c r="CF27" s="258"/>
      <c r="CG27" s="258"/>
      <c r="CH27" s="258"/>
      <c r="CI27" s="258"/>
      <c r="CJ27" s="258"/>
      <c r="CK27" s="258"/>
      <c r="CL27" s="258"/>
      <c r="CM27" s="258"/>
      <c r="CN27" s="258"/>
      <c r="CO27" s="258"/>
      <c r="CP27" s="258"/>
      <c r="CQ27" s="258"/>
      <c r="CR27" s="258"/>
      <c r="CS27" s="258"/>
      <c r="CT27" s="258"/>
      <c r="CU27" s="258"/>
      <c r="CV27" s="258"/>
      <c r="CW27" s="258"/>
      <c r="CX27" s="258"/>
      <c r="CY27" s="258"/>
      <c r="CZ27" s="258"/>
      <c r="DA27" s="258"/>
      <c r="DB27" s="258"/>
      <c r="DC27" s="258"/>
      <c r="DD27" s="258"/>
      <c r="DE27" s="258"/>
      <c r="DF27" s="258"/>
      <c r="DG27" s="258"/>
      <c r="DH27" s="258"/>
      <c r="DI27" s="258"/>
      <c r="DJ27" s="258"/>
      <c r="DK27" s="258"/>
      <c r="DL27" s="258"/>
      <c r="DM27" s="258"/>
      <c r="DN27" s="258"/>
      <c r="DO27" s="258"/>
      <c r="DP27" s="258"/>
      <c r="DQ27" s="258"/>
      <c r="DR27" s="258"/>
      <c r="DS27" s="258"/>
      <c r="DT27" s="258"/>
      <c r="DU27" s="258"/>
      <c r="DV27" s="258"/>
      <c r="DW27" s="258"/>
      <c r="DX27" s="258"/>
      <c r="DY27" s="258"/>
      <c r="DZ27" s="258"/>
      <c r="EA27" s="258"/>
      <c r="EB27" s="258"/>
      <c r="EC27" s="258"/>
      <c r="ED27" s="258"/>
      <c r="EE27" s="258"/>
      <c r="EF27" s="258"/>
      <c r="EG27" s="258"/>
      <c r="EH27" s="258"/>
      <c r="EI27" s="258"/>
      <c r="EJ27" s="258"/>
      <c r="EK27" s="258"/>
      <c r="EL27" s="258"/>
      <c r="EM27" s="258"/>
      <c r="EN27" s="258"/>
      <c r="EO27" s="258"/>
      <c r="EP27" s="258"/>
      <c r="EQ27" s="258"/>
      <c r="ER27" s="258"/>
      <c r="ES27" s="258"/>
      <c r="ET27" s="258"/>
      <c r="EU27" s="258"/>
      <c r="EV27" s="258"/>
      <c r="EW27" s="258"/>
      <c r="EX27" s="258"/>
      <c r="EY27" s="258"/>
      <c r="EZ27" s="258"/>
      <c r="FA27" s="258"/>
      <c r="FB27" s="258"/>
      <c r="FC27" s="258"/>
      <c r="FD27" s="258"/>
      <c r="FE27" s="258"/>
      <c r="FF27" s="258"/>
      <c r="FG27" s="258"/>
      <c r="FH27" s="258"/>
      <c r="FI27" s="258"/>
      <c r="FJ27" s="258"/>
      <c r="FK27" s="258"/>
      <c r="FL27" s="258"/>
      <c r="FM27" s="258"/>
      <c r="FN27" s="258"/>
      <c r="FO27" s="258"/>
      <c r="FP27" s="258"/>
      <c r="FQ27" s="258"/>
      <c r="FR27" s="258"/>
      <c r="FS27" s="258"/>
      <c r="FT27" s="258"/>
      <c r="FU27" s="258"/>
      <c r="FV27" s="258"/>
      <c r="FW27" s="258"/>
      <c r="FX27" s="258"/>
      <c r="FY27" s="258"/>
      <c r="FZ27" s="258"/>
      <c r="GA27" s="258"/>
      <c r="GB27" s="258"/>
      <c r="GC27" s="258"/>
      <c r="GD27" s="258"/>
      <c r="GE27" s="258"/>
      <c r="GF27" s="258"/>
      <c r="GG27" s="258"/>
      <c r="GH27" s="258"/>
      <c r="GI27" s="258"/>
      <c r="GJ27" s="258"/>
      <c r="GK27" s="258"/>
      <c r="GL27" s="258"/>
      <c r="GM27" s="258"/>
      <c r="GN27" s="258"/>
      <c r="GO27" s="258"/>
      <c r="GP27" s="258"/>
      <c r="GQ27" s="258"/>
      <c r="GR27" s="258"/>
      <c r="GS27" s="258"/>
      <c r="GT27" s="258"/>
      <c r="GU27" s="258"/>
      <c r="GV27" s="258"/>
      <c r="GW27" s="258"/>
      <c r="GX27" s="258"/>
      <c r="GY27" s="258"/>
      <c r="GZ27" s="258"/>
      <c r="HA27" s="258"/>
      <c r="HB27" s="258"/>
      <c r="HC27" s="258"/>
      <c r="HD27" s="258"/>
      <c r="HE27" s="258"/>
      <c r="HF27" s="258"/>
      <c r="HG27" s="258"/>
      <c r="HH27" s="258"/>
      <c r="HI27" s="258"/>
      <c r="HJ27" s="258"/>
      <c r="HK27" s="258"/>
      <c r="HL27" s="258"/>
      <c r="HM27" s="258"/>
      <c r="HN27" s="258"/>
      <c r="HO27" s="258"/>
      <c r="HP27" s="258"/>
      <c r="HQ27" s="258"/>
      <c r="HR27" s="258"/>
      <c r="HS27" s="258"/>
      <c r="HT27" s="258"/>
      <c r="HU27" s="258"/>
      <c r="HV27" s="258"/>
      <c r="HW27" s="258"/>
      <c r="HX27" s="258"/>
      <c r="HY27" s="258"/>
      <c r="HZ27" s="258"/>
      <c r="IA27" s="258"/>
      <c r="IB27" s="258"/>
      <c r="IC27" s="258"/>
      <c r="ID27" s="258"/>
      <c r="IE27" s="258"/>
      <c r="IF27" s="258"/>
      <c r="IG27" s="258"/>
      <c r="IH27" s="258"/>
      <c r="II27" s="258"/>
      <c r="IJ27" s="258"/>
      <c r="IK27" s="258"/>
      <c r="IL27" s="258"/>
      <c r="IM27" s="258"/>
      <c r="IN27" s="258"/>
      <c r="IO27" s="258"/>
      <c r="IP27" s="258"/>
      <c r="IQ27" s="258"/>
      <c r="IR27" s="258"/>
      <c r="IS27" s="258"/>
      <c r="IT27" s="258"/>
      <c r="IU27" s="258"/>
      <c r="IV27" s="258"/>
      <c r="IW27" s="258"/>
      <c r="IX27" s="258"/>
      <c r="IY27" s="258"/>
      <c r="IZ27" s="258"/>
      <c r="JA27" s="258"/>
      <c r="JB27" s="258"/>
      <c r="JC27" s="258"/>
      <c r="JD27" s="258"/>
      <c r="JE27" s="258"/>
      <c r="JF27" s="258"/>
      <c r="JG27" s="258"/>
      <c r="JH27" s="258"/>
      <c r="JI27" s="258"/>
      <c r="JJ27" s="258"/>
      <c r="JK27" s="258"/>
      <c r="JL27" s="258"/>
      <c r="JM27" s="258"/>
      <c r="JN27" s="258"/>
      <c r="JO27" s="258"/>
      <c r="JP27" s="258"/>
      <c r="JQ27" s="258"/>
      <c r="JR27" s="258"/>
      <c r="JS27" s="258"/>
      <c r="JT27" s="258"/>
      <c r="JU27" s="258"/>
      <c r="JV27" s="258"/>
      <c r="JW27" s="258"/>
      <c r="JX27" s="258"/>
      <c r="JY27" s="258"/>
      <c r="JZ27" s="258"/>
      <c r="KA27" s="258"/>
      <c r="KB27" s="258"/>
      <c r="KC27" s="258"/>
      <c r="KD27" s="258"/>
      <c r="KE27" s="258"/>
      <c r="KF27" s="258"/>
      <c r="KG27" s="258"/>
      <c r="KH27" s="258"/>
      <c r="KI27" s="258"/>
      <c r="KJ27" s="258"/>
      <c r="KK27" s="258"/>
      <c r="KL27" s="258"/>
      <c r="KM27" s="258"/>
      <c r="KN27" s="258"/>
      <c r="KO27" s="258"/>
      <c r="KP27" s="258"/>
      <c r="KQ27" s="258"/>
    </row>
    <row r="28" spans="2:303" x14ac:dyDescent="0.35">
      <c r="B28" s="126" t="s">
        <v>123</v>
      </c>
      <c r="C28" s="123">
        <f t="shared" si="347"/>
        <v>0</v>
      </c>
      <c r="D28" s="140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258"/>
      <c r="AR28" s="258"/>
      <c r="AS28" s="258"/>
      <c r="AT28" s="258"/>
      <c r="AU28" s="258"/>
      <c r="AV28" s="258"/>
      <c r="AW28" s="258"/>
      <c r="AX28" s="258"/>
      <c r="AY28" s="258"/>
      <c r="AZ28" s="258"/>
      <c r="BA28" s="258"/>
      <c r="BB28" s="258"/>
      <c r="BC28" s="258"/>
      <c r="BD28" s="258"/>
      <c r="BE28" s="258"/>
      <c r="BF28" s="258"/>
      <c r="BG28" s="258"/>
      <c r="BH28" s="258"/>
      <c r="BI28" s="258"/>
      <c r="BJ28" s="258"/>
      <c r="BK28" s="258"/>
      <c r="BL28" s="258"/>
      <c r="BM28" s="258"/>
      <c r="BN28" s="258"/>
      <c r="BO28" s="258"/>
      <c r="BP28" s="258"/>
      <c r="BQ28" s="258"/>
      <c r="BR28" s="258"/>
      <c r="BS28" s="258"/>
      <c r="BT28" s="258"/>
      <c r="BU28" s="258"/>
      <c r="BV28" s="258"/>
      <c r="BW28" s="258"/>
      <c r="BX28" s="258"/>
      <c r="BY28" s="258"/>
      <c r="BZ28" s="258"/>
      <c r="CA28" s="258"/>
      <c r="CB28" s="258"/>
      <c r="CC28" s="258"/>
      <c r="CD28" s="258"/>
      <c r="CE28" s="258"/>
      <c r="CF28" s="258"/>
      <c r="CG28" s="258"/>
      <c r="CH28" s="258"/>
      <c r="CI28" s="258"/>
      <c r="CJ28" s="258"/>
      <c r="CK28" s="258"/>
      <c r="CL28" s="258"/>
      <c r="CM28" s="258"/>
      <c r="CN28" s="258"/>
      <c r="CO28" s="258"/>
      <c r="CP28" s="258"/>
      <c r="CQ28" s="258"/>
      <c r="CR28" s="258"/>
      <c r="CS28" s="258"/>
      <c r="CT28" s="258"/>
      <c r="CU28" s="258"/>
      <c r="CV28" s="258"/>
      <c r="CW28" s="258"/>
      <c r="CX28" s="258"/>
      <c r="CY28" s="258"/>
      <c r="CZ28" s="258"/>
      <c r="DA28" s="258"/>
      <c r="DB28" s="258"/>
      <c r="DC28" s="258"/>
      <c r="DD28" s="258"/>
      <c r="DE28" s="258"/>
      <c r="DF28" s="258"/>
      <c r="DG28" s="258"/>
      <c r="DH28" s="258"/>
      <c r="DI28" s="258"/>
      <c r="DJ28" s="258"/>
      <c r="DK28" s="258"/>
      <c r="DL28" s="258"/>
      <c r="DM28" s="258"/>
      <c r="DN28" s="258"/>
      <c r="DO28" s="258"/>
      <c r="DP28" s="258"/>
      <c r="DQ28" s="258"/>
      <c r="DR28" s="258"/>
      <c r="DS28" s="258"/>
      <c r="DT28" s="258"/>
      <c r="DU28" s="258"/>
      <c r="DV28" s="258"/>
      <c r="DW28" s="258"/>
      <c r="DX28" s="258"/>
      <c r="DY28" s="258"/>
      <c r="DZ28" s="258"/>
      <c r="EA28" s="258"/>
      <c r="EB28" s="258"/>
      <c r="EC28" s="258"/>
      <c r="ED28" s="258"/>
      <c r="EE28" s="258"/>
      <c r="EF28" s="258"/>
      <c r="EG28" s="258"/>
      <c r="EH28" s="258"/>
      <c r="EI28" s="258"/>
      <c r="EJ28" s="258"/>
      <c r="EK28" s="258"/>
      <c r="EL28" s="258"/>
      <c r="EM28" s="258"/>
      <c r="EN28" s="258"/>
      <c r="EO28" s="258"/>
      <c r="EP28" s="258"/>
      <c r="EQ28" s="258"/>
      <c r="ER28" s="258"/>
      <c r="ES28" s="258"/>
      <c r="ET28" s="258"/>
      <c r="EU28" s="258"/>
      <c r="EV28" s="258"/>
      <c r="EW28" s="258"/>
      <c r="EX28" s="258"/>
      <c r="EY28" s="258"/>
      <c r="EZ28" s="258"/>
      <c r="FA28" s="258"/>
      <c r="FB28" s="258"/>
      <c r="FC28" s="258"/>
      <c r="FD28" s="258"/>
      <c r="FE28" s="258"/>
      <c r="FF28" s="258"/>
      <c r="FG28" s="258"/>
      <c r="FH28" s="258"/>
      <c r="FI28" s="258"/>
      <c r="FJ28" s="258"/>
      <c r="FK28" s="258"/>
      <c r="FL28" s="258"/>
      <c r="FM28" s="258"/>
      <c r="FN28" s="258"/>
      <c r="FO28" s="258"/>
      <c r="FP28" s="258"/>
      <c r="FQ28" s="258"/>
      <c r="FR28" s="258"/>
      <c r="FS28" s="258"/>
      <c r="FT28" s="258"/>
      <c r="FU28" s="258"/>
      <c r="FV28" s="258"/>
      <c r="FW28" s="258"/>
      <c r="FX28" s="258"/>
      <c r="FY28" s="258"/>
      <c r="FZ28" s="258"/>
      <c r="GA28" s="258"/>
      <c r="GB28" s="258"/>
      <c r="GC28" s="258"/>
      <c r="GD28" s="258"/>
      <c r="GE28" s="258"/>
      <c r="GF28" s="258"/>
      <c r="GG28" s="258"/>
      <c r="GH28" s="258"/>
      <c r="GI28" s="258"/>
      <c r="GJ28" s="258"/>
      <c r="GK28" s="258"/>
      <c r="GL28" s="258"/>
      <c r="GM28" s="258"/>
      <c r="GN28" s="258"/>
      <c r="GO28" s="258"/>
      <c r="GP28" s="258"/>
      <c r="GQ28" s="258"/>
      <c r="GR28" s="258"/>
      <c r="GS28" s="258"/>
      <c r="GT28" s="258"/>
      <c r="GU28" s="258"/>
      <c r="GV28" s="258"/>
      <c r="GW28" s="258"/>
      <c r="GX28" s="258"/>
      <c r="GY28" s="258"/>
      <c r="GZ28" s="258"/>
      <c r="HA28" s="258"/>
      <c r="HB28" s="258"/>
      <c r="HC28" s="258"/>
      <c r="HD28" s="258"/>
      <c r="HE28" s="258"/>
      <c r="HF28" s="258"/>
      <c r="HG28" s="258"/>
      <c r="HH28" s="258"/>
      <c r="HI28" s="258"/>
      <c r="HJ28" s="258"/>
      <c r="HK28" s="258"/>
      <c r="HL28" s="258"/>
      <c r="HM28" s="258"/>
      <c r="HN28" s="258"/>
      <c r="HO28" s="258"/>
      <c r="HP28" s="258"/>
      <c r="HQ28" s="258"/>
      <c r="HR28" s="258"/>
      <c r="HS28" s="258"/>
      <c r="HT28" s="258"/>
      <c r="HU28" s="258"/>
      <c r="HV28" s="258"/>
      <c r="HW28" s="258"/>
      <c r="HX28" s="258"/>
      <c r="HY28" s="258"/>
      <c r="HZ28" s="258"/>
      <c r="IA28" s="258"/>
      <c r="IB28" s="258"/>
      <c r="IC28" s="258"/>
      <c r="ID28" s="258"/>
      <c r="IE28" s="258"/>
      <c r="IF28" s="258"/>
      <c r="IG28" s="258"/>
      <c r="IH28" s="258"/>
      <c r="II28" s="258"/>
      <c r="IJ28" s="258"/>
      <c r="IK28" s="258"/>
      <c r="IL28" s="258"/>
      <c r="IM28" s="258"/>
      <c r="IN28" s="258"/>
      <c r="IO28" s="258"/>
      <c r="IP28" s="258"/>
      <c r="IQ28" s="258"/>
      <c r="IR28" s="258"/>
      <c r="IS28" s="258"/>
      <c r="IT28" s="258"/>
      <c r="IU28" s="258"/>
      <c r="IV28" s="258"/>
      <c r="IW28" s="258"/>
      <c r="IX28" s="258"/>
      <c r="IY28" s="258"/>
      <c r="IZ28" s="258"/>
      <c r="JA28" s="258"/>
      <c r="JB28" s="258"/>
      <c r="JC28" s="258"/>
      <c r="JD28" s="258"/>
      <c r="JE28" s="258"/>
      <c r="JF28" s="258"/>
      <c r="JG28" s="258"/>
      <c r="JH28" s="258"/>
      <c r="JI28" s="258"/>
      <c r="JJ28" s="258"/>
      <c r="JK28" s="258"/>
      <c r="JL28" s="258"/>
      <c r="JM28" s="258"/>
      <c r="JN28" s="258"/>
      <c r="JO28" s="258"/>
      <c r="JP28" s="258"/>
      <c r="JQ28" s="258"/>
      <c r="JR28" s="258"/>
      <c r="JS28" s="258"/>
      <c r="JT28" s="258"/>
      <c r="JU28" s="258"/>
      <c r="JV28" s="258"/>
      <c r="JW28" s="258"/>
      <c r="JX28" s="258"/>
      <c r="JY28" s="258"/>
      <c r="JZ28" s="258"/>
      <c r="KA28" s="258"/>
      <c r="KB28" s="258"/>
      <c r="KC28" s="258"/>
      <c r="KD28" s="258"/>
      <c r="KE28" s="258"/>
      <c r="KF28" s="258"/>
      <c r="KG28" s="258"/>
      <c r="KH28" s="258"/>
      <c r="KI28" s="258"/>
      <c r="KJ28" s="258"/>
      <c r="KK28" s="258"/>
      <c r="KL28" s="258"/>
      <c r="KM28" s="258"/>
      <c r="KN28" s="258"/>
      <c r="KO28" s="258"/>
      <c r="KP28" s="258"/>
      <c r="KQ28" s="258"/>
    </row>
    <row r="29" spans="2:303" x14ac:dyDescent="0.35">
      <c r="B29" s="129" t="s">
        <v>124</v>
      </c>
      <c r="C29" s="144">
        <f>SUM(D29:KQ29)</f>
        <v>0</v>
      </c>
      <c r="D29" s="145">
        <f>D22+D23+D24-D25-D26-D28-D27</f>
        <v>-37500000</v>
      </c>
      <c r="E29" s="145">
        <f>E22+E23+E24-E25-E26-E28-E27</f>
        <v>-37500000</v>
      </c>
      <c r="F29" s="145">
        <f t="shared" ref="F29:BP29" si="348">F22+F23+F24-F25-F26-F28-F27</f>
        <v>-37500000</v>
      </c>
      <c r="G29" s="145">
        <f t="shared" si="348"/>
        <v>-37500000</v>
      </c>
      <c r="H29" s="145">
        <f>H22+H23+H24-H25-H26-H28-H27</f>
        <v>637500000</v>
      </c>
      <c r="I29" s="145">
        <f t="shared" si="348"/>
        <v>-37500000</v>
      </c>
      <c r="J29" s="145">
        <f>J22+J23+J24-J25-J26-J28-J27</f>
        <v>-37500000</v>
      </c>
      <c r="K29" s="145">
        <f t="shared" si="348"/>
        <v>-37500000</v>
      </c>
      <c r="L29" s="145">
        <f t="shared" si="348"/>
        <v>-37500000</v>
      </c>
      <c r="M29" s="145">
        <f t="shared" si="348"/>
        <v>-37500000</v>
      </c>
      <c r="N29" s="145">
        <f t="shared" si="348"/>
        <v>-37500000</v>
      </c>
      <c r="O29" s="145">
        <f t="shared" si="348"/>
        <v>-37500000</v>
      </c>
      <c r="P29" s="145">
        <f t="shared" si="348"/>
        <v>-37500000</v>
      </c>
      <c r="Q29" s="145">
        <f t="shared" si="348"/>
        <v>-37500000</v>
      </c>
      <c r="R29" s="145">
        <f t="shared" si="348"/>
        <v>-37500000</v>
      </c>
      <c r="S29" s="145">
        <f t="shared" si="348"/>
        <v>-37500000</v>
      </c>
      <c r="T29" s="145">
        <f t="shared" si="348"/>
        <v>-37500000</v>
      </c>
      <c r="U29" s="145">
        <f t="shared" si="348"/>
        <v>-37500000</v>
      </c>
      <c r="V29" s="145">
        <f t="shared" si="348"/>
        <v>0</v>
      </c>
      <c r="W29" s="145">
        <f t="shared" si="348"/>
        <v>0</v>
      </c>
      <c r="X29" s="145">
        <f t="shared" si="348"/>
        <v>0</v>
      </c>
      <c r="Y29" s="145">
        <f t="shared" si="348"/>
        <v>0</v>
      </c>
      <c r="Z29" s="145">
        <f t="shared" si="348"/>
        <v>0</v>
      </c>
      <c r="AA29" s="145">
        <f t="shared" si="348"/>
        <v>0</v>
      </c>
      <c r="AB29" s="145">
        <f t="shared" si="348"/>
        <v>0</v>
      </c>
      <c r="AC29" s="145">
        <f t="shared" si="348"/>
        <v>0</v>
      </c>
      <c r="AD29" s="145">
        <f t="shared" si="348"/>
        <v>0</v>
      </c>
      <c r="AE29" s="145">
        <f t="shared" si="348"/>
        <v>0</v>
      </c>
      <c r="AF29" s="145">
        <f t="shared" si="348"/>
        <v>0</v>
      </c>
      <c r="AG29" s="145">
        <f t="shared" si="348"/>
        <v>0</v>
      </c>
      <c r="AH29" s="145">
        <f t="shared" si="348"/>
        <v>0</v>
      </c>
      <c r="AI29" s="145">
        <f t="shared" si="348"/>
        <v>0</v>
      </c>
      <c r="AJ29" s="145">
        <f t="shared" si="348"/>
        <v>0</v>
      </c>
      <c r="AK29" s="145">
        <f t="shared" si="348"/>
        <v>0</v>
      </c>
      <c r="AL29" s="145">
        <f t="shared" si="348"/>
        <v>0</v>
      </c>
      <c r="AM29" s="145">
        <f t="shared" si="348"/>
        <v>0</v>
      </c>
      <c r="AN29" s="145">
        <f t="shared" si="348"/>
        <v>0</v>
      </c>
      <c r="AO29" s="145">
        <f t="shared" si="348"/>
        <v>0</v>
      </c>
      <c r="AP29" s="145">
        <f t="shared" si="348"/>
        <v>0</v>
      </c>
      <c r="AQ29" s="145">
        <f t="shared" si="348"/>
        <v>0</v>
      </c>
      <c r="AR29" s="145">
        <f t="shared" si="348"/>
        <v>0</v>
      </c>
      <c r="AS29" s="145">
        <f t="shared" si="348"/>
        <v>0</v>
      </c>
      <c r="AT29" s="145">
        <f t="shared" si="348"/>
        <v>0</v>
      </c>
      <c r="AU29" s="145">
        <f t="shared" si="348"/>
        <v>0</v>
      </c>
      <c r="AV29" s="145">
        <f t="shared" si="348"/>
        <v>0</v>
      </c>
      <c r="AW29" s="145">
        <f t="shared" si="348"/>
        <v>0</v>
      </c>
      <c r="AX29" s="145">
        <f t="shared" si="348"/>
        <v>0</v>
      </c>
      <c r="AY29" s="145">
        <f t="shared" si="348"/>
        <v>0</v>
      </c>
      <c r="AZ29" s="145">
        <f t="shared" si="348"/>
        <v>0</v>
      </c>
      <c r="BA29" s="145">
        <f t="shared" si="348"/>
        <v>0</v>
      </c>
      <c r="BB29" s="145">
        <f t="shared" si="348"/>
        <v>0</v>
      </c>
      <c r="BC29" s="145">
        <f t="shared" si="348"/>
        <v>0</v>
      </c>
      <c r="BD29" s="145">
        <f t="shared" si="348"/>
        <v>0</v>
      </c>
      <c r="BE29" s="145">
        <f t="shared" si="348"/>
        <v>0</v>
      </c>
      <c r="BF29" s="145">
        <f t="shared" si="348"/>
        <v>0</v>
      </c>
      <c r="BG29" s="145">
        <f t="shared" si="348"/>
        <v>0</v>
      </c>
      <c r="BH29" s="145">
        <f t="shared" si="348"/>
        <v>0</v>
      </c>
      <c r="BI29" s="145">
        <f t="shared" si="348"/>
        <v>0</v>
      </c>
      <c r="BJ29" s="145">
        <f t="shared" si="348"/>
        <v>0</v>
      </c>
      <c r="BK29" s="145">
        <f t="shared" si="348"/>
        <v>0</v>
      </c>
      <c r="BL29" s="145">
        <f t="shared" si="348"/>
        <v>0</v>
      </c>
      <c r="BM29" s="145">
        <f t="shared" si="348"/>
        <v>0</v>
      </c>
      <c r="BN29" s="145">
        <f t="shared" si="348"/>
        <v>0</v>
      </c>
      <c r="BO29" s="145">
        <f t="shared" si="348"/>
        <v>0</v>
      </c>
      <c r="BP29" s="145">
        <f t="shared" si="348"/>
        <v>0</v>
      </c>
      <c r="BQ29" s="145">
        <f t="shared" ref="BQ29:EB29" si="349">BQ22+BQ23+BQ24-BQ25-BQ26-BQ28-BQ27</f>
        <v>0</v>
      </c>
      <c r="BR29" s="145">
        <f t="shared" si="349"/>
        <v>0</v>
      </c>
      <c r="BS29" s="145">
        <f t="shared" si="349"/>
        <v>0</v>
      </c>
      <c r="BT29" s="145">
        <f>BT22+BT23+BT24-BT25-BT26-BT28-BT27</f>
        <v>0</v>
      </c>
      <c r="BU29" s="145">
        <f t="shared" si="349"/>
        <v>0</v>
      </c>
      <c r="BV29" s="145">
        <f t="shared" si="349"/>
        <v>0</v>
      </c>
      <c r="BW29" s="145">
        <f t="shared" si="349"/>
        <v>0</v>
      </c>
      <c r="BX29" s="145">
        <f t="shared" si="349"/>
        <v>0</v>
      </c>
      <c r="BY29" s="145">
        <f t="shared" si="349"/>
        <v>0</v>
      </c>
      <c r="BZ29" s="145">
        <f t="shared" si="349"/>
        <v>0</v>
      </c>
      <c r="CA29" s="145">
        <f t="shared" si="349"/>
        <v>0</v>
      </c>
      <c r="CB29" s="145">
        <f t="shared" si="349"/>
        <v>0</v>
      </c>
      <c r="CC29" s="145">
        <f t="shared" si="349"/>
        <v>0</v>
      </c>
      <c r="CD29" s="145">
        <f t="shared" si="349"/>
        <v>0</v>
      </c>
      <c r="CE29" s="145">
        <f t="shared" si="349"/>
        <v>0</v>
      </c>
      <c r="CF29" s="145">
        <f t="shared" si="349"/>
        <v>0</v>
      </c>
      <c r="CG29" s="145">
        <f t="shared" si="349"/>
        <v>0</v>
      </c>
      <c r="CH29" s="145">
        <f t="shared" si="349"/>
        <v>0</v>
      </c>
      <c r="CI29" s="145">
        <f t="shared" si="349"/>
        <v>0</v>
      </c>
      <c r="CJ29" s="145">
        <f t="shared" si="349"/>
        <v>0</v>
      </c>
      <c r="CK29" s="145">
        <f t="shared" si="349"/>
        <v>0</v>
      </c>
      <c r="CL29" s="145">
        <f t="shared" si="349"/>
        <v>0</v>
      </c>
      <c r="CM29" s="145">
        <f t="shared" si="349"/>
        <v>0</v>
      </c>
      <c r="CN29" s="145">
        <f t="shared" si="349"/>
        <v>0</v>
      </c>
      <c r="CO29" s="145">
        <f t="shared" si="349"/>
        <v>0</v>
      </c>
      <c r="CP29" s="145">
        <f t="shared" si="349"/>
        <v>0</v>
      </c>
      <c r="CQ29" s="145">
        <f t="shared" si="349"/>
        <v>0</v>
      </c>
      <c r="CR29" s="145">
        <f t="shared" si="349"/>
        <v>0</v>
      </c>
      <c r="CS29" s="145">
        <f t="shared" si="349"/>
        <v>0</v>
      </c>
      <c r="CT29" s="145">
        <f t="shared" si="349"/>
        <v>0</v>
      </c>
      <c r="CU29" s="145">
        <f t="shared" si="349"/>
        <v>0</v>
      </c>
      <c r="CV29" s="145">
        <f t="shared" si="349"/>
        <v>0</v>
      </c>
      <c r="CW29" s="145">
        <f t="shared" si="349"/>
        <v>0</v>
      </c>
      <c r="CX29" s="145">
        <f t="shared" si="349"/>
        <v>0</v>
      </c>
      <c r="CY29" s="145">
        <f t="shared" si="349"/>
        <v>0</v>
      </c>
      <c r="CZ29" s="145">
        <f t="shared" si="349"/>
        <v>0</v>
      </c>
      <c r="DA29" s="145">
        <f t="shared" si="349"/>
        <v>0</v>
      </c>
      <c r="DB29" s="145">
        <f t="shared" si="349"/>
        <v>0</v>
      </c>
      <c r="DC29" s="145">
        <f t="shared" si="349"/>
        <v>0</v>
      </c>
      <c r="DD29" s="145">
        <f t="shared" si="349"/>
        <v>0</v>
      </c>
      <c r="DE29" s="145">
        <f t="shared" si="349"/>
        <v>0</v>
      </c>
      <c r="DF29" s="145">
        <f t="shared" si="349"/>
        <v>0</v>
      </c>
      <c r="DG29" s="145">
        <f t="shared" si="349"/>
        <v>0</v>
      </c>
      <c r="DH29" s="145">
        <f t="shared" si="349"/>
        <v>0</v>
      </c>
      <c r="DI29" s="145">
        <f t="shared" si="349"/>
        <v>0</v>
      </c>
      <c r="DJ29" s="145">
        <f t="shared" si="349"/>
        <v>0</v>
      </c>
      <c r="DK29" s="145">
        <f t="shared" si="349"/>
        <v>0</v>
      </c>
      <c r="DL29" s="145">
        <f t="shared" si="349"/>
        <v>0</v>
      </c>
      <c r="DM29" s="145">
        <f t="shared" si="349"/>
        <v>0</v>
      </c>
      <c r="DN29" s="145">
        <f t="shared" si="349"/>
        <v>0</v>
      </c>
      <c r="DO29" s="145">
        <f t="shared" si="349"/>
        <v>0</v>
      </c>
      <c r="DP29" s="145">
        <f t="shared" si="349"/>
        <v>0</v>
      </c>
      <c r="DQ29" s="145">
        <f t="shared" si="349"/>
        <v>0</v>
      </c>
      <c r="DR29" s="145">
        <f t="shared" si="349"/>
        <v>0</v>
      </c>
      <c r="DS29" s="145">
        <f t="shared" si="349"/>
        <v>0</v>
      </c>
      <c r="DT29" s="145">
        <f t="shared" si="349"/>
        <v>0</v>
      </c>
      <c r="DU29" s="145">
        <f t="shared" si="349"/>
        <v>0</v>
      </c>
      <c r="DV29" s="145">
        <f t="shared" si="349"/>
        <v>0</v>
      </c>
      <c r="DW29" s="145">
        <f t="shared" si="349"/>
        <v>0</v>
      </c>
      <c r="DX29" s="145">
        <f t="shared" si="349"/>
        <v>0</v>
      </c>
      <c r="DY29" s="145">
        <f t="shared" si="349"/>
        <v>0</v>
      </c>
      <c r="DZ29" s="145">
        <f t="shared" si="349"/>
        <v>0</v>
      </c>
      <c r="EA29" s="145">
        <f t="shared" si="349"/>
        <v>0</v>
      </c>
      <c r="EB29" s="145">
        <f t="shared" si="349"/>
        <v>0</v>
      </c>
      <c r="EC29" s="145">
        <f t="shared" ref="EC29:GN29" si="350">EC22+EC23+EC24-EC25-EC26-EC28-EC27</f>
        <v>0</v>
      </c>
      <c r="ED29" s="145">
        <f t="shared" si="350"/>
        <v>0</v>
      </c>
      <c r="EE29" s="145">
        <f t="shared" si="350"/>
        <v>0</v>
      </c>
      <c r="EF29" s="145">
        <f t="shared" si="350"/>
        <v>0</v>
      </c>
      <c r="EG29" s="145">
        <f t="shared" si="350"/>
        <v>0</v>
      </c>
      <c r="EH29" s="145">
        <f t="shared" si="350"/>
        <v>0</v>
      </c>
      <c r="EI29" s="145">
        <f t="shared" si="350"/>
        <v>0</v>
      </c>
      <c r="EJ29" s="145">
        <f t="shared" si="350"/>
        <v>0</v>
      </c>
      <c r="EK29" s="145">
        <f t="shared" si="350"/>
        <v>0</v>
      </c>
      <c r="EL29" s="145">
        <f t="shared" si="350"/>
        <v>0</v>
      </c>
      <c r="EM29" s="145">
        <f t="shared" si="350"/>
        <v>0</v>
      </c>
      <c r="EN29" s="145">
        <f t="shared" si="350"/>
        <v>0</v>
      </c>
      <c r="EO29" s="145">
        <f t="shared" si="350"/>
        <v>0</v>
      </c>
      <c r="EP29" s="145">
        <f t="shared" si="350"/>
        <v>0</v>
      </c>
      <c r="EQ29" s="145">
        <f t="shared" si="350"/>
        <v>0</v>
      </c>
      <c r="ER29" s="145">
        <f t="shared" si="350"/>
        <v>0</v>
      </c>
      <c r="ES29" s="145">
        <f t="shared" si="350"/>
        <v>0</v>
      </c>
      <c r="ET29" s="145">
        <f t="shared" si="350"/>
        <v>0</v>
      </c>
      <c r="EU29" s="145">
        <f t="shared" si="350"/>
        <v>0</v>
      </c>
      <c r="EV29" s="145">
        <f t="shared" si="350"/>
        <v>0</v>
      </c>
      <c r="EW29" s="145">
        <f t="shared" si="350"/>
        <v>0</v>
      </c>
      <c r="EX29" s="145">
        <f t="shared" si="350"/>
        <v>0</v>
      </c>
      <c r="EY29" s="145">
        <f t="shared" si="350"/>
        <v>0</v>
      </c>
      <c r="EZ29" s="145">
        <f t="shared" si="350"/>
        <v>0</v>
      </c>
      <c r="FA29" s="145">
        <f t="shared" si="350"/>
        <v>0</v>
      </c>
      <c r="FB29" s="145">
        <f t="shared" si="350"/>
        <v>0</v>
      </c>
      <c r="FC29" s="145">
        <f t="shared" si="350"/>
        <v>0</v>
      </c>
      <c r="FD29" s="145">
        <f t="shared" si="350"/>
        <v>0</v>
      </c>
      <c r="FE29" s="145">
        <f t="shared" si="350"/>
        <v>0</v>
      </c>
      <c r="FF29" s="145">
        <f t="shared" si="350"/>
        <v>0</v>
      </c>
      <c r="FG29" s="145">
        <f t="shared" si="350"/>
        <v>0</v>
      </c>
      <c r="FH29" s="145">
        <f t="shared" si="350"/>
        <v>0</v>
      </c>
      <c r="FI29" s="145">
        <f t="shared" si="350"/>
        <v>0</v>
      </c>
      <c r="FJ29" s="145">
        <f t="shared" si="350"/>
        <v>0</v>
      </c>
      <c r="FK29" s="145">
        <f t="shared" si="350"/>
        <v>0</v>
      </c>
      <c r="FL29" s="145">
        <f t="shared" si="350"/>
        <v>0</v>
      </c>
      <c r="FM29" s="145">
        <f t="shared" si="350"/>
        <v>0</v>
      </c>
      <c r="FN29" s="145">
        <f t="shared" si="350"/>
        <v>0</v>
      </c>
      <c r="FO29" s="145">
        <f t="shared" si="350"/>
        <v>0</v>
      </c>
      <c r="FP29" s="145">
        <f t="shared" si="350"/>
        <v>0</v>
      </c>
      <c r="FQ29" s="145">
        <f t="shared" si="350"/>
        <v>0</v>
      </c>
      <c r="FR29" s="145">
        <f t="shared" si="350"/>
        <v>0</v>
      </c>
      <c r="FS29" s="145">
        <f t="shared" si="350"/>
        <v>0</v>
      </c>
      <c r="FT29" s="145">
        <f t="shared" si="350"/>
        <v>0</v>
      </c>
      <c r="FU29" s="145">
        <f t="shared" si="350"/>
        <v>0</v>
      </c>
      <c r="FV29" s="145">
        <f t="shared" si="350"/>
        <v>0</v>
      </c>
      <c r="FW29" s="145">
        <f t="shared" si="350"/>
        <v>0</v>
      </c>
      <c r="FX29" s="145">
        <f t="shared" si="350"/>
        <v>0</v>
      </c>
      <c r="FY29" s="145">
        <f t="shared" si="350"/>
        <v>0</v>
      </c>
      <c r="FZ29" s="145">
        <f t="shared" si="350"/>
        <v>0</v>
      </c>
      <c r="GA29" s="145">
        <f t="shared" si="350"/>
        <v>0</v>
      </c>
      <c r="GB29" s="145">
        <f t="shared" si="350"/>
        <v>0</v>
      </c>
      <c r="GC29" s="145">
        <f t="shared" si="350"/>
        <v>0</v>
      </c>
      <c r="GD29" s="145">
        <f t="shared" si="350"/>
        <v>0</v>
      </c>
      <c r="GE29" s="145">
        <f t="shared" si="350"/>
        <v>0</v>
      </c>
      <c r="GF29" s="145">
        <f t="shared" si="350"/>
        <v>0</v>
      </c>
      <c r="GG29" s="145">
        <f t="shared" si="350"/>
        <v>0</v>
      </c>
      <c r="GH29" s="145">
        <f t="shared" si="350"/>
        <v>0</v>
      </c>
      <c r="GI29" s="145">
        <f t="shared" si="350"/>
        <v>0</v>
      </c>
      <c r="GJ29" s="145">
        <f t="shared" si="350"/>
        <v>0</v>
      </c>
      <c r="GK29" s="145">
        <f t="shared" si="350"/>
        <v>0</v>
      </c>
      <c r="GL29" s="145">
        <f t="shared" si="350"/>
        <v>0</v>
      </c>
      <c r="GM29" s="145">
        <f t="shared" si="350"/>
        <v>0</v>
      </c>
      <c r="GN29" s="145">
        <f t="shared" si="350"/>
        <v>0</v>
      </c>
      <c r="GO29" s="145">
        <f t="shared" ref="GO29:IZ29" si="351">GO22+GO23+GO24-GO25-GO26-GO28-GO27</f>
        <v>0</v>
      </c>
      <c r="GP29" s="145">
        <f t="shared" si="351"/>
        <v>0</v>
      </c>
      <c r="GQ29" s="145">
        <f t="shared" si="351"/>
        <v>0</v>
      </c>
      <c r="GR29" s="145">
        <f t="shared" si="351"/>
        <v>0</v>
      </c>
      <c r="GS29" s="145">
        <f t="shared" si="351"/>
        <v>0</v>
      </c>
      <c r="GT29" s="145">
        <f t="shared" si="351"/>
        <v>0</v>
      </c>
      <c r="GU29" s="145">
        <f t="shared" si="351"/>
        <v>0</v>
      </c>
      <c r="GV29" s="145">
        <f t="shared" si="351"/>
        <v>0</v>
      </c>
      <c r="GW29" s="145">
        <f t="shared" si="351"/>
        <v>0</v>
      </c>
      <c r="GX29" s="145">
        <f t="shared" si="351"/>
        <v>0</v>
      </c>
      <c r="GY29" s="145">
        <f t="shared" si="351"/>
        <v>0</v>
      </c>
      <c r="GZ29" s="145">
        <f t="shared" si="351"/>
        <v>0</v>
      </c>
      <c r="HA29" s="145">
        <f t="shared" si="351"/>
        <v>0</v>
      </c>
      <c r="HB29" s="145">
        <f t="shared" si="351"/>
        <v>0</v>
      </c>
      <c r="HC29" s="145">
        <f t="shared" si="351"/>
        <v>0</v>
      </c>
      <c r="HD29" s="145">
        <f t="shared" si="351"/>
        <v>0</v>
      </c>
      <c r="HE29" s="145">
        <f t="shared" si="351"/>
        <v>0</v>
      </c>
      <c r="HF29" s="145">
        <f t="shared" si="351"/>
        <v>0</v>
      </c>
      <c r="HG29" s="145">
        <f t="shared" si="351"/>
        <v>0</v>
      </c>
      <c r="HH29" s="145">
        <f t="shared" si="351"/>
        <v>0</v>
      </c>
      <c r="HI29" s="145">
        <f t="shared" si="351"/>
        <v>0</v>
      </c>
      <c r="HJ29" s="145">
        <f t="shared" si="351"/>
        <v>0</v>
      </c>
      <c r="HK29" s="145">
        <f t="shared" si="351"/>
        <v>0</v>
      </c>
      <c r="HL29" s="145">
        <f t="shared" si="351"/>
        <v>0</v>
      </c>
      <c r="HM29" s="145">
        <f t="shared" si="351"/>
        <v>0</v>
      </c>
      <c r="HN29" s="145">
        <f t="shared" si="351"/>
        <v>0</v>
      </c>
      <c r="HO29" s="145">
        <f t="shared" si="351"/>
        <v>0</v>
      </c>
      <c r="HP29" s="145">
        <f t="shared" si="351"/>
        <v>0</v>
      </c>
      <c r="HQ29" s="145">
        <f t="shared" si="351"/>
        <v>0</v>
      </c>
      <c r="HR29" s="145">
        <f t="shared" si="351"/>
        <v>0</v>
      </c>
      <c r="HS29" s="145">
        <f t="shared" si="351"/>
        <v>0</v>
      </c>
      <c r="HT29" s="145">
        <f t="shared" si="351"/>
        <v>0</v>
      </c>
      <c r="HU29" s="145">
        <f t="shared" si="351"/>
        <v>0</v>
      </c>
      <c r="HV29" s="145">
        <f t="shared" si="351"/>
        <v>0</v>
      </c>
      <c r="HW29" s="145">
        <f t="shared" si="351"/>
        <v>0</v>
      </c>
      <c r="HX29" s="145">
        <f t="shared" si="351"/>
        <v>0</v>
      </c>
      <c r="HY29" s="145">
        <f t="shared" si="351"/>
        <v>0</v>
      </c>
      <c r="HZ29" s="145">
        <f t="shared" si="351"/>
        <v>0</v>
      </c>
      <c r="IA29" s="145">
        <f t="shared" si="351"/>
        <v>0</v>
      </c>
      <c r="IB29" s="145">
        <f t="shared" si="351"/>
        <v>0</v>
      </c>
      <c r="IC29" s="145">
        <f t="shared" si="351"/>
        <v>0</v>
      </c>
      <c r="ID29" s="145">
        <f t="shared" si="351"/>
        <v>0</v>
      </c>
      <c r="IE29" s="145">
        <f t="shared" si="351"/>
        <v>0</v>
      </c>
      <c r="IF29" s="145">
        <f t="shared" si="351"/>
        <v>0</v>
      </c>
      <c r="IG29" s="145">
        <f t="shared" si="351"/>
        <v>0</v>
      </c>
      <c r="IH29" s="145">
        <f t="shared" si="351"/>
        <v>0</v>
      </c>
      <c r="II29" s="145">
        <f t="shared" si="351"/>
        <v>0</v>
      </c>
      <c r="IJ29" s="145">
        <f t="shared" si="351"/>
        <v>0</v>
      </c>
      <c r="IK29" s="145">
        <f t="shared" si="351"/>
        <v>0</v>
      </c>
      <c r="IL29" s="145">
        <f t="shared" si="351"/>
        <v>0</v>
      </c>
      <c r="IM29" s="145">
        <f t="shared" si="351"/>
        <v>0</v>
      </c>
      <c r="IN29" s="145">
        <f t="shared" si="351"/>
        <v>0</v>
      </c>
      <c r="IO29" s="145">
        <f t="shared" si="351"/>
        <v>0</v>
      </c>
      <c r="IP29" s="145">
        <f t="shared" si="351"/>
        <v>0</v>
      </c>
      <c r="IQ29" s="145">
        <f t="shared" si="351"/>
        <v>0</v>
      </c>
      <c r="IR29" s="145">
        <f t="shared" si="351"/>
        <v>0</v>
      </c>
      <c r="IS29" s="145">
        <f t="shared" si="351"/>
        <v>0</v>
      </c>
      <c r="IT29" s="145">
        <f t="shared" si="351"/>
        <v>0</v>
      </c>
      <c r="IU29" s="145">
        <f t="shared" si="351"/>
        <v>0</v>
      </c>
      <c r="IV29" s="145">
        <f t="shared" si="351"/>
        <v>0</v>
      </c>
      <c r="IW29" s="145">
        <f t="shared" si="351"/>
        <v>0</v>
      </c>
      <c r="IX29" s="145">
        <f t="shared" si="351"/>
        <v>0</v>
      </c>
      <c r="IY29" s="145">
        <f t="shared" si="351"/>
        <v>0</v>
      </c>
      <c r="IZ29" s="145">
        <f t="shared" si="351"/>
        <v>0</v>
      </c>
      <c r="JA29" s="145">
        <f t="shared" ref="JA29:KQ29" si="352">JA22+JA23+JA24-JA25-JA26-JA28-JA27</f>
        <v>0</v>
      </c>
      <c r="JB29" s="145">
        <f t="shared" si="352"/>
        <v>0</v>
      </c>
      <c r="JC29" s="145">
        <f t="shared" si="352"/>
        <v>0</v>
      </c>
      <c r="JD29" s="145">
        <f t="shared" si="352"/>
        <v>0</v>
      </c>
      <c r="JE29" s="145">
        <f t="shared" si="352"/>
        <v>0</v>
      </c>
      <c r="JF29" s="145">
        <f t="shared" si="352"/>
        <v>0</v>
      </c>
      <c r="JG29" s="145">
        <f t="shared" si="352"/>
        <v>0</v>
      </c>
      <c r="JH29" s="145">
        <f t="shared" si="352"/>
        <v>0</v>
      </c>
      <c r="JI29" s="145">
        <f t="shared" si="352"/>
        <v>0</v>
      </c>
      <c r="JJ29" s="145">
        <f t="shared" si="352"/>
        <v>0</v>
      </c>
      <c r="JK29" s="145">
        <f t="shared" si="352"/>
        <v>0</v>
      </c>
      <c r="JL29" s="145">
        <f t="shared" si="352"/>
        <v>0</v>
      </c>
      <c r="JM29" s="145">
        <f t="shared" si="352"/>
        <v>0</v>
      </c>
      <c r="JN29" s="145">
        <f t="shared" si="352"/>
        <v>0</v>
      </c>
      <c r="JO29" s="145">
        <f t="shared" si="352"/>
        <v>0</v>
      </c>
      <c r="JP29" s="145">
        <f t="shared" si="352"/>
        <v>0</v>
      </c>
      <c r="JQ29" s="145">
        <f t="shared" si="352"/>
        <v>0</v>
      </c>
      <c r="JR29" s="145">
        <f t="shared" si="352"/>
        <v>0</v>
      </c>
      <c r="JS29" s="145">
        <f t="shared" si="352"/>
        <v>0</v>
      </c>
      <c r="JT29" s="145">
        <f t="shared" si="352"/>
        <v>0</v>
      </c>
      <c r="JU29" s="145">
        <f t="shared" si="352"/>
        <v>0</v>
      </c>
      <c r="JV29" s="145">
        <f t="shared" si="352"/>
        <v>0</v>
      </c>
      <c r="JW29" s="145">
        <f t="shared" si="352"/>
        <v>0</v>
      </c>
      <c r="JX29" s="145">
        <f t="shared" si="352"/>
        <v>0</v>
      </c>
      <c r="JY29" s="145">
        <f t="shared" si="352"/>
        <v>0</v>
      </c>
      <c r="JZ29" s="145">
        <f t="shared" si="352"/>
        <v>0</v>
      </c>
      <c r="KA29" s="145">
        <f t="shared" si="352"/>
        <v>0</v>
      </c>
      <c r="KB29" s="145">
        <f t="shared" si="352"/>
        <v>0</v>
      </c>
      <c r="KC29" s="145">
        <f t="shared" si="352"/>
        <v>0</v>
      </c>
      <c r="KD29" s="145">
        <f t="shared" si="352"/>
        <v>0</v>
      </c>
      <c r="KE29" s="145">
        <f t="shared" si="352"/>
        <v>0</v>
      </c>
      <c r="KF29" s="145">
        <f t="shared" si="352"/>
        <v>0</v>
      </c>
      <c r="KG29" s="145">
        <f t="shared" si="352"/>
        <v>0</v>
      </c>
      <c r="KH29" s="145">
        <f t="shared" si="352"/>
        <v>0</v>
      </c>
      <c r="KI29" s="145">
        <f t="shared" si="352"/>
        <v>0</v>
      </c>
      <c r="KJ29" s="145">
        <f t="shared" si="352"/>
        <v>0</v>
      </c>
      <c r="KK29" s="145">
        <f t="shared" si="352"/>
        <v>0</v>
      </c>
      <c r="KL29" s="145">
        <f t="shared" si="352"/>
        <v>0</v>
      </c>
      <c r="KM29" s="145">
        <f t="shared" si="352"/>
        <v>0</v>
      </c>
      <c r="KN29" s="145">
        <f t="shared" si="352"/>
        <v>0</v>
      </c>
      <c r="KO29" s="145">
        <f t="shared" si="352"/>
        <v>0</v>
      </c>
      <c r="KP29" s="145">
        <f t="shared" si="352"/>
        <v>0</v>
      </c>
      <c r="KQ29" s="145">
        <f t="shared" si="352"/>
        <v>0</v>
      </c>
    </row>
    <row r="30" spans="2:303" x14ac:dyDescent="0.35"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</row>
    <row r="31" spans="2:303" x14ac:dyDescent="0.35">
      <c r="B31" s="146" t="s">
        <v>125</v>
      </c>
      <c r="C31" s="204">
        <f>SUM(D31:KQ31)</f>
        <v>2566322391.3627601</v>
      </c>
      <c r="D31" s="147">
        <f t="shared" ref="D31:BO31" si="353">D21+D29</f>
        <v>22981718.284000009</v>
      </c>
      <c r="E31" s="148">
        <f t="shared" si="353"/>
        <v>23637968.284000009</v>
      </c>
      <c r="F31" s="148">
        <f t="shared" si="353"/>
        <v>24294218.284000009</v>
      </c>
      <c r="G31" s="148">
        <f t="shared" si="353"/>
        <v>-33382672.325000018</v>
      </c>
      <c r="H31" s="148">
        <f t="shared" si="353"/>
        <v>618601304.73017251</v>
      </c>
      <c r="I31" s="148">
        <f t="shared" si="353"/>
        <v>-21356872.325000018</v>
      </c>
      <c r="J31" s="148">
        <f t="shared" si="353"/>
        <v>-20700622.325000018</v>
      </c>
      <c r="K31" s="148">
        <f t="shared" si="353"/>
        <v>-112763085.8788275</v>
      </c>
      <c r="L31" s="148">
        <f t="shared" si="353"/>
        <v>-67007962.933999985</v>
      </c>
      <c r="M31" s="148">
        <f t="shared" si="353"/>
        <v>-66351712.933999985</v>
      </c>
      <c r="N31" s="148">
        <f t="shared" si="353"/>
        <v>-228397155.44696549</v>
      </c>
      <c r="O31" s="148">
        <f t="shared" si="353"/>
        <v>-72925322.573999986</v>
      </c>
      <c r="P31" s="148">
        <f t="shared" si="353"/>
        <v>-48610743.653999984</v>
      </c>
      <c r="Q31" s="148">
        <f t="shared" si="353"/>
        <v>-71626766.598827496</v>
      </c>
      <c r="R31" s="148">
        <f t="shared" si="353"/>
        <v>10081568.833200097</v>
      </c>
      <c r="S31" s="148">
        <f t="shared" si="353"/>
        <v>10737818.833200097</v>
      </c>
      <c r="T31" s="148">
        <f t="shared" si="353"/>
        <v>-22991504.111627415</v>
      </c>
      <c r="U31" s="148">
        <f t="shared" si="353"/>
        <v>12050318.833200097</v>
      </c>
      <c r="V31" s="148">
        <f t="shared" si="353"/>
        <v>466239718.83319998</v>
      </c>
      <c r="W31" s="148">
        <f t="shared" si="353"/>
        <v>-421211544.17241275</v>
      </c>
      <c r="X31" s="148">
        <f t="shared" si="353"/>
        <v>769572049.99999988</v>
      </c>
      <c r="Y31" s="148">
        <f t="shared" si="353"/>
        <v>769572049.99999988</v>
      </c>
      <c r="Z31" s="148">
        <f t="shared" si="353"/>
        <v>256307571.72744787</v>
      </c>
      <c r="AA31" s="148">
        <f t="shared" si="353"/>
        <v>769572049.99999988</v>
      </c>
      <c r="AB31" s="148">
        <f t="shared" si="353"/>
        <v>0</v>
      </c>
      <c r="AC31" s="148">
        <f t="shared" si="353"/>
        <v>0</v>
      </c>
      <c r="AD31" s="148">
        <f t="shared" si="353"/>
        <v>0</v>
      </c>
      <c r="AE31" s="148">
        <f t="shared" si="353"/>
        <v>0</v>
      </c>
      <c r="AF31" s="148">
        <f t="shared" si="353"/>
        <v>0</v>
      </c>
      <c r="AG31" s="148">
        <f t="shared" si="353"/>
        <v>0</v>
      </c>
      <c r="AH31" s="148">
        <f t="shared" si="353"/>
        <v>0</v>
      </c>
      <c r="AI31" s="148">
        <f t="shared" si="353"/>
        <v>0</v>
      </c>
      <c r="AJ31" s="148">
        <f t="shared" si="353"/>
        <v>0</v>
      </c>
      <c r="AK31" s="148">
        <f t="shared" si="353"/>
        <v>0</v>
      </c>
      <c r="AL31" s="148">
        <f t="shared" si="353"/>
        <v>0</v>
      </c>
      <c r="AM31" s="148">
        <f t="shared" si="353"/>
        <v>0</v>
      </c>
      <c r="AN31" s="148">
        <f t="shared" si="353"/>
        <v>0</v>
      </c>
      <c r="AO31" s="148">
        <f t="shared" si="353"/>
        <v>0</v>
      </c>
      <c r="AP31" s="148">
        <f t="shared" si="353"/>
        <v>0</v>
      </c>
      <c r="AQ31" s="148">
        <f t="shared" si="353"/>
        <v>0</v>
      </c>
      <c r="AR31" s="148">
        <f t="shared" si="353"/>
        <v>0</v>
      </c>
      <c r="AS31" s="148">
        <f t="shared" si="353"/>
        <v>0</v>
      </c>
      <c r="AT31" s="148">
        <f t="shared" si="353"/>
        <v>0</v>
      </c>
      <c r="AU31" s="148">
        <f t="shared" si="353"/>
        <v>0</v>
      </c>
      <c r="AV31" s="148">
        <f t="shared" si="353"/>
        <v>0</v>
      </c>
      <c r="AW31" s="148">
        <f t="shared" si="353"/>
        <v>0</v>
      </c>
      <c r="AX31" s="148">
        <f t="shared" si="353"/>
        <v>0</v>
      </c>
      <c r="AY31" s="148">
        <f t="shared" si="353"/>
        <v>0</v>
      </c>
      <c r="AZ31" s="148">
        <f t="shared" si="353"/>
        <v>0</v>
      </c>
      <c r="BA31" s="148">
        <f t="shared" si="353"/>
        <v>0</v>
      </c>
      <c r="BB31" s="148">
        <f t="shared" si="353"/>
        <v>0</v>
      </c>
      <c r="BC31" s="148">
        <f t="shared" si="353"/>
        <v>0</v>
      </c>
      <c r="BD31" s="148">
        <f t="shared" si="353"/>
        <v>0</v>
      </c>
      <c r="BE31" s="148">
        <f t="shared" si="353"/>
        <v>0</v>
      </c>
      <c r="BF31" s="148">
        <f t="shared" si="353"/>
        <v>0</v>
      </c>
      <c r="BG31" s="148">
        <f t="shared" si="353"/>
        <v>0</v>
      </c>
      <c r="BH31" s="148">
        <f t="shared" si="353"/>
        <v>0</v>
      </c>
      <c r="BI31" s="148">
        <f t="shared" si="353"/>
        <v>0</v>
      </c>
      <c r="BJ31" s="148">
        <f t="shared" si="353"/>
        <v>0</v>
      </c>
      <c r="BK31" s="148">
        <f t="shared" si="353"/>
        <v>0</v>
      </c>
      <c r="BL31" s="148">
        <f t="shared" si="353"/>
        <v>0</v>
      </c>
      <c r="BM31" s="148">
        <f t="shared" si="353"/>
        <v>0</v>
      </c>
      <c r="BN31" s="148">
        <f t="shared" si="353"/>
        <v>0</v>
      </c>
      <c r="BO31" s="148">
        <f t="shared" si="353"/>
        <v>0</v>
      </c>
      <c r="BP31" s="148">
        <f t="shared" ref="BP31:EA31" si="354">BP21+BP29</f>
        <v>0</v>
      </c>
      <c r="BQ31" s="148">
        <f t="shared" si="354"/>
        <v>0</v>
      </c>
      <c r="BR31" s="148">
        <f t="shared" si="354"/>
        <v>0</v>
      </c>
      <c r="BS31" s="148">
        <f t="shared" si="354"/>
        <v>0</v>
      </c>
      <c r="BT31" s="148">
        <f t="shared" si="354"/>
        <v>0</v>
      </c>
      <c r="BU31" s="148">
        <f t="shared" si="354"/>
        <v>0</v>
      </c>
      <c r="BV31" s="148">
        <f t="shared" si="354"/>
        <v>0</v>
      </c>
      <c r="BW31" s="148">
        <f t="shared" si="354"/>
        <v>0</v>
      </c>
      <c r="BX31" s="148">
        <f t="shared" si="354"/>
        <v>0</v>
      </c>
      <c r="BY31" s="148">
        <f t="shared" si="354"/>
        <v>0</v>
      </c>
      <c r="BZ31" s="148">
        <f t="shared" si="354"/>
        <v>0</v>
      </c>
      <c r="CA31" s="148">
        <f t="shared" si="354"/>
        <v>0</v>
      </c>
      <c r="CB31" s="148">
        <f t="shared" si="354"/>
        <v>0</v>
      </c>
      <c r="CC31" s="148">
        <f t="shared" si="354"/>
        <v>0</v>
      </c>
      <c r="CD31" s="148">
        <f t="shared" si="354"/>
        <v>0</v>
      </c>
      <c r="CE31" s="148">
        <f t="shared" si="354"/>
        <v>0</v>
      </c>
      <c r="CF31" s="148">
        <f t="shared" si="354"/>
        <v>0</v>
      </c>
      <c r="CG31" s="148">
        <f t="shared" si="354"/>
        <v>0</v>
      </c>
      <c r="CH31" s="148">
        <f t="shared" si="354"/>
        <v>0</v>
      </c>
      <c r="CI31" s="148">
        <f t="shared" si="354"/>
        <v>0</v>
      </c>
      <c r="CJ31" s="148">
        <f t="shared" si="354"/>
        <v>0</v>
      </c>
      <c r="CK31" s="148">
        <f t="shared" si="354"/>
        <v>0</v>
      </c>
      <c r="CL31" s="148">
        <f t="shared" si="354"/>
        <v>0</v>
      </c>
      <c r="CM31" s="148">
        <f t="shared" si="354"/>
        <v>0</v>
      </c>
      <c r="CN31" s="148">
        <f t="shared" si="354"/>
        <v>0</v>
      </c>
      <c r="CO31" s="148">
        <f t="shared" si="354"/>
        <v>0</v>
      </c>
      <c r="CP31" s="148">
        <f t="shared" si="354"/>
        <v>0</v>
      </c>
      <c r="CQ31" s="148">
        <f t="shared" si="354"/>
        <v>0</v>
      </c>
      <c r="CR31" s="148">
        <f t="shared" si="354"/>
        <v>0</v>
      </c>
      <c r="CS31" s="148">
        <f t="shared" si="354"/>
        <v>0</v>
      </c>
      <c r="CT31" s="148">
        <f t="shared" si="354"/>
        <v>0</v>
      </c>
      <c r="CU31" s="148">
        <f t="shared" si="354"/>
        <v>0</v>
      </c>
      <c r="CV31" s="148">
        <f t="shared" si="354"/>
        <v>0</v>
      </c>
      <c r="CW31" s="148">
        <f t="shared" si="354"/>
        <v>0</v>
      </c>
      <c r="CX31" s="148">
        <f t="shared" si="354"/>
        <v>0</v>
      </c>
      <c r="CY31" s="148">
        <f t="shared" si="354"/>
        <v>0</v>
      </c>
      <c r="CZ31" s="148">
        <f t="shared" si="354"/>
        <v>0</v>
      </c>
      <c r="DA31" s="148">
        <f t="shared" si="354"/>
        <v>0</v>
      </c>
      <c r="DB31" s="148">
        <f t="shared" si="354"/>
        <v>0</v>
      </c>
      <c r="DC31" s="148">
        <f t="shared" si="354"/>
        <v>0</v>
      </c>
      <c r="DD31" s="148">
        <f t="shared" si="354"/>
        <v>0</v>
      </c>
      <c r="DE31" s="148">
        <f t="shared" si="354"/>
        <v>0</v>
      </c>
      <c r="DF31" s="148">
        <f t="shared" si="354"/>
        <v>0</v>
      </c>
      <c r="DG31" s="148">
        <f t="shared" si="354"/>
        <v>0</v>
      </c>
      <c r="DH31" s="148">
        <f t="shared" si="354"/>
        <v>0</v>
      </c>
      <c r="DI31" s="148">
        <f t="shared" si="354"/>
        <v>0</v>
      </c>
      <c r="DJ31" s="148">
        <f t="shared" si="354"/>
        <v>0</v>
      </c>
      <c r="DK31" s="148">
        <f t="shared" si="354"/>
        <v>0</v>
      </c>
      <c r="DL31" s="148">
        <f t="shared" si="354"/>
        <v>0</v>
      </c>
      <c r="DM31" s="148">
        <f t="shared" si="354"/>
        <v>0</v>
      </c>
      <c r="DN31" s="148">
        <f t="shared" si="354"/>
        <v>0</v>
      </c>
      <c r="DO31" s="148">
        <f t="shared" si="354"/>
        <v>0</v>
      </c>
      <c r="DP31" s="148">
        <f t="shared" si="354"/>
        <v>0</v>
      </c>
      <c r="DQ31" s="148">
        <f t="shared" si="354"/>
        <v>0</v>
      </c>
      <c r="DR31" s="148">
        <f t="shared" si="354"/>
        <v>0</v>
      </c>
      <c r="DS31" s="148">
        <f t="shared" si="354"/>
        <v>0</v>
      </c>
      <c r="DT31" s="148">
        <f t="shared" si="354"/>
        <v>0</v>
      </c>
      <c r="DU31" s="148">
        <f t="shared" si="354"/>
        <v>0</v>
      </c>
      <c r="DV31" s="148">
        <f t="shared" si="354"/>
        <v>0</v>
      </c>
      <c r="DW31" s="148">
        <f t="shared" si="354"/>
        <v>0</v>
      </c>
      <c r="DX31" s="148">
        <f t="shared" si="354"/>
        <v>0</v>
      </c>
      <c r="DY31" s="148">
        <f t="shared" si="354"/>
        <v>0</v>
      </c>
      <c r="DZ31" s="148">
        <f t="shared" si="354"/>
        <v>0</v>
      </c>
      <c r="EA31" s="148">
        <f t="shared" si="354"/>
        <v>0</v>
      </c>
      <c r="EB31" s="148">
        <f t="shared" ref="EB31:GM31" si="355">EB21+EB29</f>
        <v>0</v>
      </c>
      <c r="EC31" s="148">
        <f t="shared" si="355"/>
        <v>0</v>
      </c>
      <c r="ED31" s="148">
        <f t="shared" si="355"/>
        <v>0</v>
      </c>
      <c r="EE31" s="148">
        <f t="shared" si="355"/>
        <v>0</v>
      </c>
      <c r="EF31" s="148">
        <f t="shared" si="355"/>
        <v>0</v>
      </c>
      <c r="EG31" s="148">
        <f t="shared" si="355"/>
        <v>0</v>
      </c>
      <c r="EH31" s="148">
        <f t="shared" si="355"/>
        <v>0</v>
      </c>
      <c r="EI31" s="148">
        <f t="shared" si="355"/>
        <v>0</v>
      </c>
      <c r="EJ31" s="148">
        <f t="shared" si="355"/>
        <v>0</v>
      </c>
      <c r="EK31" s="148">
        <f t="shared" si="355"/>
        <v>0</v>
      </c>
      <c r="EL31" s="148">
        <f t="shared" si="355"/>
        <v>0</v>
      </c>
      <c r="EM31" s="148">
        <f t="shared" si="355"/>
        <v>0</v>
      </c>
      <c r="EN31" s="148">
        <f t="shared" si="355"/>
        <v>0</v>
      </c>
      <c r="EO31" s="148">
        <f t="shared" si="355"/>
        <v>0</v>
      </c>
      <c r="EP31" s="148">
        <f t="shared" si="355"/>
        <v>0</v>
      </c>
      <c r="EQ31" s="148">
        <f t="shared" si="355"/>
        <v>0</v>
      </c>
      <c r="ER31" s="148">
        <f t="shared" si="355"/>
        <v>0</v>
      </c>
      <c r="ES31" s="148">
        <f t="shared" si="355"/>
        <v>0</v>
      </c>
      <c r="ET31" s="148">
        <f t="shared" si="355"/>
        <v>0</v>
      </c>
      <c r="EU31" s="148">
        <f t="shared" si="355"/>
        <v>0</v>
      </c>
      <c r="EV31" s="148">
        <f t="shared" si="355"/>
        <v>0</v>
      </c>
      <c r="EW31" s="148">
        <f t="shared" si="355"/>
        <v>0</v>
      </c>
      <c r="EX31" s="148">
        <f t="shared" si="355"/>
        <v>0</v>
      </c>
      <c r="EY31" s="148">
        <f t="shared" si="355"/>
        <v>0</v>
      </c>
      <c r="EZ31" s="148">
        <f t="shared" si="355"/>
        <v>0</v>
      </c>
      <c r="FA31" s="148">
        <f t="shared" si="355"/>
        <v>0</v>
      </c>
      <c r="FB31" s="148">
        <f t="shared" si="355"/>
        <v>0</v>
      </c>
      <c r="FC31" s="148">
        <f t="shared" si="355"/>
        <v>0</v>
      </c>
      <c r="FD31" s="148">
        <f t="shared" si="355"/>
        <v>0</v>
      </c>
      <c r="FE31" s="148">
        <f t="shared" si="355"/>
        <v>0</v>
      </c>
      <c r="FF31" s="148">
        <f t="shared" si="355"/>
        <v>0</v>
      </c>
      <c r="FG31" s="148">
        <f t="shared" si="355"/>
        <v>0</v>
      </c>
      <c r="FH31" s="148">
        <f t="shared" si="355"/>
        <v>0</v>
      </c>
      <c r="FI31" s="148">
        <f t="shared" si="355"/>
        <v>0</v>
      </c>
      <c r="FJ31" s="148">
        <f t="shared" si="355"/>
        <v>0</v>
      </c>
      <c r="FK31" s="148">
        <f t="shared" si="355"/>
        <v>0</v>
      </c>
      <c r="FL31" s="148">
        <f t="shared" si="355"/>
        <v>0</v>
      </c>
      <c r="FM31" s="148">
        <f t="shared" si="355"/>
        <v>0</v>
      </c>
      <c r="FN31" s="148">
        <f t="shared" si="355"/>
        <v>0</v>
      </c>
      <c r="FO31" s="148">
        <f t="shared" si="355"/>
        <v>0</v>
      </c>
      <c r="FP31" s="148">
        <f t="shared" si="355"/>
        <v>0</v>
      </c>
      <c r="FQ31" s="148">
        <f t="shared" si="355"/>
        <v>0</v>
      </c>
      <c r="FR31" s="148">
        <f t="shared" si="355"/>
        <v>0</v>
      </c>
      <c r="FS31" s="148">
        <f t="shared" si="355"/>
        <v>0</v>
      </c>
      <c r="FT31" s="148">
        <f t="shared" si="355"/>
        <v>0</v>
      </c>
      <c r="FU31" s="148">
        <f t="shared" si="355"/>
        <v>0</v>
      </c>
      <c r="FV31" s="148">
        <f t="shared" si="355"/>
        <v>0</v>
      </c>
      <c r="FW31" s="148">
        <f t="shared" si="355"/>
        <v>0</v>
      </c>
      <c r="FX31" s="148">
        <f t="shared" si="355"/>
        <v>0</v>
      </c>
      <c r="FY31" s="148">
        <f t="shared" si="355"/>
        <v>0</v>
      </c>
      <c r="FZ31" s="148">
        <f t="shared" si="355"/>
        <v>0</v>
      </c>
      <c r="GA31" s="148">
        <f t="shared" si="355"/>
        <v>0</v>
      </c>
      <c r="GB31" s="148">
        <f t="shared" si="355"/>
        <v>0</v>
      </c>
      <c r="GC31" s="148">
        <f t="shared" si="355"/>
        <v>0</v>
      </c>
      <c r="GD31" s="148">
        <f t="shared" si="355"/>
        <v>0</v>
      </c>
      <c r="GE31" s="148">
        <f t="shared" si="355"/>
        <v>0</v>
      </c>
      <c r="GF31" s="148">
        <f t="shared" si="355"/>
        <v>0</v>
      </c>
      <c r="GG31" s="148">
        <f t="shared" si="355"/>
        <v>0</v>
      </c>
      <c r="GH31" s="148">
        <f t="shared" si="355"/>
        <v>0</v>
      </c>
      <c r="GI31" s="148">
        <f t="shared" si="355"/>
        <v>0</v>
      </c>
      <c r="GJ31" s="148">
        <f t="shared" si="355"/>
        <v>0</v>
      </c>
      <c r="GK31" s="148">
        <f t="shared" si="355"/>
        <v>0</v>
      </c>
      <c r="GL31" s="148">
        <f t="shared" si="355"/>
        <v>0</v>
      </c>
      <c r="GM31" s="148">
        <f t="shared" si="355"/>
        <v>0</v>
      </c>
      <c r="GN31" s="148">
        <f t="shared" ref="GN31:IY31" si="356">GN21+GN29</f>
        <v>0</v>
      </c>
      <c r="GO31" s="148">
        <f t="shared" si="356"/>
        <v>0</v>
      </c>
      <c r="GP31" s="148">
        <f t="shared" si="356"/>
        <v>0</v>
      </c>
      <c r="GQ31" s="148">
        <f t="shared" si="356"/>
        <v>0</v>
      </c>
      <c r="GR31" s="148">
        <f t="shared" si="356"/>
        <v>0</v>
      </c>
      <c r="GS31" s="148">
        <f t="shared" si="356"/>
        <v>0</v>
      </c>
      <c r="GT31" s="148">
        <f t="shared" si="356"/>
        <v>0</v>
      </c>
      <c r="GU31" s="148">
        <f t="shared" si="356"/>
        <v>0</v>
      </c>
      <c r="GV31" s="148">
        <f t="shared" si="356"/>
        <v>0</v>
      </c>
      <c r="GW31" s="148">
        <f t="shared" si="356"/>
        <v>0</v>
      </c>
      <c r="GX31" s="148">
        <f t="shared" si="356"/>
        <v>0</v>
      </c>
      <c r="GY31" s="148">
        <f t="shared" si="356"/>
        <v>0</v>
      </c>
      <c r="GZ31" s="148">
        <f t="shared" si="356"/>
        <v>0</v>
      </c>
      <c r="HA31" s="148">
        <f t="shared" si="356"/>
        <v>0</v>
      </c>
      <c r="HB31" s="148">
        <f t="shared" si="356"/>
        <v>0</v>
      </c>
      <c r="HC31" s="148">
        <f t="shared" si="356"/>
        <v>0</v>
      </c>
      <c r="HD31" s="148">
        <f t="shared" si="356"/>
        <v>0</v>
      </c>
      <c r="HE31" s="148">
        <f t="shared" si="356"/>
        <v>0</v>
      </c>
      <c r="HF31" s="148">
        <f t="shared" si="356"/>
        <v>0</v>
      </c>
      <c r="HG31" s="148">
        <f t="shared" si="356"/>
        <v>0</v>
      </c>
      <c r="HH31" s="148">
        <f t="shared" si="356"/>
        <v>0</v>
      </c>
      <c r="HI31" s="148">
        <f t="shared" si="356"/>
        <v>0</v>
      </c>
      <c r="HJ31" s="148">
        <f t="shared" si="356"/>
        <v>0</v>
      </c>
      <c r="HK31" s="148">
        <f t="shared" si="356"/>
        <v>0</v>
      </c>
      <c r="HL31" s="148">
        <f t="shared" si="356"/>
        <v>0</v>
      </c>
      <c r="HM31" s="148">
        <f t="shared" si="356"/>
        <v>0</v>
      </c>
      <c r="HN31" s="148">
        <f t="shared" si="356"/>
        <v>0</v>
      </c>
      <c r="HO31" s="148">
        <f t="shared" si="356"/>
        <v>0</v>
      </c>
      <c r="HP31" s="148">
        <f t="shared" si="356"/>
        <v>0</v>
      </c>
      <c r="HQ31" s="148">
        <f t="shared" si="356"/>
        <v>0</v>
      </c>
      <c r="HR31" s="148">
        <f t="shared" si="356"/>
        <v>0</v>
      </c>
      <c r="HS31" s="148">
        <f t="shared" si="356"/>
        <v>0</v>
      </c>
      <c r="HT31" s="148">
        <f t="shared" si="356"/>
        <v>0</v>
      </c>
      <c r="HU31" s="148">
        <f t="shared" si="356"/>
        <v>0</v>
      </c>
      <c r="HV31" s="148">
        <f t="shared" si="356"/>
        <v>0</v>
      </c>
      <c r="HW31" s="148">
        <f t="shared" si="356"/>
        <v>0</v>
      </c>
      <c r="HX31" s="148">
        <f t="shared" si="356"/>
        <v>0</v>
      </c>
      <c r="HY31" s="148">
        <f t="shared" si="356"/>
        <v>0</v>
      </c>
      <c r="HZ31" s="148">
        <f t="shared" si="356"/>
        <v>0</v>
      </c>
      <c r="IA31" s="148">
        <f t="shared" si="356"/>
        <v>0</v>
      </c>
      <c r="IB31" s="148">
        <f t="shared" si="356"/>
        <v>0</v>
      </c>
      <c r="IC31" s="148">
        <f t="shared" si="356"/>
        <v>0</v>
      </c>
      <c r="ID31" s="148">
        <f t="shared" si="356"/>
        <v>0</v>
      </c>
      <c r="IE31" s="148">
        <f t="shared" si="356"/>
        <v>0</v>
      </c>
      <c r="IF31" s="148">
        <f t="shared" si="356"/>
        <v>0</v>
      </c>
      <c r="IG31" s="148">
        <f t="shared" si="356"/>
        <v>0</v>
      </c>
      <c r="IH31" s="148">
        <f t="shared" si="356"/>
        <v>0</v>
      </c>
      <c r="II31" s="148">
        <f t="shared" si="356"/>
        <v>0</v>
      </c>
      <c r="IJ31" s="148">
        <f t="shared" si="356"/>
        <v>0</v>
      </c>
      <c r="IK31" s="148">
        <f t="shared" si="356"/>
        <v>0</v>
      </c>
      <c r="IL31" s="148">
        <f t="shared" si="356"/>
        <v>0</v>
      </c>
      <c r="IM31" s="148">
        <f t="shared" si="356"/>
        <v>0</v>
      </c>
      <c r="IN31" s="148">
        <f t="shared" si="356"/>
        <v>0</v>
      </c>
      <c r="IO31" s="148">
        <f t="shared" si="356"/>
        <v>0</v>
      </c>
      <c r="IP31" s="148">
        <f t="shared" si="356"/>
        <v>0</v>
      </c>
      <c r="IQ31" s="148">
        <f t="shared" si="356"/>
        <v>0</v>
      </c>
      <c r="IR31" s="148">
        <f t="shared" si="356"/>
        <v>0</v>
      </c>
      <c r="IS31" s="148">
        <f t="shared" si="356"/>
        <v>0</v>
      </c>
      <c r="IT31" s="148">
        <f t="shared" si="356"/>
        <v>0</v>
      </c>
      <c r="IU31" s="148">
        <f t="shared" si="356"/>
        <v>0</v>
      </c>
      <c r="IV31" s="148">
        <f t="shared" si="356"/>
        <v>0</v>
      </c>
      <c r="IW31" s="148">
        <f t="shared" si="356"/>
        <v>0</v>
      </c>
      <c r="IX31" s="148">
        <f t="shared" si="356"/>
        <v>0</v>
      </c>
      <c r="IY31" s="148">
        <f t="shared" si="356"/>
        <v>0</v>
      </c>
      <c r="IZ31" s="148">
        <f t="shared" ref="IZ31:KQ31" si="357">IZ21+IZ29</f>
        <v>0</v>
      </c>
      <c r="JA31" s="148">
        <f t="shared" si="357"/>
        <v>0</v>
      </c>
      <c r="JB31" s="148">
        <f t="shared" si="357"/>
        <v>0</v>
      </c>
      <c r="JC31" s="148">
        <f t="shared" si="357"/>
        <v>0</v>
      </c>
      <c r="JD31" s="148">
        <f t="shared" si="357"/>
        <v>0</v>
      </c>
      <c r="JE31" s="148">
        <f t="shared" si="357"/>
        <v>0</v>
      </c>
      <c r="JF31" s="148">
        <f t="shared" si="357"/>
        <v>0</v>
      </c>
      <c r="JG31" s="148">
        <f t="shared" si="357"/>
        <v>0</v>
      </c>
      <c r="JH31" s="148">
        <f t="shared" si="357"/>
        <v>0</v>
      </c>
      <c r="JI31" s="148">
        <f t="shared" si="357"/>
        <v>0</v>
      </c>
      <c r="JJ31" s="148">
        <f t="shared" si="357"/>
        <v>0</v>
      </c>
      <c r="JK31" s="148">
        <f t="shared" si="357"/>
        <v>0</v>
      </c>
      <c r="JL31" s="148">
        <f t="shared" si="357"/>
        <v>0</v>
      </c>
      <c r="JM31" s="148">
        <f t="shared" si="357"/>
        <v>0</v>
      </c>
      <c r="JN31" s="148">
        <f t="shared" si="357"/>
        <v>0</v>
      </c>
      <c r="JO31" s="148">
        <f t="shared" si="357"/>
        <v>0</v>
      </c>
      <c r="JP31" s="148">
        <f t="shared" si="357"/>
        <v>0</v>
      </c>
      <c r="JQ31" s="148">
        <f t="shared" si="357"/>
        <v>0</v>
      </c>
      <c r="JR31" s="148">
        <f t="shared" si="357"/>
        <v>0</v>
      </c>
      <c r="JS31" s="148">
        <f t="shared" si="357"/>
        <v>0</v>
      </c>
      <c r="JT31" s="148">
        <f t="shared" si="357"/>
        <v>0</v>
      </c>
      <c r="JU31" s="148">
        <f t="shared" si="357"/>
        <v>0</v>
      </c>
      <c r="JV31" s="148">
        <f t="shared" si="357"/>
        <v>0</v>
      </c>
      <c r="JW31" s="148">
        <f t="shared" si="357"/>
        <v>0</v>
      </c>
      <c r="JX31" s="148">
        <f t="shared" si="357"/>
        <v>0</v>
      </c>
      <c r="JY31" s="148">
        <f t="shared" si="357"/>
        <v>0</v>
      </c>
      <c r="JZ31" s="148">
        <f t="shared" si="357"/>
        <v>0</v>
      </c>
      <c r="KA31" s="148">
        <f t="shared" si="357"/>
        <v>0</v>
      </c>
      <c r="KB31" s="148">
        <f t="shared" si="357"/>
        <v>0</v>
      </c>
      <c r="KC31" s="148">
        <f t="shared" si="357"/>
        <v>0</v>
      </c>
      <c r="KD31" s="148">
        <f t="shared" si="357"/>
        <v>0</v>
      </c>
      <c r="KE31" s="148">
        <f t="shared" si="357"/>
        <v>0</v>
      </c>
      <c r="KF31" s="148">
        <f t="shared" si="357"/>
        <v>0</v>
      </c>
      <c r="KG31" s="148">
        <f t="shared" si="357"/>
        <v>0</v>
      </c>
      <c r="KH31" s="148">
        <f t="shared" si="357"/>
        <v>0</v>
      </c>
      <c r="KI31" s="148">
        <f t="shared" si="357"/>
        <v>0</v>
      </c>
      <c r="KJ31" s="148">
        <f t="shared" si="357"/>
        <v>0</v>
      </c>
      <c r="KK31" s="148">
        <f t="shared" si="357"/>
        <v>0</v>
      </c>
      <c r="KL31" s="148">
        <f t="shared" si="357"/>
        <v>0</v>
      </c>
      <c r="KM31" s="148">
        <f t="shared" si="357"/>
        <v>0</v>
      </c>
      <c r="KN31" s="148">
        <f t="shared" si="357"/>
        <v>0</v>
      </c>
      <c r="KO31" s="148">
        <f t="shared" si="357"/>
        <v>0</v>
      </c>
      <c r="KP31" s="148">
        <f t="shared" si="357"/>
        <v>0</v>
      </c>
      <c r="KQ31" s="148">
        <f t="shared" si="357"/>
        <v>0</v>
      </c>
    </row>
    <row r="32" spans="2:303" x14ac:dyDescent="0.35">
      <c r="B32" s="149"/>
      <c r="C32" s="150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</row>
    <row r="33" spans="2:303" x14ac:dyDescent="0.35">
      <c r="B33" s="152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</row>
    <row r="34" spans="2:303" x14ac:dyDescent="0.35">
      <c r="B34" s="154" t="s">
        <v>126</v>
      </c>
      <c r="C34" s="150" t="s">
        <v>48</v>
      </c>
      <c r="D34" s="155">
        <f>D31</f>
        <v>22981718.284000009</v>
      </c>
      <c r="E34" s="155">
        <f>D34+E31</f>
        <v>46619686.568000019</v>
      </c>
      <c r="F34" s="155">
        <f>E34+F31</f>
        <v>70913904.852000028</v>
      </c>
      <c r="G34" s="155">
        <f t="shared" ref="G34:BQ34" si="358">F34+G31</f>
        <v>37531232.52700001</v>
      </c>
      <c r="H34" s="155">
        <f t="shared" si="358"/>
        <v>656132537.25717258</v>
      </c>
      <c r="I34" s="155">
        <f t="shared" si="358"/>
        <v>634775664.93217254</v>
      </c>
      <c r="J34" s="155">
        <f t="shared" si="358"/>
        <v>614075042.60717249</v>
      </c>
      <c r="K34" s="155">
        <f>J34+K31</f>
        <v>501311956.72834498</v>
      </c>
      <c r="L34" s="155">
        <f t="shared" si="358"/>
        <v>434303993.79434502</v>
      </c>
      <c r="M34" s="155">
        <f t="shared" si="358"/>
        <v>367952280.86034501</v>
      </c>
      <c r="N34" s="155">
        <f t="shared" si="358"/>
        <v>139555125.41337952</v>
      </c>
      <c r="O34" s="155">
        <f t="shared" si="358"/>
        <v>66629802.839379534</v>
      </c>
      <c r="P34" s="155">
        <f t="shared" si="358"/>
        <v>18019059.18537955</v>
      </c>
      <c r="Q34" s="155">
        <f t="shared" si="358"/>
        <v>-53607707.413447946</v>
      </c>
      <c r="R34" s="155">
        <f t="shared" si="358"/>
        <v>-43526138.580247849</v>
      </c>
      <c r="S34" s="155">
        <f t="shared" si="358"/>
        <v>-32788319.747047752</v>
      </c>
      <c r="T34" s="155">
        <f t="shared" si="358"/>
        <v>-55779823.858675167</v>
      </c>
      <c r="U34" s="155">
        <f t="shared" si="358"/>
        <v>-43729505.02547507</v>
      </c>
      <c r="V34" s="155">
        <f>U34+V31</f>
        <v>422510213.80772489</v>
      </c>
      <c r="W34" s="155">
        <f t="shared" si="358"/>
        <v>1298669.63531214</v>
      </c>
      <c r="X34" s="155">
        <f t="shared" si="358"/>
        <v>770870719.63531208</v>
      </c>
      <c r="Y34" s="155">
        <f t="shared" si="358"/>
        <v>1540442769.6353121</v>
      </c>
      <c r="Z34" s="155">
        <f t="shared" si="358"/>
        <v>1796750341.3627601</v>
      </c>
      <c r="AA34" s="155">
        <f>Z34+AA31</f>
        <v>2566322391.3627601</v>
      </c>
      <c r="AB34" s="155">
        <f t="shared" si="358"/>
        <v>2566322391.3627601</v>
      </c>
      <c r="AC34" s="155">
        <f t="shared" si="358"/>
        <v>2566322391.3627601</v>
      </c>
      <c r="AD34" s="155">
        <f t="shared" si="358"/>
        <v>2566322391.3627601</v>
      </c>
      <c r="AE34" s="155">
        <f t="shared" si="358"/>
        <v>2566322391.3627601</v>
      </c>
      <c r="AF34" s="155">
        <f t="shared" si="358"/>
        <v>2566322391.3627601</v>
      </c>
      <c r="AG34" s="155">
        <f t="shared" si="358"/>
        <v>2566322391.3627601</v>
      </c>
      <c r="AH34" s="155">
        <f t="shared" si="358"/>
        <v>2566322391.3627601</v>
      </c>
      <c r="AI34" s="155">
        <f t="shared" si="358"/>
        <v>2566322391.3627601</v>
      </c>
      <c r="AJ34" s="155">
        <f t="shared" si="358"/>
        <v>2566322391.3627601</v>
      </c>
      <c r="AK34" s="155">
        <f>AJ34+AK31</f>
        <v>2566322391.3627601</v>
      </c>
      <c r="AL34" s="155">
        <f t="shared" si="358"/>
        <v>2566322391.3627601</v>
      </c>
      <c r="AM34" s="155">
        <f t="shared" si="358"/>
        <v>2566322391.3627601</v>
      </c>
      <c r="AN34" s="155">
        <f t="shared" si="358"/>
        <v>2566322391.3627601</v>
      </c>
      <c r="AO34" s="155">
        <f t="shared" si="358"/>
        <v>2566322391.3627601</v>
      </c>
      <c r="AP34" s="155">
        <f t="shared" si="358"/>
        <v>2566322391.3627601</v>
      </c>
      <c r="AQ34" s="155">
        <f t="shared" si="358"/>
        <v>2566322391.3627601</v>
      </c>
      <c r="AR34" s="155">
        <f t="shared" si="358"/>
        <v>2566322391.3627601</v>
      </c>
      <c r="AS34" s="155">
        <f t="shared" si="358"/>
        <v>2566322391.3627601</v>
      </c>
      <c r="AT34" s="155">
        <f t="shared" si="358"/>
        <v>2566322391.3627601</v>
      </c>
      <c r="AU34" s="155">
        <f t="shared" si="358"/>
        <v>2566322391.3627601</v>
      </c>
      <c r="AV34" s="155">
        <f t="shared" si="358"/>
        <v>2566322391.3627601</v>
      </c>
      <c r="AW34" s="155">
        <f t="shared" si="358"/>
        <v>2566322391.3627601</v>
      </c>
      <c r="AX34" s="155">
        <f t="shared" si="358"/>
        <v>2566322391.3627601</v>
      </c>
      <c r="AY34" s="155">
        <f t="shared" si="358"/>
        <v>2566322391.3627601</v>
      </c>
      <c r="AZ34" s="155">
        <f t="shared" si="358"/>
        <v>2566322391.3627601</v>
      </c>
      <c r="BA34" s="155">
        <f t="shared" si="358"/>
        <v>2566322391.3627601</v>
      </c>
      <c r="BB34" s="155">
        <f t="shared" si="358"/>
        <v>2566322391.3627601</v>
      </c>
      <c r="BC34" s="155">
        <f t="shared" si="358"/>
        <v>2566322391.3627601</v>
      </c>
      <c r="BD34" s="155">
        <f t="shared" si="358"/>
        <v>2566322391.3627601</v>
      </c>
      <c r="BE34" s="155">
        <f t="shared" si="358"/>
        <v>2566322391.3627601</v>
      </c>
      <c r="BF34" s="155">
        <f t="shared" si="358"/>
        <v>2566322391.3627601</v>
      </c>
      <c r="BG34" s="155">
        <f t="shared" si="358"/>
        <v>2566322391.3627601</v>
      </c>
      <c r="BH34" s="155">
        <f t="shared" si="358"/>
        <v>2566322391.3627601</v>
      </c>
      <c r="BI34" s="155">
        <f t="shared" si="358"/>
        <v>2566322391.3627601</v>
      </c>
      <c r="BJ34" s="155">
        <f t="shared" si="358"/>
        <v>2566322391.3627601</v>
      </c>
      <c r="BK34" s="155">
        <f t="shared" si="358"/>
        <v>2566322391.3627601</v>
      </c>
      <c r="BL34" s="155">
        <f t="shared" si="358"/>
        <v>2566322391.3627601</v>
      </c>
      <c r="BM34" s="155">
        <f t="shared" si="358"/>
        <v>2566322391.3627601</v>
      </c>
      <c r="BN34" s="155">
        <f t="shared" si="358"/>
        <v>2566322391.3627601</v>
      </c>
      <c r="BO34" s="155">
        <f t="shared" si="358"/>
        <v>2566322391.3627601</v>
      </c>
      <c r="BP34" s="155">
        <f>BO34+BP31</f>
        <v>2566322391.3627601</v>
      </c>
      <c r="BQ34" s="155">
        <f t="shared" si="358"/>
        <v>2566322391.3627601</v>
      </c>
      <c r="BR34" s="155">
        <f t="shared" ref="BR34:EC34" si="359">BQ34+BR31</f>
        <v>2566322391.3627601</v>
      </c>
      <c r="BS34" s="155">
        <f t="shared" si="359"/>
        <v>2566322391.3627601</v>
      </c>
      <c r="BT34" s="155">
        <f t="shared" si="359"/>
        <v>2566322391.3627601</v>
      </c>
      <c r="BU34" s="155">
        <f t="shared" si="359"/>
        <v>2566322391.3627601</v>
      </c>
      <c r="BV34" s="155">
        <f t="shared" si="359"/>
        <v>2566322391.3627601</v>
      </c>
      <c r="BW34" s="155">
        <f t="shared" si="359"/>
        <v>2566322391.3627601</v>
      </c>
      <c r="BX34" s="155">
        <f t="shared" si="359"/>
        <v>2566322391.3627601</v>
      </c>
      <c r="BY34" s="155">
        <f t="shared" si="359"/>
        <v>2566322391.3627601</v>
      </c>
      <c r="BZ34" s="155">
        <f t="shared" si="359"/>
        <v>2566322391.3627601</v>
      </c>
      <c r="CA34" s="155">
        <f t="shared" si="359"/>
        <v>2566322391.3627601</v>
      </c>
      <c r="CB34" s="155">
        <f t="shared" si="359"/>
        <v>2566322391.3627601</v>
      </c>
      <c r="CC34" s="155">
        <f t="shared" si="359"/>
        <v>2566322391.3627601</v>
      </c>
      <c r="CD34" s="155">
        <f t="shared" si="359"/>
        <v>2566322391.3627601</v>
      </c>
      <c r="CE34" s="155">
        <f t="shared" si="359"/>
        <v>2566322391.3627601</v>
      </c>
      <c r="CF34" s="155">
        <f t="shared" si="359"/>
        <v>2566322391.3627601</v>
      </c>
      <c r="CG34" s="155">
        <f t="shared" si="359"/>
        <v>2566322391.3627601</v>
      </c>
      <c r="CH34" s="155">
        <f t="shared" si="359"/>
        <v>2566322391.3627601</v>
      </c>
      <c r="CI34" s="155">
        <f t="shared" si="359"/>
        <v>2566322391.3627601</v>
      </c>
      <c r="CJ34" s="155">
        <f t="shared" si="359"/>
        <v>2566322391.3627601</v>
      </c>
      <c r="CK34" s="155">
        <f t="shared" si="359"/>
        <v>2566322391.3627601</v>
      </c>
      <c r="CL34" s="155">
        <f t="shared" si="359"/>
        <v>2566322391.3627601</v>
      </c>
      <c r="CM34" s="155">
        <f t="shared" si="359"/>
        <v>2566322391.3627601</v>
      </c>
      <c r="CN34" s="155">
        <f t="shared" si="359"/>
        <v>2566322391.3627601</v>
      </c>
      <c r="CO34" s="155">
        <f t="shared" si="359"/>
        <v>2566322391.3627601</v>
      </c>
      <c r="CP34" s="155">
        <f t="shared" si="359"/>
        <v>2566322391.3627601</v>
      </c>
      <c r="CQ34" s="155">
        <f t="shared" si="359"/>
        <v>2566322391.3627601</v>
      </c>
      <c r="CR34" s="155">
        <f t="shared" si="359"/>
        <v>2566322391.3627601</v>
      </c>
      <c r="CS34" s="155">
        <f t="shared" si="359"/>
        <v>2566322391.3627601</v>
      </c>
      <c r="CT34" s="155">
        <f t="shared" si="359"/>
        <v>2566322391.3627601</v>
      </c>
      <c r="CU34" s="155">
        <f t="shared" si="359"/>
        <v>2566322391.3627601</v>
      </c>
      <c r="CV34" s="155">
        <f t="shared" si="359"/>
        <v>2566322391.3627601</v>
      </c>
      <c r="CW34" s="155">
        <f t="shared" si="359"/>
        <v>2566322391.3627601</v>
      </c>
      <c r="CX34" s="155">
        <f t="shared" si="359"/>
        <v>2566322391.3627601</v>
      </c>
      <c r="CY34" s="155">
        <f t="shared" si="359"/>
        <v>2566322391.3627601</v>
      </c>
      <c r="CZ34" s="155">
        <f t="shared" si="359"/>
        <v>2566322391.3627601</v>
      </c>
      <c r="DA34" s="155">
        <f t="shared" si="359"/>
        <v>2566322391.3627601</v>
      </c>
      <c r="DB34" s="155">
        <f t="shared" si="359"/>
        <v>2566322391.3627601</v>
      </c>
      <c r="DC34" s="155">
        <f t="shared" si="359"/>
        <v>2566322391.3627601</v>
      </c>
      <c r="DD34" s="155">
        <f t="shared" si="359"/>
        <v>2566322391.3627601</v>
      </c>
      <c r="DE34" s="155">
        <f t="shared" si="359"/>
        <v>2566322391.3627601</v>
      </c>
      <c r="DF34" s="155">
        <f t="shared" si="359"/>
        <v>2566322391.3627601</v>
      </c>
      <c r="DG34" s="155">
        <f t="shared" si="359"/>
        <v>2566322391.3627601</v>
      </c>
      <c r="DH34" s="155">
        <f t="shared" si="359"/>
        <v>2566322391.3627601</v>
      </c>
      <c r="DI34" s="155">
        <f t="shared" si="359"/>
        <v>2566322391.3627601</v>
      </c>
      <c r="DJ34" s="155">
        <f t="shared" si="359"/>
        <v>2566322391.3627601</v>
      </c>
      <c r="DK34" s="155">
        <f t="shared" si="359"/>
        <v>2566322391.3627601</v>
      </c>
      <c r="DL34" s="155">
        <f t="shared" si="359"/>
        <v>2566322391.3627601</v>
      </c>
      <c r="DM34" s="155">
        <f t="shared" si="359"/>
        <v>2566322391.3627601</v>
      </c>
      <c r="DN34" s="155">
        <f t="shared" si="359"/>
        <v>2566322391.3627601</v>
      </c>
      <c r="DO34" s="155">
        <f t="shared" si="359"/>
        <v>2566322391.3627601</v>
      </c>
      <c r="DP34" s="155">
        <f t="shared" si="359"/>
        <v>2566322391.3627601</v>
      </c>
      <c r="DQ34" s="155">
        <f t="shared" si="359"/>
        <v>2566322391.3627601</v>
      </c>
      <c r="DR34" s="155">
        <f t="shared" si="359"/>
        <v>2566322391.3627601</v>
      </c>
      <c r="DS34" s="155">
        <f t="shared" si="359"/>
        <v>2566322391.3627601</v>
      </c>
      <c r="DT34" s="155">
        <f t="shared" si="359"/>
        <v>2566322391.3627601</v>
      </c>
      <c r="DU34" s="155">
        <f t="shared" si="359"/>
        <v>2566322391.3627601</v>
      </c>
      <c r="DV34" s="155">
        <f t="shared" si="359"/>
        <v>2566322391.3627601</v>
      </c>
      <c r="DW34" s="155">
        <f t="shared" si="359"/>
        <v>2566322391.3627601</v>
      </c>
      <c r="DX34" s="155">
        <f t="shared" si="359"/>
        <v>2566322391.3627601</v>
      </c>
      <c r="DY34" s="155">
        <f t="shared" si="359"/>
        <v>2566322391.3627601</v>
      </c>
      <c r="DZ34" s="155">
        <f t="shared" si="359"/>
        <v>2566322391.3627601</v>
      </c>
      <c r="EA34" s="155">
        <f t="shared" si="359"/>
        <v>2566322391.3627601</v>
      </c>
      <c r="EB34" s="155">
        <f t="shared" si="359"/>
        <v>2566322391.3627601</v>
      </c>
      <c r="EC34" s="155">
        <f t="shared" si="359"/>
        <v>2566322391.3627601</v>
      </c>
      <c r="ED34" s="155">
        <f t="shared" ref="ED34:GO34" si="360">EC34+ED31</f>
        <v>2566322391.3627601</v>
      </c>
      <c r="EE34" s="155">
        <f t="shared" si="360"/>
        <v>2566322391.3627601</v>
      </c>
      <c r="EF34" s="155">
        <f t="shared" si="360"/>
        <v>2566322391.3627601</v>
      </c>
      <c r="EG34" s="155">
        <f t="shared" si="360"/>
        <v>2566322391.3627601</v>
      </c>
      <c r="EH34" s="155">
        <f t="shared" si="360"/>
        <v>2566322391.3627601</v>
      </c>
      <c r="EI34" s="155">
        <f t="shared" si="360"/>
        <v>2566322391.3627601</v>
      </c>
      <c r="EJ34" s="155">
        <f t="shared" si="360"/>
        <v>2566322391.3627601</v>
      </c>
      <c r="EK34" s="155">
        <f t="shared" si="360"/>
        <v>2566322391.3627601</v>
      </c>
      <c r="EL34" s="155">
        <f t="shared" si="360"/>
        <v>2566322391.3627601</v>
      </c>
      <c r="EM34" s="155">
        <f t="shared" si="360"/>
        <v>2566322391.3627601</v>
      </c>
      <c r="EN34" s="155">
        <f t="shared" si="360"/>
        <v>2566322391.3627601</v>
      </c>
      <c r="EO34" s="155">
        <f t="shared" si="360"/>
        <v>2566322391.3627601</v>
      </c>
      <c r="EP34" s="155">
        <f t="shared" si="360"/>
        <v>2566322391.3627601</v>
      </c>
      <c r="EQ34" s="155">
        <f t="shared" si="360"/>
        <v>2566322391.3627601</v>
      </c>
      <c r="ER34" s="155">
        <f t="shared" si="360"/>
        <v>2566322391.3627601</v>
      </c>
      <c r="ES34" s="155">
        <f t="shared" si="360"/>
        <v>2566322391.3627601</v>
      </c>
      <c r="ET34" s="155">
        <f t="shared" si="360"/>
        <v>2566322391.3627601</v>
      </c>
      <c r="EU34" s="155">
        <f t="shared" si="360"/>
        <v>2566322391.3627601</v>
      </c>
      <c r="EV34" s="155">
        <f t="shared" si="360"/>
        <v>2566322391.3627601</v>
      </c>
      <c r="EW34" s="155">
        <f t="shared" si="360"/>
        <v>2566322391.3627601</v>
      </c>
      <c r="EX34" s="155">
        <f t="shared" si="360"/>
        <v>2566322391.3627601</v>
      </c>
      <c r="EY34" s="155">
        <f t="shared" si="360"/>
        <v>2566322391.3627601</v>
      </c>
      <c r="EZ34" s="155">
        <f t="shared" si="360"/>
        <v>2566322391.3627601</v>
      </c>
      <c r="FA34" s="155">
        <f t="shared" si="360"/>
        <v>2566322391.3627601</v>
      </c>
      <c r="FB34" s="155">
        <f t="shared" si="360"/>
        <v>2566322391.3627601</v>
      </c>
      <c r="FC34" s="155">
        <f t="shared" si="360"/>
        <v>2566322391.3627601</v>
      </c>
      <c r="FD34" s="155">
        <f t="shared" si="360"/>
        <v>2566322391.3627601</v>
      </c>
      <c r="FE34" s="155">
        <f t="shared" si="360"/>
        <v>2566322391.3627601</v>
      </c>
      <c r="FF34" s="155">
        <f t="shared" si="360"/>
        <v>2566322391.3627601</v>
      </c>
      <c r="FG34" s="155">
        <f t="shared" si="360"/>
        <v>2566322391.3627601</v>
      </c>
      <c r="FH34" s="155">
        <f t="shared" si="360"/>
        <v>2566322391.3627601</v>
      </c>
      <c r="FI34" s="155">
        <f t="shared" si="360"/>
        <v>2566322391.3627601</v>
      </c>
      <c r="FJ34" s="155">
        <f t="shared" si="360"/>
        <v>2566322391.3627601</v>
      </c>
      <c r="FK34" s="155">
        <f t="shared" si="360"/>
        <v>2566322391.3627601</v>
      </c>
      <c r="FL34" s="155">
        <f t="shared" si="360"/>
        <v>2566322391.3627601</v>
      </c>
      <c r="FM34" s="155">
        <f t="shared" si="360"/>
        <v>2566322391.3627601</v>
      </c>
      <c r="FN34" s="155">
        <f t="shared" si="360"/>
        <v>2566322391.3627601</v>
      </c>
      <c r="FO34" s="155">
        <f t="shared" si="360"/>
        <v>2566322391.3627601</v>
      </c>
      <c r="FP34" s="155">
        <f t="shared" si="360"/>
        <v>2566322391.3627601</v>
      </c>
      <c r="FQ34" s="155">
        <f t="shared" si="360"/>
        <v>2566322391.3627601</v>
      </c>
      <c r="FR34" s="155">
        <f t="shared" si="360"/>
        <v>2566322391.3627601</v>
      </c>
      <c r="FS34" s="155">
        <f t="shared" si="360"/>
        <v>2566322391.3627601</v>
      </c>
      <c r="FT34" s="155">
        <f t="shared" si="360"/>
        <v>2566322391.3627601</v>
      </c>
      <c r="FU34" s="155">
        <f t="shared" si="360"/>
        <v>2566322391.3627601</v>
      </c>
      <c r="FV34" s="155">
        <f t="shared" si="360"/>
        <v>2566322391.3627601</v>
      </c>
      <c r="FW34" s="155">
        <f t="shared" si="360"/>
        <v>2566322391.3627601</v>
      </c>
      <c r="FX34" s="155">
        <f t="shared" si="360"/>
        <v>2566322391.3627601</v>
      </c>
      <c r="FY34" s="155">
        <f t="shared" si="360"/>
        <v>2566322391.3627601</v>
      </c>
      <c r="FZ34" s="155">
        <f t="shared" si="360"/>
        <v>2566322391.3627601</v>
      </c>
      <c r="GA34" s="155">
        <f t="shared" si="360"/>
        <v>2566322391.3627601</v>
      </c>
      <c r="GB34" s="155">
        <f t="shared" si="360"/>
        <v>2566322391.3627601</v>
      </c>
      <c r="GC34" s="155">
        <f t="shared" si="360"/>
        <v>2566322391.3627601</v>
      </c>
      <c r="GD34" s="155">
        <f t="shared" si="360"/>
        <v>2566322391.3627601</v>
      </c>
      <c r="GE34" s="155">
        <f t="shared" si="360"/>
        <v>2566322391.3627601</v>
      </c>
      <c r="GF34" s="155">
        <f t="shared" si="360"/>
        <v>2566322391.3627601</v>
      </c>
      <c r="GG34" s="155">
        <f t="shared" si="360"/>
        <v>2566322391.3627601</v>
      </c>
      <c r="GH34" s="155">
        <f t="shared" si="360"/>
        <v>2566322391.3627601</v>
      </c>
      <c r="GI34" s="155">
        <f t="shared" si="360"/>
        <v>2566322391.3627601</v>
      </c>
      <c r="GJ34" s="155">
        <f t="shared" si="360"/>
        <v>2566322391.3627601</v>
      </c>
      <c r="GK34" s="155">
        <f t="shared" si="360"/>
        <v>2566322391.3627601</v>
      </c>
      <c r="GL34" s="155">
        <f t="shared" si="360"/>
        <v>2566322391.3627601</v>
      </c>
      <c r="GM34" s="155">
        <f t="shared" si="360"/>
        <v>2566322391.3627601</v>
      </c>
      <c r="GN34" s="155">
        <f t="shared" si="360"/>
        <v>2566322391.3627601</v>
      </c>
      <c r="GO34" s="155">
        <f t="shared" si="360"/>
        <v>2566322391.3627601</v>
      </c>
      <c r="GP34" s="155">
        <f t="shared" ref="GP34:JA34" si="361">GO34+GP31</f>
        <v>2566322391.3627601</v>
      </c>
      <c r="GQ34" s="155">
        <f t="shared" si="361"/>
        <v>2566322391.3627601</v>
      </c>
      <c r="GR34" s="155">
        <f t="shared" si="361"/>
        <v>2566322391.3627601</v>
      </c>
      <c r="GS34" s="155">
        <f t="shared" si="361"/>
        <v>2566322391.3627601</v>
      </c>
      <c r="GT34" s="155">
        <f t="shared" si="361"/>
        <v>2566322391.3627601</v>
      </c>
      <c r="GU34" s="155">
        <f t="shared" si="361"/>
        <v>2566322391.3627601</v>
      </c>
      <c r="GV34" s="155">
        <f t="shared" si="361"/>
        <v>2566322391.3627601</v>
      </c>
      <c r="GW34" s="155">
        <f t="shared" si="361"/>
        <v>2566322391.3627601</v>
      </c>
      <c r="GX34" s="155">
        <f t="shared" si="361"/>
        <v>2566322391.3627601</v>
      </c>
      <c r="GY34" s="155">
        <f t="shared" si="361"/>
        <v>2566322391.3627601</v>
      </c>
      <c r="GZ34" s="155">
        <f t="shared" si="361"/>
        <v>2566322391.3627601</v>
      </c>
      <c r="HA34" s="155">
        <f t="shared" si="361"/>
        <v>2566322391.3627601</v>
      </c>
      <c r="HB34" s="155">
        <f t="shared" si="361"/>
        <v>2566322391.3627601</v>
      </c>
      <c r="HC34" s="155">
        <f t="shared" si="361"/>
        <v>2566322391.3627601</v>
      </c>
      <c r="HD34" s="155">
        <f t="shared" si="361"/>
        <v>2566322391.3627601</v>
      </c>
      <c r="HE34" s="155">
        <f t="shared" si="361"/>
        <v>2566322391.3627601</v>
      </c>
      <c r="HF34" s="155">
        <f t="shared" si="361"/>
        <v>2566322391.3627601</v>
      </c>
      <c r="HG34" s="155">
        <f t="shared" si="361"/>
        <v>2566322391.3627601</v>
      </c>
      <c r="HH34" s="155">
        <f t="shared" si="361"/>
        <v>2566322391.3627601</v>
      </c>
      <c r="HI34" s="155">
        <f t="shared" si="361"/>
        <v>2566322391.3627601</v>
      </c>
      <c r="HJ34" s="155">
        <f t="shared" si="361"/>
        <v>2566322391.3627601</v>
      </c>
      <c r="HK34" s="155">
        <f t="shared" si="361"/>
        <v>2566322391.3627601</v>
      </c>
      <c r="HL34" s="155">
        <f t="shared" si="361"/>
        <v>2566322391.3627601</v>
      </c>
      <c r="HM34" s="155">
        <f t="shared" si="361"/>
        <v>2566322391.3627601</v>
      </c>
      <c r="HN34" s="155">
        <f t="shared" si="361"/>
        <v>2566322391.3627601</v>
      </c>
      <c r="HO34" s="155">
        <f t="shared" si="361"/>
        <v>2566322391.3627601</v>
      </c>
      <c r="HP34" s="155">
        <f t="shared" si="361"/>
        <v>2566322391.3627601</v>
      </c>
      <c r="HQ34" s="155">
        <f t="shared" si="361"/>
        <v>2566322391.3627601</v>
      </c>
      <c r="HR34" s="155">
        <f t="shared" si="361"/>
        <v>2566322391.3627601</v>
      </c>
      <c r="HS34" s="155">
        <f t="shared" si="361"/>
        <v>2566322391.3627601</v>
      </c>
      <c r="HT34" s="155">
        <f t="shared" si="361"/>
        <v>2566322391.3627601</v>
      </c>
      <c r="HU34" s="155">
        <f t="shared" si="361"/>
        <v>2566322391.3627601</v>
      </c>
      <c r="HV34" s="155">
        <f t="shared" si="361"/>
        <v>2566322391.3627601</v>
      </c>
      <c r="HW34" s="155">
        <f t="shared" si="361"/>
        <v>2566322391.3627601</v>
      </c>
      <c r="HX34" s="155">
        <f t="shared" si="361"/>
        <v>2566322391.3627601</v>
      </c>
      <c r="HY34" s="155">
        <f t="shared" si="361"/>
        <v>2566322391.3627601</v>
      </c>
      <c r="HZ34" s="155">
        <f t="shared" si="361"/>
        <v>2566322391.3627601</v>
      </c>
      <c r="IA34" s="155">
        <f t="shared" si="361"/>
        <v>2566322391.3627601</v>
      </c>
      <c r="IB34" s="155">
        <f t="shared" si="361"/>
        <v>2566322391.3627601</v>
      </c>
      <c r="IC34" s="155">
        <f t="shared" si="361"/>
        <v>2566322391.3627601</v>
      </c>
      <c r="ID34" s="155">
        <f t="shared" si="361"/>
        <v>2566322391.3627601</v>
      </c>
      <c r="IE34" s="155">
        <f t="shared" si="361"/>
        <v>2566322391.3627601</v>
      </c>
      <c r="IF34" s="155">
        <f t="shared" si="361"/>
        <v>2566322391.3627601</v>
      </c>
      <c r="IG34" s="155">
        <f t="shared" si="361"/>
        <v>2566322391.3627601</v>
      </c>
      <c r="IH34" s="155">
        <f t="shared" si="361"/>
        <v>2566322391.3627601</v>
      </c>
      <c r="II34" s="155">
        <f t="shared" si="361"/>
        <v>2566322391.3627601</v>
      </c>
      <c r="IJ34" s="155">
        <f t="shared" si="361"/>
        <v>2566322391.3627601</v>
      </c>
      <c r="IK34" s="155">
        <f t="shared" si="361"/>
        <v>2566322391.3627601</v>
      </c>
      <c r="IL34" s="155">
        <f t="shared" si="361"/>
        <v>2566322391.3627601</v>
      </c>
      <c r="IM34" s="155">
        <f t="shared" si="361"/>
        <v>2566322391.3627601</v>
      </c>
      <c r="IN34" s="155">
        <f t="shared" si="361"/>
        <v>2566322391.3627601</v>
      </c>
      <c r="IO34" s="155">
        <f t="shared" si="361"/>
        <v>2566322391.3627601</v>
      </c>
      <c r="IP34" s="155">
        <f t="shared" si="361"/>
        <v>2566322391.3627601</v>
      </c>
      <c r="IQ34" s="155">
        <f t="shared" si="361"/>
        <v>2566322391.3627601</v>
      </c>
      <c r="IR34" s="155">
        <f t="shared" si="361"/>
        <v>2566322391.3627601</v>
      </c>
      <c r="IS34" s="155">
        <f t="shared" si="361"/>
        <v>2566322391.3627601</v>
      </c>
      <c r="IT34" s="155">
        <f t="shared" si="361"/>
        <v>2566322391.3627601</v>
      </c>
      <c r="IU34" s="155">
        <f t="shared" si="361"/>
        <v>2566322391.3627601</v>
      </c>
      <c r="IV34" s="155">
        <f t="shared" si="361"/>
        <v>2566322391.3627601</v>
      </c>
      <c r="IW34" s="155">
        <f t="shared" si="361"/>
        <v>2566322391.3627601</v>
      </c>
      <c r="IX34" s="155">
        <f t="shared" si="361"/>
        <v>2566322391.3627601</v>
      </c>
      <c r="IY34" s="155">
        <f t="shared" si="361"/>
        <v>2566322391.3627601</v>
      </c>
      <c r="IZ34" s="155">
        <f t="shared" si="361"/>
        <v>2566322391.3627601</v>
      </c>
      <c r="JA34" s="155">
        <f t="shared" si="361"/>
        <v>2566322391.3627601</v>
      </c>
      <c r="JB34" s="155">
        <f t="shared" ref="JB34:KQ34" si="362">JA34+JB31</f>
        <v>2566322391.3627601</v>
      </c>
      <c r="JC34" s="155">
        <f t="shared" si="362"/>
        <v>2566322391.3627601</v>
      </c>
      <c r="JD34" s="155">
        <f t="shared" si="362"/>
        <v>2566322391.3627601</v>
      </c>
      <c r="JE34" s="155">
        <f t="shared" si="362"/>
        <v>2566322391.3627601</v>
      </c>
      <c r="JF34" s="155">
        <f t="shared" si="362"/>
        <v>2566322391.3627601</v>
      </c>
      <c r="JG34" s="155">
        <f t="shared" si="362"/>
        <v>2566322391.3627601</v>
      </c>
      <c r="JH34" s="155">
        <f t="shared" si="362"/>
        <v>2566322391.3627601</v>
      </c>
      <c r="JI34" s="155">
        <f t="shared" si="362"/>
        <v>2566322391.3627601</v>
      </c>
      <c r="JJ34" s="155">
        <f t="shared" si="362"/>
        <v>2566322391.3627601</v>
      </c>
      <c r="JK34" s="155">
        <f t="shared" si="362"/>
        <v>2566322391.3627601</v>
      </c>
      <c r="JL34" s="155">
        <f t="shared" si="362"/>
        <v>2566322391.3627601</v>
      </c>
      <c r="JM34" s="155">
        <f t="shared" si="362"/>
        <v>2566322391.3627601</v>
      </c>
      <c r="JN34" s="155">
        <f t="shared" si="362"/>
        <v>2566322391.3627601</v>
      </c>
      <c r="JO34" s="155">
        <f t="shared" si="362"/>
        <v>2566322391.3627601</v>
      </c>
      <c r="JP34" s="155">
        <f t="shared" si="362"/>
        <v>2566322391.3627601</v>
      </c>
      <c r="JQ34" s="155">
        <f t="shared" si="362"/>
        <v>2566322391.3627601</v>
      </c>
      <c r="JR34" s="155">
        <f t="shared" si="362"/>
        <v>2566322391.3627601</v>
      </c>
      <c r="JS34" s="155">
        <f t="shared" si="362"/>
        <v>2566322391.3627601</v>
      </c>
      <c r="JT34" s="155">
        <f t="shared" si="362"/>
        <v>2566322391.3627601</v>
      </c>
      <c r="JU34" s="155">
        <f t="shared" si="362"/>
        <v>2566322391.3627601</v>
      </c>
      <c r="JV34" s="155">
        <f t="shared" si="362"/>
        <v>2566322391.3627601</v>
      </c>
      <c r="JW34" s="155">
        <f t="shared" si="362"/>
        <v>2566322391.3627601</v>
      </c>
      <c r="JX34" s="155">
        <f t="shared" si="362"/>
        <v>2566322391.3627601</v>
      </c>
      <c r="JY34" s="155">
        <f t="shared" si="362"/>
        <v>2566322391.3627601</v>
      </c>
      <c r="JZ34" s="155">
        <f t="shared" si="362"/>
        <v>2566322391.3627601</v>
      </c>
      <c r="KA34" s="155">
        <f t="shared" si="362"/>
        <v>2566322391.3627601</v>
      </c>
      <c r="KB34" s="155">
        <f t="shared" si="362"/>
        <v>2566322391.3627601</v>
      </c>
      <c r="KC34" s="155">
        <f t="shared" si="362"/>
        <v>2566322391.3627601</v>
      </c>
      <c r="KD34" s="155">
        <f t="shared" si="362"/>
        <v>2566322391.3627601</v>
      </c>
      <c r="KE34" s="155">
        <f t="shared" si="362"/>
        <v>2566322391.3627601</v>
      </c>
      <c r="KF34" s="155">
        <f t="shared" si="362"/>
        <v>2566322391.3627601</v>
      </c>
      <c r="KG34" s="155">
        <f t="shared" si="362"/>
        <v>2566322391.3627601</v>
      </c>
      <c r="KH34" s="155">
        <f t="shared" si="362"/>
        <v>2566322391.3627601</v>
      </c>
      <c r="KI34" s="155">
        <f t="shared" si="362"/>
        <v>2566322391.3627601</v>
      </c>
      <c r="KJ34" s="155">
        <f t="shared" si="362"/>
        <v>2566322391.3627601</v>
      </c>
      <c r="KK34" s="155">
        <f t="shared" si="362"/>
        <v>2566322391.3627601</v>
      </c>
      <c r="KL34" s="155">
        <f t="shared" si="362"/>
        <v>2566322391.3627601</v>
      </c>
      <c r="KM34" s="155">
        <f t="shared" si="362"/>
        <v>2566322391.3627601</v>
      </c>
      <c r="KN34" s="155">
        <f t="shared" si="362"/>
        <v>2566322391.3627601</v>
      </c>
      <c r="KO34" s="155">
        <f t="shared" si="362"/>
        <v>2566322391.3627601</v>
      </c>
      <c r="KP34" s="155">
        <f t="shared" si="362"/>
        <v>2566322391.3627601</v>
      </c>
      <c r="KQ34" s="155">
        <f t="shared" si="362"/>
        <v>2566322391.3627601</v>
      </c>
    </row>
    <row r="35" spans="2:303" x14ac:dyDescent="0.35">
      <c r="B35" s="154" t="s">
        <v>127</v>
      </c>
      <c r="C35" s="150" t="s">
        <v>48</v>
      </c>
      <c r="D35" s="155">
        <f t="shared" ref="D35:BO35" si="363">D21/(1+$C$47)^D4</f>
        <v>59441492.171007372</v>
      </c>
      <c r="E35" s="155">
        <f t="shared" si="363"/>
        <v>59053027.337563165</v>
      </c>
      <c r="F35" s="155">
        <f t="shared" si="363"/>
        <v>58660341.769339912</v>
      </c>
      <c r="G35" s="155">
        <f t="shared" si="363"/>
        <v>3841295.8745594658</v>
      </c>
      <c r="H35" s="155">
        <f t="shared" si="363"/>
        <v>-17328450.610249855</v>
      </c>
      <c r="I35" s="155">
        <f t="shared" si="363"/>
        <v>14547259.103956545</v>
      </c>
      <c r="J35" s="155">
        <f t="shared" si="363"/>
        <v>14878264.272180734</v>
      </c>
      <c r="K35" s="155">
        <f t="shared" si="363"/>
        <v>-65509860.975587107</v>
      </c>
      <c r="L35" s="155">
        <f t="shared" si="363"/>
        <v>-25242331.632568531</v>
      </c>
      <c r="M35" s="155">
        <f t="shared" si="363"/>
        <v>-24256460.193586696</v>
      </c>
      <c r="N35" s="155">
        <f t="shared" si="363"/>
        <v>-157732381.37682444</v>
      </c>
      <c r="O35" s="155">
        <f t="shared" si="363"/>
        <v>-28767412.363790061</v>
      </c>
      <c r="P35" s="155">
        <f t="shared" si="363"/>
        <v>-8867387.6579054277</v>
      </c>
      <c r="Q35" s="155">
        <f t="shared" si="363"/>
        <v>-26767837.778379586</v>
      </c>
      <c r="R35" s="155">
        <f t="shared" si="363"/>
        <v>36679422.458082817</v>
      </c>
      <c r="S35" s="155">
        <f t="shared" si="363"/>
        <v>36545758.141565003</v>
      </c>
      <c r="T35" s="155">
        <f t="shared" si="363"/>
        <v>10802823.654922793</v>
      </c>
      <c r="U35" s="155">
        <f t="shared" si="363"/>
        <v>36259927.479373917</v>
      </c>
      <c r="V35" s="155">
        <f t="shared" si="363"/>
        <v>335316811.73482364</v>
      </c>
      <c r="W35" s="155">
        <f t="shared" si="363"/>
        <v>-297722671.60746986</v>
      </c>
      <c r="X35" s="155">
        <f t="shared" si="363"/>
        <v>534596991.48962259</v>
      </c>
      <c r="Y35" s="155">
        <f t="shared" si="363"/>
        <v>525402448.63844973</v>
      </c>
      <c r="Z35" s="155">
        <f t="shared" si="363"/>
        <v>171976784.46756449</v>
      </c>
      <c r="AA35" s="155">
        <f t="shared" si="363"/>
        <v>507485054.43529344</v>
      </c>
      <c r="AB35" s="155">
        <f t="shared" si="363"/>
        <v>0</v>
      </c>
      <c r="AC35" s="155">
        <f t="shared" si="363"/>
        <v>0</v>
      </c>
      <c r="AD35" s="155">
        <f t="shared" si="363"/>
        <v>0</v>
      </c>
      <c r="AE35" s="155">
        <f t="shared" si="363"/>
        <v>0</v>
      </c>
      <c r="AF35" s="155">
        <f t="shared" si="363"/>
        <v>0</v>
      </c>
      <c r="AG35" s="155">
        <f t="shared" si="363"/>
        <v>0</v>
      </c>
      <c r="AH35" s="155">
        <f t="shared" si="363"/>
        <v>0</v>
      </c>
      <c r="AI35" s="155">
        <f t="shared" si="363"/>
        <v>0</v>
      </c>
      <c r="AJ35" s="155">
        <f t="shared" si="363"/>
        <v>0</v>
      </c>
      <c r="AK35" s="155">
        <f t="shared" si="363"/>
        <v>0</v>
      </c>
      <c r="AL35" s="155">
        <f t="shared" si="363"/>
        <v>0</v>
      </c>
      <c r="AM35" s="155">
        <f t="shared" si="363"/>
        <v>0</v>
      </c>
      <c r="AN35" s="155">
        <f t="shared" si="363"/>
        <v>0</v>
      </c>
      <c r="AO35" s="155">
        <f t="shared" si="363"/>
        <v>0</v>
      </c>
      <c r="AP35" s="155">
        <f t="shared" si="363"/>
        <v>0</v>
      </c>
      <c r="AQ35" s="155">
        <f t="shared" si="363"/>
        <v>0</v>
      </c>
      <c r="AR35" s="155">
        <f t="shared" si="363"/>
        <v>0</v>
      </c>
      <c r="AS35" s="155">
        <f t="shared" si="363"/>
        <v>0</v>
      </c>
      <c r="AT35" s="155">
        <f t="shared" si="363"/>
        <v>0</v>
      </c>
      <c r="AU35" s="155">
        <f t="shared" si="363"/>
        <v>0</v>
      </c>
      <c r="AV35" s="155">
        <f t="shared" si="363"/>
        <v>0</v>
      </c>
      <c r="AW35" s="155">
        <f t="shared" si="363"/>
        <v>0</v>
      </c>
      <c r="AX35" s="155">
        <f t="shared" si="363"/>
        <v>0</v>
      </c>
      <c r="AY35" s="155">
        <f t="shared" si="363"/>
        <v>0</v>
      </c>
      <c r="AZ35" s="155">
        <f t="shared" si="363"/>
        <v>0</v>
      </c>
      <c r="BA35" s="155">
        <f t="shared" si="363"/>
        <v>0</v>
      </c>
      <c r="BB35" s="155">
        <f t="shared" si="363"/>
        <v>0</v>
      </c>
      <c r="BC35" s="155">
        <f t="shared" si="363"/>
        <v>0</v>
      </c>
      <c r="BD35" s="155">
        <f t="shared" si="363"/>
        <v>0</v>
      </c>
      <c r="BE35" s="155">
        <f t="shared" si="363"/>
        <v>0</v>
      </c>
      <c r="BF35" s="155">
        <f t="shared" si="363"/>
        <v>0</v>
      </c>
      <c r="BG35" s="155">
        <f t="shared" si="363"/>
        <v>0</v>
      </c>
      <c r="BH35" s="155">
        <f t="shared" si="363"/>
        <v>0</v>
      </c>
      <c r="BI35" s="155">
        <f t="shared" si="363"/>
        <v>0</v>
      </c>
      <c r="BJ35" s="155">
        <f t="shared" si="363"/>
        <v>0</v>
      </c>
      <c r="BK35" s="155">
        <f t="shared" si="363"/>
        <v>0</v>
      </c>
      <c r="BL35" s="155">
        <f t="shared" si="363"/>
        <v>0</v>
      </c>
      <c r="BM35" s="155">
        <f t="shared" si="363"/>
        <v>0</v>
      </c>
      <c r="BN35" s="155">
        <f t="shared" si="363"/>
        <v>0</v>
      </c>
      <c r="BO35" s="155">
        <f t="shared" si="363"/>
        <v>0</v>
      </c>
      <c r="BP35" s="155">
        <f t="shared" ref="BP35:EA35" si="364">BP21/(1+$C$47)^BP4</f>
        <v>0</v>
      </c>
      <c r="BQ35" s="155">
        <f t="shared" si="364"/>
        <v>0</v>
      </c>
      <c r="BR35" s="155">
        <f t="shared" si="364"/>
        <v>0</v>
      </c>
      <c r="BS35" s="155">
        <f t="shared" si="364"/>
        <v>0</v>
      </c>
      <c r="BT35" s="155">
        <f t="shared" si="364"/>
        <v>0</v>
      </c>
      <c r="BU35" s="155">
        <f t="shared" si="364"/>
        <v>0</v>
      </c>
      <c r="BV35" s="155">
        <f t="shared" si="364"/>
        <v>0</v>
      </c>
      <c r="BW35" s="155">
        <f t="shared" si="364"/>
        <v>0</v>
      </c>
      <c r="BX35" s="155">
        <f t="shared" si="364"/>
        <v>0</v>
      </c>
      <c r="BY35" s="155">
        <f t="shared" si="364"/>
        <v>0</v>
      </c>
      <c r="BZ35" s="155">
        <f t="shared" si="364"/>
        <v>0</v>
      </c>
      <c r="CA35" s="155">
        <f t="shared" si="364"/>
        <v>0</v>
      </c>
      <c r="CB35" s="155">
        <f t="shared" si="364"/>
        <v>0</v>
      </c>
      <c r="CC35" s="155">
        <f t="shared" si="364"/>
        <v>0</v>
      </c>
      <c r="CD35" s="155">
        <f t="shared" si="364"/>
        <v>0</v>
      </c>
      <c r="CE35" s="155">
        <f t="shared" si="364"/>
        <v>0</v>
      </c>
      <c r="CF35" s="155">
        <f t="shared" si="364"/>
        <v>0</v>
      </c>
      <c r="CG35" s="155">
        <f t="shared" si="364"/>
        <v>0</v>
      </c>
      <c r="CH35" s="155">
        <f t="shared" si="364"/>
        <v>0</v>
      </c>
      <c r="CI35" s="155">
        <f t="shared" si="364"/>
        <v>0</v>
      </c>
      <c r="CJ35" s="155">
        <f t="shared" si="364"/>
        <v>0</v>
      </c>
      <c r="CK35" s="155">
        <f t="shared" si="364"/>
        <v>0</v>
      </c>
      <c r="CL35" s="155">
        <f t="shared" si="364"/>
        <v>0</v>
      </c>
      <c r="CM35" s="155">
        <f t="shared" si="364"/>
        <v>0</v>
      </c>
      <c r="CN35" s="155">
        <f t="shared" si="364"/>
        <v>0</v>
      </c>
      <c r="CO35" s="155">
        <f t="shared" si="364"/>
        <v>0</v>
      </c>
      <c r="CP35" s="155">
        <f t="shared" si="364"/>
        <v>0</v>
      </c>
      <c r="CQ35" s="155">
        <f t="shared" si="364"/>
        <v>0</v>
      </c>
      <c r="CR35" s="155">
        <f t="shared" si="364"/>
        <v>0</v>
      </c>
      <c r="CS35" s="155">
        <f t="shared" si="364"/>
        <v>0</v>
      </c>
      <c r="CT35" s="155">
        <f t="shared" si="364"/>
        <v>0</v>
      </c>
      <c r="CU35" s="155">
        <f t="shared" si="364"/>
        <v>0</v>
      </c>
      <c r="CV35" s="155">
        <f t="shared" si="364"/>
        <v>0</v>
      </c>
      <c r="CW35" s="155">
        <f t="shared" si="364"/>
        <v>0</v>
      </c>
      <c r="CX35" s="155">
        <f t="shared" si="364"/>
        <v>0</v>
      </c>
      <c r="CY35" s="155">
        <f t="shared" si="364"/>
        <v>0</v>
      </c>
      <c r="CZ35" s="155">
        <f t="shared" si="364"/>
        <v>0</v>
      </c>
      <c r="DA35" s="155">
        <f t="shared" si="364"/>
        <v>0</v>
      </c>
      <c r="DB35" s="155">
        <f t="shared" si="364"/>
        <v>0</v>
      </c>
      <c r="DC35" s="155">
        <f t="shared" si="364"/>
        <v>0</v>
      </c>
      <c r="DD35" s="155">
        <f t="shared" si="364"/>
        <v>0</v>
      </c>
      <c r="DE35" s="155">
        <f t="shared" si="364"/>
        <v>0</v>
      </c>
      <c r="DF35" s="155">
        <f t="shared" si="364"/>
        <v>0</v>
      </c>
      <c r="DG35" s="155">
        <f t="shared" si="364"/>
        <v>0</v>
      </c>
      <c r="DH35" s="155">
        <f t="shared" si="364"/>
        <v>0</v>
      </c>
      <c r="DI35" s="155">
        <f t="shared" si="364"/>
        <v>0</v>
      </c>
      <c r="DJ35" s="155">
        <f t="shared" si="364"/>
        <v>0</v>
      </c>
      <c r="DK35" s="155">
        <f t="shared" si="364"/>
        <v>0</v>
      </c>
      <c r="DL35" s="155">
        <f t="shared" si="364"/>
        <v>0</v>
      </c>
      <c r="DM35" s="155">
        <f t="shared" si="364"/>
        <v>0</v>
      </c>
      <c r="DN35" s="155">
        <f t="shared" si="364"/>
        <v>0</v>
      </c>
      <c r="DO35" s="155">
        <f t="shared" si="364"/>
        <v>0</v>
      </c>
      <c r="DP35" s="155">
        <f t="shared" si="364"/>
        <v>0</v>
      </c>
      <c r="DQ35" s="155">
        <f t="shared" si="364"/>
        <v>0</v>
      </c>
      <c r="DR35" s="155">
        <f t="shared" si="364"/>
        <v>0</v>
      </c>
      <c r="DS35" s="155">
        <f t="shared" si="364"/>
        <v>0</v>
      </c>
      <c r="DT35" s="155">
        <f t="shared" si="364"/>
        <v>0</v>
      </c>
      <c r="DU35" s="155">
        <f t="shared" si="364"/>
        <v>0</v>
      </c>
      <c r="DV35" s="155">
        <f t="shared" si="364"/>
        <v>0</v>
      </c>
      <c r="DW35" s="155">
        <f t="shared" si="364"/>
        <v>0</v>
      </c>
      <c r="DX35" s="155">
        <f t="shared" si="364"/>
        <v>0</v>
      </c>
      <c r="DY35" s="155">
        <f t="shared" si="364"/>
        <v>0</v>
      </c>
      <c r="DZ35" s="155">
        <f t="shared" si="364"/>
        <v>0</v>
      </c>
      <c r="EA35" s="155">
        <f t="shared" si="364"/>
        <v>0</v>
      </c>
      <c r="EB35" s="155">
        <f t="shared" ref="EB35:GM35" si="365">EB21/(1+$C$47)^EB4</f>
        <v>0</v>
      </c>
      <c r="EC35" s="155">
        <f t="shared" si="365"/>
        <v>0</v>
      </c>
      <c r="ED35" s="155">
        <f t="shared" si="365"/>
        <v>0</v>
      </c>
      <c r="EE35" s="155">
        <f t="shared" si="365"/>
        <v>0</v>
      </c>
      <c r="EF35" s="155">
        <f t="shared" si="365"/>
        <v>0</v>
      </c>
      <c r="EG35" s="155">
        <f t="shared" si="365"/>
        <v>0</v>
      </c>
      <c r="EH35" s="155">
        <f t="shared" si="365"/>
        <v>0</v>
      </c>
      <c r="EI35" s="155">
        <f t="shared" si="365"/>
        <v>0</v>
      </c>
      <c r="EJ35" s="155">
        <f t="shared" si="365"/>
        <v>0</v>
      </c>
      <c r="EK35" s="155">
        <f t="shared" si="365"/>
        <v>0</v>
      </c>
      <c r="EL35" s="155">
        <f t="shared" si="365"/>
        <v>0</v>
      </c>
      <c r="EM35" s="155">
        <f t="shared" si="365"/>
        <v>0</v>
      </c>
      <c r="EN35" s="155">
        <f t="shared" si="365"/>
        <v>0</v>
      </c>
      <c r="EO35" s="155">
        <f t="shared" si="365"/>
        <v>0</v>
      </c>
      <c r="EP35" s="155">
        <f t="shared" si="365"/>
        <v>0</v>
      </c>
      <c r="EQ35" s="155">
        <f t="shared" si="365"/>
        <v>0</v>
      </c>
      <c r="ER35" s="155">
        <f t="shared" si="365"/>
        <v>0</v>
      </c>
      <c r="ES35" s="155">
        <f t="shared" si="365"/>
        <v>0</v>
      </c>
      <c r="ET35" s="155">
        <f t="shared" si="365"/>
        <v>0</v>
      </c>
      <c r="EU35" s="155">
        <f t="shared" si="365"/>
        <v>0</v>
      </c>
      <c r="EV35" s="155">
        <f t="shared" si="365"/>
        <v>0</v>
      </c>
      <c r="EW35" s="155">
        <f t="shared" si="365"/>
        <v>0</v>
      </c>
      <c r="EX35" s="155">
        <f t="shared" si="365"/>
        <v>0</v>
      </c>
      <c r="EY35" s="155">
        <f t="shared" si="365"/>
        <v>0</v>
      </c>
      <c r="EZ35" s="155">
        <f t="shared" si="365"/>
        <v>0</v>
      </c>
      <c r="FA35" s="155">
        <f t="shared" si="365"/>
        <v>0</v>
      </c>
      <c r="FB35" s="155">
        <f t="shared" si="365"/>
        <v>0</v>
      </c>
      <c r="FC35" s="155">
        <f t="shared" si="365"/>
        <v>0</v>
      </c>
      <c r="FD35" s="155">
        <f t="shared" si="365"/>
        <v>0</v>
      </c>
      <c r="FE35" s="155">
        <f t="shared" si="365"/>
        <v>0</v>
      </c>
      <c r="FF35" s="155">
        <f t="shared" si="365"/>
        <v>0</v>
      </c>
      <c r="FG35" s="155">
        <f t="shared" si="365"/>
        <v>0</v>
      </c>
      <c r="FH35" s="155">
        <f t="shared" si="365"/>
        <v>0</v>
      </c>
      <c r="FI35" s="155">
        <f t="shared" si="365"/>
        <v>0</v>
      </c>
      <c r="FJ35" s="155">
        <f t="shared" si="365"/>
        <v>0</v>
      </c>
      <c r="FK35" s="155">
        <f t="shared" si="365"/>
        <v>0</v>
      </c>
      <c r="FL35" s="155">
        <f t="shared" si="365"/>
        <v>0</v>
      </c>
      <c r="FM35" s="155">
        <f t="shared" si="365"/>
        <v>0</v>
      </c>
      <c r="FN35" s="155">
        <f t="shared" si="365"/>
        <v>0</v>
      </c>
      <c r="FO35" s="155">
        <f t="shared" si="365"/>
        <v>0</v>
      </c>
      <c r="FP35" s="155">
        <f t="shared" si="365"/>
        <v>0</v>
      </c>
      <c r="FQ35" s="155">
        <f t="shared" si="365"/>
        <v>0</v>
      </c>
      <c r="FR35" s="155">
        <f t="shared" si="365"/>
        <v>0</v>
      </c>
      <c r="FS35" s="155">
        <f t="shared" si="365"/>
        <v>0</v>
      </c>
      <c r="FT35" s="155">
        <f t="shared" si="365"/>
        <v>0</v>
      </c>
      <c r="FU35" s="155">
        <f t="shared" si="365"/>
        <v>0</v>
      </c>
      <c r="FV35" s="155">
        <f t="shared" si="365"/>
        <v>0</v>
      </c>
      <c r="FW35" s="155">
        <f t="shared" si="365"/>
        <v>0</v>
      </c>
      <c r="FX35" s="155">
        <f t="shared" si="365"/>
        <v>0</v>
      </c>
      <c r="FY35" s="155">
        <f t="shared" si="365"/>
        <v>0</v>
      </c>
      <c r="FZ35" s="155">
        <f t="shared" si="365"/>
        <v>0</v>
      </c>
      <c r="GA35" s="155">
        <f t="shared" si="365"/>
        <v>0</v>
      </c>
      <c r="GB35" s="155">
        <f t="shared" si="365"/>
        <v>0</v>
      </c>
      <c r="GC35" s="155">
        <f t="shared" si="365"/>
        <v>0</v>
      </c>
      <c r="GD35" s="155">
        <f t="shared" si="365"/>
        <v>0</v>
      </c>
      <c r="GE35" s="155">
        <f t="shared" si="365"/>
        <v>0</v>
      </c>
      <c r="GF35" s="155">
        <f t="shared" si="365"/>
        <v>0</v>
      </c>
      <c r="GG35" s="155">
        <f t="shared" si="365"/>
        <v>0</v>
      </c>
      <c r="GH35" s="155">
        <f t="shared" si="365"/>
        <v>0</v>
      </c>
      <c r="GI35" s="155">
        <f t="shared" si="365"/>
        <v>0</v>
      </c>
      <c r="GJ35" s="155">
        <f t="shared" si="365"/>
        <v>0</v>
      </c>
      <c r="GK35" s="155">
        <f t="shared" si="365"/>
        <v>0</v>
      </c>
      <c r="GL35" s="155">
        <f t="shared" si="365"/>
        <v>0</v>
      </c>
      <c r="GM35" s="155">
        <f t="shared" si="365"/>
        <v>0</v>
      </c>
      <c r="GN35" s="155">
        <f t="shared" ref="GN35:IY35" si="366">GN21/(1+$C$47)^GN4</f>
        <v>0</v>
      </c>
      <c r="GO35" s="155">
        <f t="shared" si="366"/>
        <v>0</v>
      </c>
      <c r="GP35" s="155">
        <f t="shared" si="366"/>
        <v>0</v>
      </c>
      <c r="GQ35" s="155">
        <f t="shared" si="366"/>
        <v>0</v>
      </c>
      <c r="GR35" s="155">
        <f t="shared" si="366"/>
        <v>0</v>
      </c>
      <c r="GS35" s="155">
        <f t="shared" si="366"/>
        <v>0</v>
      </c>
      <c r="GT35" s="155">
        <f t="shared" si="366"/>
        <v>0</v>
      </c>
      <c r="GU35" s="155">
        <f t="shared" si="366"/>
        <v>0</v>
      </c>
      <c r="GV35" s="155">
        <f t="shared" si="366"/>
        <v>0</v>
      </c>
      <c r="GW35" s="155">
        <f t="shared" si="366"/>
        <v>0</v>
      </c>
      <c r="GX35" s="155">
        <f t="shared" si="366"/>
        <v>0</v>
      </c>
      <c r="GY35" s="155">
        <f t="shared" si="366"/>
        <v>0</v>
      </c>
      <c r="GZ35" s="155">
        <f t="shared" si="366"/>
        <v>0</v>
      </c>
      <c r="HA35" s="155">
        <f t="shared" si="366"/>
        <v>0</v>
      </c>
      <c r="HB35" s="155">
        <f t="shared" si="366"/>
        <v>0</v>
      </c>
      <c r="HC35" s="155">
        <f t="shared" si="366"/>
        <v>0</v>
      </c>
      <c r="HD35" s="155">
        <f t="shared" si="366"/>
        <v>0</v>
      </c>
      <c r="HE35" s="155">
        <f t="shared" si="366"/>
        <v>0</v>
      </c>
      <c r="HF35" s="155">
        <f t="shared" si="366"/>
        <v>0</v>
      </c>
      <c r="HG35" s="155">
        <f t="shared" si="366"/>
        <v>0</v>
      </c>
      <c r="HH35" s="155">
        <f t="shared" si="366"/>
        <v>0</v>
      </c>
      <c r="HI35" s="155">
        <f t="shared" si="366"/>
        <v>0</v>
      </c>
      <c r="HJ35" s="155">
        <f t="shared" si="366"/>
        <v>0</v>
      </c>
      <c r="HK35" s="155">
        <f t="shared" si="366"/>
        <v>0</v>
      </c>
      <c r="HL35" s="155">
        <f t="shared" si="366"/>
        <v>0</v>
      </c>
      <c r="HM35" s="155">
        <f t="shared" si="366"/>
        <v>0</v>
      </c>
      <c r="HN35" s="155">
        <f t="shared" si="366"/>
        <v>0</v>
      </c>
      <c r="HO35" s="155">
        <f t="shared" si="366"/>
        <v>0</v>
      </c>
      <c r="HP35" s="155">
        <f t="shared" si="366"/>
        <v>0</v>
      </c>
      <c r="HQ35" s="155">
        <f t="shared" si="366"/>
        <v>0</v>
      </c>
      <c r="HR35" s="155">
        <f t="shared" si="366"/>
        <v>0</v>
      </c>
      <c r="HS35" s="155">
        <f t="shared" si="366"/>
        <v>0</v>
      </c>
      <c r="HT35" s="155">
        <f t="shared" si="366"/>
        <v>0</v>
      </c>
      <c r="HU35" s="155">
        <f t="shared" si="366"/>
        <v>0</v>
      </c>
      <c r="HV35" s="155">
        <f t="shared" si="366"/>
        <v>0</v>
      </c>
      <c r="HW35" s="155">
        <f t="shared" si="366"/>
        <v>0</v>
      </c>
      <c r="HX35" s="155">
        <f t="shared" si="366"/>
        <v>0</v>
      </c>
      <c r="HY35" s="155">
        <f t="shared" si="366"/>
        <v>0</v>
      </c>
      <c r="HZ35" s="155">
        <f t="shared" si="366"/>
        <v>0</v>
      </c>
      <c r="IA35" s="155">
        <f t="shared" si="366"/>
        <v>0</v>
      </c>
      <c r="IB35" s="155">
        <f t="shared" si="366"/>
        <v>0</v>
      </c>
      <c r="IC35" s="155">
        <f t="shared" si="366"/>
        <v>0</v>
      </c>
      <c r="ID35" s="155">
        <f t="shared" si="366"/>
        <v>0</v>
      </c>
      <c r="IE35" s="155">
        <f t="shared" si="366"/>
        <v>0</v>
      </c>
      <c r="IF35" s="155">
        <f t="shared" si="366"/>
        <v>0</v>
      </c>
      <c r="IG35" s="155">
        <f t="shared" si="366"/>
        <v>0</v>
      </c>
      <c r="IH35" s="155">
        <f t="shared" si="366"/>
        <v>0</v>
      </c>
      <c r="II35" s="155">
        <f t="shared" si="366"/>
        <v>0</v>
      </c>
      <c r="IJ35" s="155">
        <f t="shared" si="366"/>
        <v>0</v>
      </c>
      <c r="IK35" s="155">
        <f t="shared" si="366"/>
        <v>0</v>
      </c>
      <c r="IL35" s="155">
        <f t="shared" si="366"/>
        <v>0</v>
      </c>
      <c r="IM35" s="155">
        <f t="shared" si="366"/>
        <v>0</v>
      </c>
      <c r="IN35" s="155">
        <f t="shared" si="366"/>
        <v>0</v>
      </c>
      <c r="IO35" s="155">
        <f t="shared" si="366"/>
        <v>0</v>
      </c>
      <c r="IP35" s="155">
        <f t="shared" si="366"/>
        <v>0</v>
      </c>
      <c r="IQ35" s="155">
        <f t="shared" si="366"/>
        <v>0</v>
      </c>
      <c r="IR35" s="155">
        <f t="shared" si="366"/>
        <v>0</v>
      </c>
      <c r="IS35" s="155">
        <f t="shared" si="366"/>
        <v>0</v>
      </c>
      <c r="IT35" s="155">
        <f t="shared" si="366"/>
        <v>0</v>
      </c>
      <c r="IU35" s="155">
        <f t="shared" si="366"/>
        <v>0</v>
      </c>
      <c r="IV35" s="155">
        <f t="shared" si="366"/>
        <v>0</v>
      </c>
      <c r="IW35" s="155">
        <f t="shared" si="366"/>
        <v>0</v>
      </c>
      <c r="IX35" s="155">
        <f t="shared" si="366"/>
        <v>0</v>
      </c>
      <c r="IY35" s="155">
        <f t="shared" si="366"/>
        <v>0</v>
      </c>
      <c r="IZ35" s="155">
        <f t="shared" ref="IZ35:KQ35" si="367">IZ21/(1+$C$47)^IZ4</f>
        <v>0</v>
      </c>
      <c r="JA35" s="155">
        <f t="shared" si="367"/>
        <v>0</v>
      </c>
      <c r="JB35" s="155">
        <f t="shared" si="367"/>
        <v>0</v>
      </c>
      <c r="JC35" s="155">
        <f t="shared" si="367"/>
        <v>0</v>
      </c>
      <c r="JD35" s="155">
        <f t="shared" si="367"/>
        <v>0</v>
      </c>
      <c r="JE35" s="155">
        <f t="shared" si="367"/>
        <v>0</v>
      </c>
      <c r="JF35" s="155">
        <f t="shared" si="367"/>
        <v>0</v>
      </c>
      <c r="JG35" s="155">
        <f t="shared" si="367"/>
        <v>0</v>
      </c>
      <c r="JH35" s="155">
        <f t="shared" si="367"/>
        <v>0</v>
      </c>
      <c r="JI35" s="155">
        <f t="shared" si="367"/>
        <v>0</v>
      </c>
      <c r="JJ35" s="155">
        <f t="shared" si="367"/>
        <v>0</v>
      </c>
      <c r="JK35" s="155">
        <f t="shared" si="367"/>
        <v>0</v>
      </c>
      <c r="JL35" s="155">
        <f t="shared" si="367"/>
        <v>0</v>
      </c>
      <c r="JM35" s="155">
        <f t="shared" si="367"/>
        <v>0</v>
      </c>
      <c r="JN35" s="155">
        <f t="shared" si="367"/>
        <v>0</v>
      </c>
      <c r="JO35" s="155">
        <f t="shared" si="367"/>
        <v>0</v>
      </c>
      <c r="JP35" s="155">
        <f t="shared" si="367"/>
        <v>0</v>
      </c>
      <c r="JQ35" s="155">
        <f t="shared" si="367"/>
        <v>0</v>
      </c>
      <c r="JR35" s="155">
        <f t="shared" si="367"/>
        <v>0</v>
      </c>
      <c r="JS35" s="155">
        <f t="shared" si="367"/>
        <v>0</v>
      </c>
      <c r="JT35" s="155">
        <f t="shared" si="367"/>
        <v>0</v>
      </c>
      <c r="JU35" s="155">
        <f t="shared" si="367"/>
        <v>0</v>
      </c>
      <c r="JV35" s="155">
        <f t="shared" si="367"/>
        <v>0</v>
      </c>
      <c r="JW35" s="155">
        <f t="shared" si="367"/>
        <v>0</v>
      </c>
      <c r="JX35" s="155">
        <f t="shared" si="367"/>
        <v>0</v>
      </c>
      <c r="JY35" s="155">
        <f t="shared" si="367"/>
        <v>0</v>
      </c>
      <c r="JZ35" s="155">
        <f t="shared" si="367"/>
        <v>0</v>
      </c>
      <c r="KA35" s="155">
        <f t="shared" si="367"/>
        <v>0</v>
      </c>
      <c r="KB35" s="155">
        <f t="shared" si="367"/>
        <v>0</v>
      </c>
      <c r="KC35" s="155">
        <f t="shared" si="367"/>
        <v>0</v>
      </c>
      <c r="KD35" s="155">
        <f t="shared" si="367"/>
        <v>0</v>
      </c>
      <c r="KE35" s="155">
        <f t="shared" si="367"/>
        <v>0</v>
      </c>
      <c r="KF35" s="155">
        <f t="shared" si="367"/>
        <v>0</v>
      </c>
      <c r="KG35" s="155">
        <f t="shared" si="367"/>
        <v>0</v>
      </c>
      <c r="KH35" s="155">
        <f t="shared" si="367"/>
        <v>0</v>
      </c>
      <c r="KI35" s="155">
        <f t="shared" si="367"/>
        <v>0</v>
      </c>
      <c r="KJ35" s="155">
        <f t="shared" si="367"/>
        <v>0</v>
      </c>
      <c r="KK35" s="155">
        <f t="shared" si="367"/>
        <v>0</v>
      </c>
      <c r="KL35" s="155">
        <f t="shared" si="367"/>
        <v>0</v>
      </c>
      <c r="KM35" s="155">
        <f t="shared" si="367"/>
        <v>0</v>
      </c>
      <c r="KN35" s="155">
        <f t="shared" si="367"/>
        <v>0</v>
      </c>
      <c r="KO35" s="155">
        <f t="shared" si="367"/>
        <v>0</v>
      </c>
      <c r="KP35" s="155">
        <f t="shared" si="367"/>
        <v>0</v>
      </c>
      <c r="KQ35" s="155">
        <f t="shared" si="367"/>
        <v>0</v>
      </c>
    </row>
    <row r="36" spans="2:303" x14ac:dyDescent="0.35">
      <c r="B36" s="154" t="s">
        <v>126</v>
      </c>
      <c r="C36" s="150" t="s">
        <v>48</v>
      </c>
      <c r="D36" s="155">
        <f>D35</f>
        <v>59441492.171007372</v>
      </c>
      <c r="E36" s="155">
        <f t="shared" ref="E36:I36" si="368">E35</f>
        <v>59053027.337563165</v>
      </c>
      <c r="F36" s="155">
        <f t="shared" si="368"/>
        <v>58660341.769339912</v>
      </c>
      <c r="G36" s="155">
        <f t="shared" si="368"/>
        <v>3841295.8745594658</v>
      </c>
      <c r="H36" s="155">
        <f t="shared" si="368"/>
        <v>-17328450.610249855</v>
      </c>
      <c r="I36" s="155">
        <f t="shared" si="368"/>
        <v>14547259.103956545</v>
      </c>
      <c r="J36" s="155">
        <f t="shared" ref="J36:BP36" si="369">J35</f>
        <v>14878264.272180734</v>
      </c>
      <c r="K36" s="155">
        <f t="shared" si="369"/>
        <v>-65509860.975587107</v>
      </c>
      <c r="L36" s="155">
        <f t="shared" si="369"/>
        <v>-25242331.632568531</v>
      </c>
      <c r="M36" s="155">
        <f t="shared" si="369"/>
        <v>-24256460.193586696</v>
      </c>
      <c r="N36" s="155">
        <f t="shared" si="369"/>
        <v>-157732381.37682444</v>
      </c>
      <c r="O36" s="155">
        <f t="shared" si="369"/>
        <v>-28767412.363790061</v>
      </c>
      <c r="P36" s="155">
        <f t="shared" si="369"/>
        <v>-8867387.6579054277</v>
      </c>
      <c r="Q36" s="155">
        <f t="shared" si="369"/>
        <v>-26767837.778379586</v>
      </c>
      <c r="R36" s="155">
        <f t="shared" si="369"/>
        <v>36679422.458082817</v>
      </c>
      <c r="S36" s="155">
        <f t="shared" si="369"/>
        <v>36545758.141565003</v>
      </c>
      <c r="T36" s="155">
        <f t="shared" si="369"/>
        <v>10802823.654922793</v>
      </c>
      <c r="U36" s="155">
        <f t="shared" si="369"/>
        <v>36259927.479373917</v>
      </c>
      <c r="V36" s="155">
        <f t="shared" si="369"/>
        <v>335316811.73482364</v>
      </c>
      <c r="W36" s="155">
        <f t="shared" si="369"/>
        <v>-297722671.60746986</v>
      </c>
      <c r="X36" s="155">
        <f t="shared" si="369"/>
        <v>534596991.48962259</v>
      </c>
      <c r="Y36" s="155">
        <f t="shared" si="369"/>
        <v>525402448.63844973</v>
      </c>
      <c r="Z36" s="155">
        <f t="shared" si="369"/>
        <v>171976784.46756449</v>
      </c>
      <c r="AA36" s="155">
        <f t="shared" si="369"/>
        <v>507485054.43529344</v>
      </c>
      <c r="AB36" s="155">
        <f t="shared" si="369"/>
        <v>0</v>
      </c>
      <c r="AC36" s="155">
        <f t="shared" si="369"/>
        <v>0</v>
      </c>
      <c r="AD36" s="155">
        <f t="shared" si="369"/>
        <v>0</v>
      </c>
      <c r="AE36" s="155">
        <f t="shared" si="369"/>
        <v>0</v>
      </c>
      <c r="AF36" s="155">
        <f t="shared" si="369"/>
        <v>0</v>
      </c>
      <c r="AG36" s="155">
        <f t="shared" si="369"/>
        <v>0</v>
      </c>
      <c r="AH36" s="155">
        <f t="shared" si="369"/>
        <v>0</v>
      </c>
      <c r="AI36" s="155">
        <f t="shared" si="369"/>
        <v>0</v>
      </c>
      <c r="AJ36" s="155">
        <f t="shared" si="369"/>
        <v>0</v>
      </c>
      <c r="AK36" s="155">
        <f t="shared" si="369"/>
        <v>0</v>
      </c>
      <c r="AL36" s="155">
        <f t="shared" si="369"/>
        <v>0</v>
      </c>
      <c r="AM36" s="155">
        <f t="shared" si="369"/>
        <v>0</v>
      </c>
      <c r="AN36" s="155">
        <f t="shared" si="369"/>
        <v>0</v>
      </c>
      <c r="AO36" s="155">
        <f t="shared" si="369"/>
        <v>0</v>
      </c>
      <c r="AP36" s="155">
        <f t="shared" si="369"/>
        <v>0</v>
      </c>
      <c r="AQ36" s="155">
        <f t="shared" si="369"/>
        <v>0</v>
      </c>
      <c r="AR36" s="155">
        <f t="shared" si="369"/>
        <v>0</v>
      </c>
      <c r="AS36" s="155">
        <f t="shared" si="369"/>
        <v>0</v>
      </c>
      <c r="AT36" s="155">
        <f t="shared" si="369"/>
        <v>0</v>
      </c>
      <c r="AU36" s="155">
        <f t="shared" si="369"/>
        <v>0</v>
      </c>
      <c r="AV36" s="155">
        <f t="shared" si="369"/>
        <v>0</v>
      </c>
      <c r="AW36" s="155">
        <f t="shared" si="369"/>
        <v>0</v>
      </c>
      <c r="AX36" s="155">
        <f t="shared" si="369"/>
        <v>0</v>
      </c>
      <c r="AY36" s="155">
        <f t="shared" si="369"/>
        <v>0</v>
      </c>
      <c r="AZ36" s="155">
        <f t="shared" si="369"/>
        <v>0</v>
      </c>
      <c r="BA36" s="155">
        <f t="shared" si="369"/>
        <v>0</v>
      </c>
      <c r="BB36" s="155">
        <f t="shared" si="369"/>
        <v>0</v>
      </c>
      <c r="BC36" s="155">
        <f t="shared" si="369"/>
        <v>0</v>
      </c>
      <c r="BD36" s="155">
        <f t="shared" si="369"/>
        <v>0</v>
      </c>
      <c r="BE36" s="155">
        <f t="shared" si="369"/>
        <v>0</v>
      </c>
      <c r="BF36" s="155">
        <f t="shared" si="369"/>
        <v>0</v>
      </c>
      <c r="BG36" s="155">
        <f t="shared" si="369"/>
        <v>0</v>
      </c>
      <c r="BH36" s="155">
        <f t="shared" si="369"/>
        <v>0</v>
      </c>
      <c r="BI36" s="155">
        <f t="shared" si="369"/>
        <v>0</v>
      </c>
      <c r="BJ36" s="155">
        <f t="shared" si="369"/>
        <v>0</v>
      </c>
      <c r="BK36" s="155">
        <f t="shared" si="369"/>
        <v>0</v>
      </c>
      <c r="BL36" s="155">
        <f t="shared" si="369"/>
        <v>0</v>
      </c>
      <c r="BM36" s="155">
        <f t="shared" si="369"/>
        <v>0</v>
      </c>
      <c r="BN36" s="155">
        <f t="shared" si="369"/>
        <v>0</v>
      </c>
      <c r="BO36" s="155">
        <f t="shared" si="369"/>
        <v>0</v>
      </c>
      <c r="BP36" s="155">
        <f t="shared" si="369"/>
        <v>0</v>
      </c>
      <c r="BQ36" s="155">
        <f t="shared" ref="BQ36:EB36" si="370">BQ35</f>
        <v>0</v>
      </c>
      <c r="BR36" s="155">
        <f t="shared" si="370"/>
        <v>0</v>
      </c>
      <c r="BS36" s="155">
        <f t="shared" si="370"/>
        <v>0</v>
      </c>
      <c r="BT36" s="155">
        <f t="shared" si="370"/>
        <v>0</v>
      </c>
      <c r="BU36" s="155">
        <f t="shared" si="370"/>
        <v>0</v>
      </c>
      <c r="BV36" s="155">
        <f t="shared" si="370"/>
        <v>0</v>
      </c>
      <c r="BW36" s="155">
        <f t="shared" si="370"/>
        <v>0</v>
      </c>
      <c r="BX36" s="155">
        <f t="shared" si="370"/>
        <v>0</v>
      </c>
      <c r="BY36" s="155">
        <f t="shared" si="370"/>
        <v>0</v>
      </c>
      <c r="BZ36" s="155">
        <f t="shared" si="370"/>
        <v>0</v>
      </c>
      <c r="CA36" s="155">
        <f t="shared" si="370"/>
        <v>0</v>
      </c>
      <c r="CB36" s="155">
        <f t="shared" si="370"/>
        <v>0</v>
      </c>
      <c r="CC36" s="155">
        <f t="shared" si="370"/>
        <v>0</v>
      </c>
      <c r="CD36" s="155">
        <f t="shared" si="370"/>
        <v>0</v>
      </c>
      <c r="CE36" s="155">
        <f t="shared" si="370"/>
        <v>0</v>
      </c>
      <c r="CF36" s="155">
        <f t="shared" si="370"/>
        <v>0</v>
      </c>
      <c r="CG36" s="155">
        <f t="shared" si="370"/>
        <v>0</v>
      </c>
      <c r="CH36" s="155">
        <f t="shared" si="370"/>
        <v>0</v>
      </c>
      <c r="CI36" s="155">
        <f t="shared" si="370"/>
        <v>0</v>
      </c>
      <c r="CJ36" s="155">
        <f t="shared" si="370"/>
        <v>0</v>
      </c>
      <c r="CK36" s="155">
        <f t="shared" si="370"/>
        <v>0</v>
      </c>
      <c r="CL36" s="155">
        <f t="shared" si="370"/>
        <v>0</v>
      </c>
      <c r="CM36" s="155">
        <f t="shared" si="370"/>
        <v>0</v>
      </c>
      <c r="CN36" s="155">
        <f t="shared" si="370"/>
        <v>0</v>
      </c>
      <c r="CO36" s="155">
        <f t="shared" si="370"/>
        <v>0</v>
      </c>
      <c r="CP36" s="155">
        <f t="shared" si="370"/>
        <v>0</v>
      </c>
      <c r="CQ36" s="155">
        <f t="shared" si="370"/>
        <v>0</v>
      </c>
      <c r="CR36" s="155">
        <f t="shared" si="370"/>
        <v>0</v>
      </c>
      <c r="CS36" s="155">
        <f t="shared" si="370"/>
        <v>0</v>
      </c>
      <c r="CT36" s="155">
        <f t="shared" si="370"/>
        <v>0</v>
      </c>
      <c r="CU36" s="155">
        <f t="shared" si="370"/>
        <v>0</v>
      </c>
      <c r="CV36" s="155">
        <f t="shared" si="370"/>
        <v>0</v>
      </c>
      <c r="CW36" s="155">
        <f t="shared" si="370"/>
        <v>0</v>
      </c>
      <c r="CX36" s="155">
        <f t="shared" si="370"/>
        <v>0</v>
      </c>
      <c r="CY36" s="155">
        <f t="shared" si="370"/>
        <v>0</v>
      </c>
      <c r="CZ36" s="155">
        <f t="shared" si="370"/>
        <v>0</v>
      </c>
      <c r="DA36" s="155">
        <f t="shared" si="370"/>
        <v>0</v>
      </c>
      <c r="DB36" s="155">
        <f t="shared" si="370"/>
        <v>0</v>
      </c>
      <c r="DC36" s="155">
        <f t="shared" si="370"/>
        <v>0</v>
      </c>
      <c r="DD36" s="155">
        <f t="shared" si="370"/>
        <v>0</v>
      </c>
      <c r="DE36" s="155">
        <f t="shared" si="370"/>
        <v>0</v>
      </c>
      <c r="DF36" s="155">
        <f t="shared" si="370"/>
        <v>0</v>
      </c>
      <c r="DG36" s="155">
        <f t="shared" si="370"/>
        <v>0</v>
      </c>
      <c r="DH36" s="155">
        <f t="shared" si="370"/>
        <v>0</v>
      </c>
      <c r="DI36" s="155">
        <f t="shared" si="370"/>
        <v>0</v>
      </c>
      <c r="DJ36" s="155">
        <f t="shared" si="370"/>
        <v>0</v>
      </c>
      <c r="DK36" s="155">
        <f t="shared" si="370"/>
        <v>0</v>
      </c>
      <c r="DL36" s="155">
        <f t="shared" si="370"/>
        <v>0</v>
      </c>
      <c r="DM36" s="155">
        <f t="shared" si="370"/>
        <v>0</v>
      </c>
      <c r="DN36" s="155">
        <f t="shared" si="370"/>
        <v>0</v>
      </c>
      <c r="DO36" s="155">
        <f t="shared" si="370"/>
        <v>0</v>
      </c>
      <c r="DP36" s="155">
        <f t="shared" si="370"/>
        <v>0</v>
      </c>
      <c r="DQ36" s="155">
        <f t="shared" si="370"/>
        <v>0</v>
      </c>
      <c r="DR36" s="155">
        <f t="shared" si="370"/>
        <v>0</v>
      </c>
      <c r="DS36" s="155">
        <f t="shared" si="370"/>
        <v>0</v>
      </c>
      <c r="DT36" s="155">
        <f t="shared" si="370"/>
        <v>0</v>
      </c>
      <c r="DU36" s="155">
        <f t="shared" si="370"/>
        <v>0</v>
      </c>
      <c r="DV36" s="155">
        <f t="shared" si="370"/>
        <v>0</v>
      </c>
      <c r="DW36" s="155">
        <f t="shared" si="370"/>
        <v>0</v>
      </c>
      <c r="DX36" s="155">
        <f t="shared" si="370"/>
        <v>0</v>
      </c>
      <c r="DY36" s="155">
        <f t="shared" si="370"/>
        <v>0</v>
      </c>
      <c r="DZ36" s="155">
        <f t="shared" si="370"/>
        <v>0</v>
      </c>
      <c r="EA36" s="155">
        <f t="shared" si="370"/>
        <v>0</v>
      </c>
      <c r="EB36" s="155">
        <f t="shared" si="370"/>
        <v>0</v>
      </c>
      <c r="EC36" s="155">
        <f t="shared" ref="EC36:GN36" si="371">EC35</f>
        <v>0</v>
      </c>
      <c r="ED36" s="155">
        <f t="shared" si="371"/>
        <v>0</v>
      </c>
      <c r="EE36" s="155">
        <f t="shared" si="371"/>
        <v>0</v>
      </c>
      <c r="EF36" s="155">
        <f t="shared" si="371"/>
        <v>0</v>
      </c>
      <c r="EG36" s="155">
        <f t="shared" si="371"/>
        <v>0</v>
      </c>
      <c r="EH36" s="155">
        <f t="shared" si="371"/>
        <v>0</v>
      </c>
      <c r="EI36" s="155">
        <f t="shared" si="371"/>
        <v>0</v>
      </c>
      <c r="EJ36" s="155">
        <f t="shared" si="371"/>
        <v>0</v>
      </c>
      <c r="EK36" s="155">
        <f t="shared" si="371"/>
        <v>0</v>
      </c>
      <c r="EL36" s="155">
        <f t="shared" si="371"/>
        <v>0</v>
      </c>
      <c r="EM36" s="155">
        <f t="shared" si="371"/>
        <v>0</v>
      </c>
      <c r="EN36" s="155">
        <f t="shared" si="371"/>
        <v>0</v>
      </c>
      <c r="EO36" s="155">
        <f t="shared" si="371"/>
        <v>0</v>
      </c>
      <c r="EP36" s="155">
        <f t="shared" si="371"/>
        <v>0</v>
      </c>
      <c r="EQ36" s="155">
        <f t="shared" si="371"/>
        <v>0</v>
      </c>
      <c r="ER36" s="155">
        <f t="shared" si="371"/>
        <v>0</v>
      </c>
      <c r="ES36" s="155">
        <f t="shared" si="371"/>
        <v>0</v>
      </c>
      <c r="ET36" s="155">
        <f t="shared" si="371"/>
        <v>0</v>
      </c>
      <c r="EU36" s="155">
        <f t="shared" si="371"/>
        <v>0</v>
      </c>
      <c r="EV36" s="155">
        <f t="shared" si="371"/>
        <v>0</v>
      </c>
      <c r="EW36" s="155">
        <f t="shared" si="371"/>
        <v>0</v>
      </c>
      <c r="EX36" s="155">
        <f t="shared" si="371"/>
        <v>0</v>
      </c>
      <c r="EY36" s="155">
        <f t="shared" si="371"/>
        <v>0</v>
      </c>
      <c r="EZ36" s="155">
        <f t="shared" si="371"/>
        <v>0</v>
      </c>
      <c r="FA36" s="155">
        <f t="shared" si="371"/>
        <v>0</v>
      </c>
      <c r="FB36" s="155">
        <f t="shared" si="371"/>
        <v>0</v>
      </c>
      <c r="FC36" s="155">
        <f t="shared" si="371"/>
        <v>0</v>
      </c>
      <c r="FD36" s="155">
        <f t="shared" si="371"/>
        <v>0</v>
      </c>
      <c r="FE36" s="155">
        <f t="shared" si="371"/>
        <v>0</v>
      </c>
      <c r="FF36" s="155">
        <f t="shared" si="371"/>
        <v>0</v>
      </c>
      <c r="FG36" s="155">
        <f t="shared" si="371"/>
        <v>0</v>
      </c>
      <c r="FH36" s="155">
        <f t="shared" si="371"/>
        <v>0</v>
      </c>
      <c r="FI36" s="155">
        <f t="shared" si="371"/>
        <v>0</v>
      </c>
      <c r="FJ36" s="155">
        <f t="shared" si="371"/>
        <v>0</v>
      </c>
      <c r="FK36" s="155">
        <f t="shared" si="371"/>
        <v>0</v>
      </c>
      <c r="FL36" s="155">
        <f t="shared" si="371"/>
        <v>0</v>
      </c>
      <c r="FM36" s="155">
        <f t="shared" si="371"/>
        <v>0</v>
      </c>
      <c r="FN36" s="155">
        <f t="shared" si="371"/>
        <v>0</v>
      </c>
      <c r="FO36" s="155">
        <f t="shared" si="371"/>
        <v>0</v>
      </c>
      <c r="FP36" s="155">
        <f t="shared" si="371"/>
        <v>0</v>
      </c>
      <c r="FQ36" s="155">
        <f t="shared" si="371"/>
        <v>0</v>
      </c>
      <c r="FR36" s="155">
        <f t="shared" si="371"/>
        <v>0</v>
      </c>
      <c r="FS36" s="155">
        <f t="shared" si="371"/>
        <v>0</v>
      </c>
      <c r="FT36" s="155">
        <f t="shared" si="371"/>
        <v>0</v>
      </c>
      <c r="FU36" s="155">
        <f t="shared" si="371"/>
        <v>0</v>
      </c>
      <c r="FV36" s="155">
        <f t="shared" si="371"/>
        <v>0</v>
      </c>
      <c r="FW36" s="155">
        <f t="shared" si="371"/>
        <v>0</v>
      </c>
      <c r="FX36" s="155">
        <f t="shared" si="371"/>
        <v>0</v>
      </c>
      <c r="FY36" s="155">
        <f t="shared" si="371"/>
        <v>0</v>
      </c>
      <c r="FZ36" s="155">
        <f t="shared" si="371"/>
        <v>0</v>
      </c>
      <c r="GA36" s="155">
        <f t="shared" si="371"/>
        <v>0</v>
      </c>
      <c r="GB36" s="155">
        <f t="shared" si="371"/>
        <v>0</v>
      </c>
      <c r="GC36" s="155">
        <f t="shared" si="371"/>
        <v>0</v>
      </c>
      <c r="GD36" s="155">
        <f t="shared" si="371"/>
        <v>0</v>
      </c>
      <c r="GE36" s="155">
        <f t="shared" si="371"/>
        <v>0</v>
      </c>
      <c r="GF36" s="155">
        <f t="shared" si="371"/>
        <v>0</v>
      </c>
      <c r="GG36" s="155">
        <f t="shared" si="371"/>
        <v>0</v>
      </c>
      <c r="GH36" s="155">
        <f t="shared" si="371"/>
        <v>0</v>
      </c>
      <c r="GI36" s="155">
        <f t="shared" si="371"/>
        <v>0</v>
      </c>
      <c r="GJ36" s="155">
        <f t="shared" si="371"/>
        <v>0</v>
      </c>
      <c r="GK36" s="155">
        <f t="shared" si="371"/>
        <v>0</v>
      </c>
      <c r="GL36" s="155">
        <f t="shared" si="371"/>
        <v>0</v>
      </c>
      <c r="GM36" s="155">
        <f t="shared" si="371"/>
        <v>0</v>
      </c>
      <c r="GN36" s="155">
        <f t="shared" si="371"/>
        <v>0</v>
      </c>
      <c r="GO36" s="155">
        <f t="shared" ref="GO36:IZ36" si="372">GO35</f>
        <v>0</v>
      </c>
      <c r="GP36" s="155">
        <f t="shared" si="372"/>
        <v>0</v>
      </c>
      <c r="GQ36" s="155">
        <f t="shared" si="372"/>
        <v>0</v>
      </c>
      <c r="GR36" s="155">
        <f t="shared" si="372"/>
        <v>0</v>
      </c>
      <c r="GS36" s="155">
        <f t="shared" si="372"/>
        <v>0</v>
      </c>
      <c r="GT36" s="155">
        <f t="shared" si="372"/>
        <v>0</v>
      </c>
      <c r="GU36" s="155">
        <f t="shared" si="372"/>
        <v>0</v>
      </c>
      <c r="GV36" s="155">
        <f t="shared" si="372"/>
        <v>0</v>
      </c>
      <c r="GW36" s="155">
        <f t="shared" si="372"/>
        <v>0</v>
      </c>
      <c r="GX36" s="155">
        <f t="shared" si="372"/>
        <v>0</v>
      </c>
      <c r="GY36" s="155">
        <f t="shared" si="372"/>
        <v>0</v>
      </c>
      <c r="GZ36" s="155">
        <f t="shared" si="372"/>
        <v>0</v>
      </c>
      <c r="HA36" s="155">
        <f t="shared" si="372"/>
        <v>0</v>
      </c>
      <c r="HB36" s="155">
        <f t="shared" si="372"/>
        <v>0</v>
      </c>
      <c r="HC36" s="155">
        <f t="shared" si="372"/>
        <v>0</v>
      </c>
      <c r="HD36" s="155">
        <f t="shared" si="372"/>
        <v>0</v>
      </c>
      <c r="HE36" s="155">
        <f t="shared" si="372"/>
        <v>0</v>
      </c>
      <c r="HF36" s="155">
        <f t="shared" si="372"/>
        <v>0</v>
      </c>
      <c r="HG36" s="155">
        <f t="shared" si="372"/>
        <v>0</v>
      </c>
      <c r="HH36" s="155">
        <f t="shared" si="372"/>
        <v>0</v>
      </c>
      <c r="HI36" s="155">
        <f t="shared" si="372"/>
        <v>0</v>
      </c>
      <c r="HJ36" s="155">
        <f t="shared" si="372"/>
        <v>0</v>
      </c>
      <c r="HK36" s="155">
        <f t="shared" si="372"/>
        <v>0</v>
      </c>
      <c r="HL36" s="155">
        <f t="shared" si="372"/>
        <v>0</v>
      </c>
      <c r="HM36" s="155">
        <f t="shared" si="372"/>
        <v>0</v>
      </c>
      <c r="HN36" s="155">
        <f t="shared" si="372"/>
        <v>0</v>
      </c>
      <c r="HO36" s="155">
        <f t="shared" si="372"/>
        <v>0</v>
      </c>
      <c r="HP36" s="155">
        <f t="shared" si="372"/>
        <v>0</v>
      </c>
      <c r="HQ36" s="155">
        <f t="shared" si="372"/>
        <v>0</v>
      </c>
      <c r="HR36" s="155">
        <f t="shared" si="372"/>
        <v>0</v>
      </c>
      <c r="HS36" s="155">
        <f t="shared" si="372"/>
        <v>0</v>
      </c>
      <c r="HT36" s="155">
        <f t="shared" si="372"/>
        <v>0</v>
      </c>
      <c r="HU36" s="155">
        <f t="shared" si="372"/>
        <v>0</v>
      </c>
      <c r="HV36" s="155">
        <f t="shared" si="372"/>
        <v>0</v>
      </c>
      <c r="HW36" s="155">
        <f t="shared" si="372"/>
        <v>0</v>
      </c>
      <c r="HX36" s="155">
        <f t="shared" si="372"/>
        <v>0</v>
      </c>
      <c r="HY36" s="155">
        <f t="shared" si="372"/>
        <v>0</v>
      </c>
      <c r="HZ36" s="155">
        <f t="shared" si="372"/>
        <v>0</v>
      </c>
      <c r="IA36" s="155">
        <f t="shared" si="372"/>
        <v>0</v>
      </c>
      <c r="IB36" s="155">
        <f t="shared" si="372"/>
        <v>0</v>
      </c>
      <c r="IC36" s="155">
        <f t="shared" si="372"/>
        <v>0</v>
      </c>
      <c r="ID36" s="155">
        <f t="shared" si="372"/>
        <v>0</v>
      </c>
      <c r="IE36" s="155">
        <f t="shared" si="372"/>
        <v>0</v>
      </c>
      <c r="IF36" s="155">
        <f t="shared" si="372"/>
        <v>0</v>
      </c>
      <c r="IG36" s="155">
        <f t="shared" si="372"/>
        <v>0</v>
      </c>
      <c r="IH36" s="155">
        <f t="shared" si="372"/>
        <v>0</v>
      </c>
      <c r="II36" s="155">
        <f t="shared" si="372"/>
        <v>0</v>
      </c>
      <c r="IJ36" s="155">
        <f t="shared" si="372"/>
        <v>0</v>
      </c>
      <c r="IK36" s="155">
        <f t="shared" si="372"/>
        <v>0</v>
      </c>
      <c r="IL36" s="155">
        <f t="shared" si="372"/>
        <v>0</v>
      </c>
      <c r="IM36" s="155">
        <f t="shared" si="372"/>
        <v>0</v>
      </c>
      <c r="IN36" s="155">
        <f t="shared" si="372"/>
        <v>0</v>
      </c>
      <c r="IO36" s="155">
        <f t="shared" si="372"/>
        <v>0</v>
      </c>
      <c r="IP36" s="155">
        <f t="shared" si="372"/>
        <v>0</v>
      </c>
      <c r="IQ36" s="155">
        <f t="shared" si="372"/>
        <v>0</v>
      </c>
      <c r="IR36" s="155">
        <f t="shared" si="372"/>
        <v>0</v>
      </c>
      <c r="IS36" s="155">
        <f t="shared" si="372"/>
        <v>0</v>
      </c>
      <c r="IT36" s="155">
        <f t="shared" si="372"/>
        <v>0</v>
      </c>
      <c r="IU36" s="155">
        <f t="shared" si="372"/>
        <v>0</v>
      </c>
      <c r="IV36" s="155">
        <f t="shared" si="372"/>
        <v>0</v>
      </c>
      <c r="IW36" s="155">
        <f t="shared" si="372"/>
        <v>0</v>
      </c>
      <c r="IX36" s="155">
        <f t="shared" si="372"/>
        <v>0</v>
      </c>
      <c r="IY36" s="155">
        <f t="shared" si="372"/>
        <v>0</v>
      </c>
      <c r="IZ36" s="155">
        <f t="shared" si="372"/>
        <v>0</v>
      </c>
      <c r="JA36" s="155">
        <f t="shared" ref="JA36:KQ36" si="373">JA35</f>
        <v>0</v>
      </c>
      <c r="JB36" s="155">
        <f t="shared" si="373"/>
        <v>0</v>
      </c>
      <c r="JC36" s="155">
        <f t="shared" si="373"/>
        <v>0</v>
      </c>
      <c r="JD36" s="155">
        <f t="shared" si="373"/>
        <v>0</v>
      </c>
      <c r="JE36" s="155">
        <f t="shared" si="373"/>
        <v>0</v>
      </c>
      <c r="JF36" s="155">
        <f t="shared" si="373"/>
        <v>0</v>
      </c>
      <c r="JG36" s="155">
        <f t="shared" si="373"/>
        <v>0</v>
      </c>
      <c r="JH36" s="155">
        <f t="shared" si="373"/>
        <v>0</v>
      </c>
      <c r="JI36" s="155">
        <f t="shared" si="373"/>
        <v>0</v>
      </c>
      <c r="JJ36" s="155">
        <f t="shared" si="373"/>
        <v>0</v>
      </c>
      <c r="JK36" s="155">
        <f t="shared" si="373"/>
        <v>0</v>
      </c>
      <c r="JL36" s="155">
        <f t="shared" si="373"/>
        <v>0</v>
      </c>
      <c r="JM36" s="155">
        <f t="shared" si="373"/>
        <v>0</v>
      </c>
      <c r="JN36" s="155">
        <f t="shared" si="373"/>
        <v>0</v>
      </c>
      <c r="JO36" s="155">
        <f t="shared" si="373"/>
        <v>0</v>
      </c>
      <c r="JP36" s="155">
        <f t="shared" si="373"/>
        <v>0</v>
      </c>
      <c r="JQ36" s="155">
        <f t="shared" si="373"/>
        <v>0</v>
      </c>
      <c r="JR36" s="155">
        <f t="shared" si="373"/>
        <v>0</v>
      </c>
      <c r="JS36" s="155">
        <f t="shared" si="373"/>
        <v>0</v>
      </c>
      <c r="JT36" s="155">
        <f t="shared" si="373"/>
        <v>0</v>
      </c>
      <c r="JU36" s="155">
        <f t="shared" si="373"/>
        <v>0</v>
      </c>
      <c r="JV36" s="155">
        <f t="shared" si="373"/>
        <v>0</v>
      </c>
      <c r="JW36" s="155">
        <f t="shared" si="373"/>
        <v>0</v>
      </c>
      <c r="JX36" s="155">
        <f t="shared" si="373"/>
        <v>0</v>
      </c>
      <c r="JY36" s="155">
        <f t="shared" si="373"/>
        <v>0</v>
      </c>
      <c r="JZ36" s="155">
        <f t="shared" si="373"/>
        <v>0</v>
      </c>
      <c r="KA36" s="155">
        <f t="shared" si="373"/>
        <v>0</v>
      </c>
      <c r="KB36" s="155">
        <f t="shared" si="373"/>
        <v>0</v>
      </c>
      <c r="KC36" s="155">
        <f t="shared" si="373"/>
        <v>0</v>
      </c>
      <c r="KD36" s="155">
        <f t="shared" si="373"/>
        <v>0</v>
      </c>
      <c r="KE36" s="155">
        <f t="shared" si="373"/>
        <v>0</v>
      </c>
      <c r="KF36" s="155">
        <f t="shared" si="373"/>
        <v>0</v>
      </c>
      <c r="KG36" s="155">
        <f t="shared" si="373"/>
        <v>0</v>
      </c>
      <c r="KH36" s="155">
        <f t="shared" si="373"/>
        <v>0</v>
      </c>
      <c r="KI36" s="155">
        <f t="shared" si="373"/>
        <v>0</v>
      </c>
      <c r="KJ36" s="155">
        <f t="shared" si="373"/>
        <v>0</v>
      </c>
      <c r="KK36" s="155">
        <f t="shared" si="373"/>
        <v>0</v>
      </c>
      <c r="KL36" s="155">
        <f t="shared" si="373"/>
        <v>0</v>
      </c>
      <c r="KM36" s="155">
        <f t="shared" si="373"/>
        <v>0</v>
      </c>
      <c r="KN36" s="155">
        <f t="shared" si="373"/>
        <v>0</v>
      </c>
      <c r="KO36" s="155">
        <f t="shared" si="373"/>
        <v>0</v>
      </c>
      <c r="KP36" s="155">
        <f t="shared" si="373"/>
        <v>0</v>
      </c>
      <c r="KQ36" s="155">
        <f t="shared" si="373"/>
        <v>0</v>
      </c>
    </row>
    <row r="37" spans="2:303" x14ac:dyDescent="0.35">
      <c r="B37" s="154" t="s">
        <v>128</v>
      </c>
      <c r="C37" s="272" cm="1">
        <f t="array" ref="C37">MATCH(TRUE,D34:JX34&gt;=C23,0)</f>
        <v>1</v>
      </c>
      <c r="D37" s="157">
        <f>IF(D36&lt;0,1,0)</f>
        <v>0</v>
      </c>
      <c r="E37" s="157">
        <f>IF(E36&lt;0,1,0)</f>
        <v>0</v>
      </c>
      <c r="F37" s="157">
        <f t="shared" ref="F37:BO37" si="374">IF(F36&lt;0,1,0)</f>
        <v>0</v>
      </c>
      <c r="G37" s="157">
        <f t="shared" si="374"/>
        <v>0</v>
      </c>
      <c r="H37" s="157">
        <f t="shared" si="374"/>
        <v>1</v>
      </c>
      <c r="I37" s="157">
        <f t="shared" si="374"/>
        <v>0</v>
      </c>
      <c r="J37" s="157">
        <f t="shared" si="374"/>
        <v>0</v>
      </c>
      <c r="K37" s="157">
        <f>IF(K36&lt;0,1,0)</f>
        <v>1</v>
      </c>
      <c r="L37" s="157">
        <f t="shared" si="374"/>
        <v>1</v>
      </c>
      <c r="M37" s="157">
        <f t="shared" si="374"/>
        <v>1</v>
      </c>
      <c r="N37" s="157">
        <f t="shared" si="374"/>
        <v>1</v>
      </c>
      <c r="O37" s="157">
        <f t="shared" si="374"/>
        <v>1</v>
      </c>
      <c r="P37" s="157">
        <f t="shared" si="374"/>
        <v>1</v>
      </c>
      <c r="Q37" s="157">
        <f t="shared" si="374"/>
        <v>1</v>
      </c>
      <c r="R37" s="157">
        <f t="shared" si="374"/>
        <v>0</v>
      </c>
      <c r="S37" s="157">
        <f t="shared" si="374"/>
        <v>0</v>
      </c>
      <c r="T37" s="157">
        <f t="shared" si="374"/>
        <v>0</v>
      </c>
      <c r="U37" s="157">
        <f t="shared" si="374"/>
        <v>0</v>
      </c>
      <c r="V37" s="157">
        <f t="shared" si="374"/>
        <v>0</v>
      </c>
      <c r="W37" s="157">
        <f t="shared" si="374"/>
        <v>1</v>
      </c>
      <c r="X37" s="157">
        <f t="shared" si="374"/>
        <v>0</v>
      </c>
      <c r="Y37" s="157">
        <f t="shared" si="374"/>
        <v>0</v>
      </c>
      <c r="Z37" s="157">
        <f t="shared" si="374"/>
        <v>0</v>
      </c>
      <c r="AA37" s="157">
        <f t="shared" si="374"/>
        <v>0</v>
      </c>
      <c r="AB37" s="157">
        <f t="shared" si="374"/>
        <v>0</v>
      </c>
      <c r="AC37" s="157">
        <f t="shared" si="374"/>
        <v>0</v>
      </c>
      <c r="AD37" s="157">
        <f t="shared" si="374"/>
        <v>0</v>
      </c>
      <c r="AE37" s="157">
        <f t="shared" si="374"/>
        <v>0</v>
      </c>
      <c r="AF37" s="157">
        <f t="shared" si="374"/>
        <v>0</v>
      </c>
      <c r="AG37" s="157">
        <f t="shared" si="374"/>
        <v>0</v>
      </c>
      <c r="AH37" s="157">
        <f t="shared" si="374"/>
        <v>0</v>
      </c>
      <c r="AI37" s="157">
        <f t="shared" si="374"/>
        <v>0</v>
      </c>
      <c r="AJ37" s="157">
        <f t="shared" si="374"/>
        <v>0</v>
      </c>
      <c r="AK37" s="157">
        <f t="shared" si="374"/>
        <v>0</v>
      </c>
      <c r="AL37" s="157">
        <f t="shared" si="374"/>
        <v>0</v>
      </c>
      <c r="AM37" s="157">
        <f t="shared" si="374"/>
        <v>0</v>
      </c>
      <c r="AN37" s="157">
        <f t="shared" si="374"/>
        <v>0</v>
      </c>
      <c r="AO37" s="157">
        <f t="shared" si="374"/>
        <v>0</v>
      </c>
      <c r="AP37" s="157">
        <f t="shared" si="374"/>
        <v>0</v>
      </c>
      <c r="AQ37" s="157">
        <f t="shared" si="374"/>
        <v>0</v>
      </c>
      <c r="AR37" s="157">
        <f t="shared" si="374"/>
        <v>0</v>
      </c>
      <c r="AS37" s="157">
        <f t="shared" si="374"/>
        <v>0</v>
      </c>
      <c r="AT37" s="157">
        <f t="shared" si="374"/>
        <v>0</v>
      </c>
      <c r="AU37" s="157">
        <f t="shared" si="374"/>
        <v>0</v>
      </c>
      <c r="AV37" s="157">
        <f t="shared" si="374"/>
        <v>0</v>
      </c>
      <c r="AW37" s="157">
        <f t="shared" si="374"/>
        <v>0</v>
      </c>
      <c r="AX37" s="157">
        <f t="shared" si="374"/>
        <v>0</v>
      </c>
      <c r="AY37" s="157">
        <f t="shared" si="374"/>
        <v>0</v>
      </c>
      <c r="AZ37" s="157">
        <f t="shared" si="374"/>
        <v>0</v>
      </c>
      <c r="BA37" s="157">
        <f t="shared" si="374"/>
        <v>0</v>
      </c>
      <c r="BB37" s="157">
        <f t="shared" si="374"/>
        <v>0</v>
      </c>
      <c r="BC37" s="157">
        <f t="shared" si="374"/>
        <v>0</v>
      </c>
      <c r="BD37" s="157">
        <f t="shared" si="374"/>
        <v>0</v>
      </c>
      <c r="BE37" s="157">
        <f t="shared" si="374"/>
        <v>0</v>
      </c>
      <c r="BF37" s="157">
        <f t="shared" si="374"/>
        <v>0</v>
      </c>
      <c r="BG37" s="157">
        <f t="shared" si="374"/>
        <v>0</v>
      </c>
      <c r="BH37" s="157">
        <f t="shared" si="374"/>
        <v>0</v>
      </c>
      <c r="BI37" s="157">
        <f t="shared" si="374"/>
        <v>0</v>
      </c>
      <c r="BJ37" s="157">
        <f t="shared" si="374"/>
        <v>0</v>
      </c>
      <c r="BK37" s="157">
        <f t="shared" si="374"/>
        <v>0</v>
      </c>
      <c r="BL37" s="157">
        <f t="shared" si="374"/>
        <v>0</v>
      </c>
      <c r="BM37" s="157">
        <f t="shared" si="374"/>
        <v>0</v>
      </c>
      <c r="BN37" s="157">
        <f t="shared" si="374"/>
        <v>0</v>
      </c>
      <c r="BO37" s="157">
        <f t="shared" si="374"/>
        <v>0</v>
      </c>
      <c r="BP37" s="157">
        <f t="shared" ref="BP37:EA37" si="375">IF(BP36&lt;0,1,0)</f>
        <v>0</v>
      </c>
      <c r="BQ37" s="157">
        <f t="shared" si="375"/>
        <v>0</v>
      </c>
      <c r="BR37" s="157">
        <f t="shared" si="375"/>
        <v>0</v>
      </c>
      <c r="BS37" s="157">
        <f t="shared" si="375"/>
        <v>0</v>
      </c>
      <c r="BT37" s="157">
        <f t="shared" si="375"/>
        <v>0</v>
      </c>
      <c r="BU37" s="157">
        <f t="shared" si="375"/>
        <v>0</v>
      </c>
      <c r="BV37" s="157">
        <f t="shared" si="375"/>
        <v>0</v>
      </c>
      <c r="BW37" s="157">
        <f t="shared" si="375"/>
        <v>0</v>
      </c>
      <c r="BX37" s="157">
        <f t="shared" si="375"/>
        <v>0</v>
      </c>
      <c r="BY37" s="157">
        <f t="shared" si="375"/>
        <v>0</v>
      </c>
      <c r="BZ37" s="157">
        <f t="shared" si="375"/>
        <v>0</v>
      </c>
      <c r="CA37" s="157">
        <f t="shared" si="375"/>
        <v>0</v>
      </c>
      <c r="CB37" s="157">
        <f t="shared" si="375"/>
        <v>0</v>
      </c>
      <c r="CC37" s="157">
        <f t="shared" si="375"/>
        <v>0</v>
      </c>
      <c r="CD37" s="157">
        <f t="shared" si="375"/>
        <v>0</v>
      </c>
      <c r="CE37" s="157">
        <f t="shared" si="375"/>
        <v>0</v>
      </c>
      <c r="CF37" s="157">
        <f t="shared" si="375"/>
        <v>0</v>
      </c>
      <c r="CG37" s="157">
        <f t="shared" si="375"/>
        <v>0</v>
      </c>
      <c r="CH37" s="157">
        <f t="shared" si="375"/>
        <v>0</v>
      </c>
      <c r="CI37" s="157">
        <f t="shared" si="375"/>
        <v>0</v>
      </c>
      <c r="CJ37" s="157">
        <f t="shared" si="375"/>
        <v>0</v>
      </c>
      <c r="CK37" s="157">
        <f t="shared" si="375"/>
        <v>0</v>
      </c>
      <c r="CL37" s="157">
        <f t="shared" si="375"/>
        <v>0</v>
      </c>
      <c r="CM37" s="157">
        <f t="shared" si="375"/>
        <v>0</v>
      </c>
      <c r="CN37" s="157">
        <f t="shared" si="375"/>
        <v>0</v>
      </c>
      <c r="CO37" s="157">
        <f t="shared" si="375"/>
        <v>0</v>
      </c>
      <c r="CP37" s="157">
        <f t="shared" si="375"/>
        <v>0</v>
      </c>
      <c r="CQ37" s="157">
        <f t="shared" si="375"/>
        <v>0</v>
      </c>
      <c r="CR37" s="157">
        <f t="shared" si="375"/>
        <v>0</v>
      </c>
      <c r="CS37" s="157">
        <f t="shared" si="375"/>
        <v>0</v>
      </c>
      <c r="CT37" s="157">
        <f t="shared" si="375"/>
        <v>0</v>
      </c>
      <c r="CU37" s="157">
        <f t="shared" si="375"/>
        <v>0</v>
      </c>
      <c r="CV37" s="157">
        <f t="shared" si="375"/>
        <v>0</v>
      </c>
      <c r="CW37" s="157">
        <f t="shared" si="375"/>
        <v>0</v>
      </c>
      <c r="CX37" s="157">
        <f t="shared" si="375"/>
        <v>0</v>
      </c>
      <c r="CY37" s="157">
        <f t="shared" si="375"/>
        <v>0</v>
      </c>
      <c r="CZ37" s="157">
        <f t="shared" si="375"/>
        <v>0</v>
      </c>
      <c r="DA37" s="157">
        <f t="shared" si="375"/>
        <v>0</v>
      </c>
      <c r="DB37" s="157">
        <f t="shared" si="375"/>
        <v>0</v>
      </c>
      <c r="DC37" s="157">
        <f t="shared" si="375"/>
        <v>0</v>
      </c>
      <c r="DD37" s="157">
        <f t="shared" si="375"/>
        <v>0</v>
      </c>
      <c r="DE37" s="157">
        <f t="shared" si="375"/>
        <v>0</v>
      </c>
      <c r="DF37" s="157">
        <f t="shared" si="375"/>
        <v>0</v>
      </c>
      <c r="DG37" s="157">
        <f t="shared" si="375"/>
        <v>0</v>
      </c>
      <c r="DH37" s="157">
        <f t="shared" si="375"/>
        <v>0</v>
      </c>
      <c r="DI37" s="157">
        <f t="shared" si="375"/>
        <v>0</v>
      </c>
      <c r="DJ37" s="157">
        <f t="shared" si="375"/>
        <v>0</v>
      </c>
      <c r="DK37" s="157">
        <f t="shared" si="375"/>
        <v>0</v>
      </c>
      <c r="DL37" s="157">
        <f t="shared" si="375"/>
        <v>0</v>
      </c>
      <c r="DM37" s="157">
        <f t="shared" si="375"/>
        <v>0</v>
      </c>
      <c r="DN37" s="157">
        <f t="shared" si="375"/>
        <v>0</v>
      </c>
      <c r="DO37" s="157">
        <f t="shared" si="375"/>
        <v>0</v>
      </c>
      <c r="DP37" s="157">
        <f t="shared" si="375"/>
        <v>0</v>
      </c>
      <c r="DQ37" s="157">
        <f t="shared" si="375"/>
        <v>0</v>
      </c>
      <c r="DR37" s="157">
        <f t="shared" si="375"/>
        <v>0</v>
      </c>
      <c r="DS37" s="157">
        <f t="shared" si="375"/>
        <v>0</v>
      </c>
      <c r="DT37" s="157">
        <f t="shared" si="375"/>
        <v>0</v>
      </c>
      <c r="DU37" s="157">
        <f t="shared" si="375"/>
        <v>0</v>
      </c>
      <c r="DV37" s="157">
        <f t="shared" si="375"/>
        <v>0</v>
      </c>
      <c r="DW37" s="157">
        <f t="shared" si="375"/>
        <v>0</v>
      </c>
      <c r="DX37" s="157">
        <f t="shared" si="375"/>
        <v>0</v>
      </c>
      <c r="DY37" s="157">
        <f t="shared" si="375"/>
        <v>0</v>
      </c>
      <c r="DZ37" s="157">
        <f t="shared" si="375"/>
        <v>0</v>
      </c>
      <c r="EA37" s="157">
        <f t="shared" si="375"/>
        <v>0</v>
      </c>
      <c r="EB37" s="157">
        <f t="shared" ref="EB37:GM37" si="376">IF(EB36&lt;0,1,0)</f>
        <v>0</v>
      </c>
      <c r="EC37" s="157">
        <f t="shared" si="376"/>
        <v>0</v>
      </c>
      <c r="ED37" s="157">
        <f t="shared" si="376"/>
        <v>0</v>
      </c>
      <c r="EE37" s="157">
        <f t="shared" si="376"/>
        <v>0</v>
      </c>
      <c r="EF37" s="157">
        <f t="shared" si="376"/>
        <v>0</v>
      </c>
      <c r="EG37" s="157">
        <f t="shared" si="376"/>
        <v>0</v>
      </c>
      <c r="EH37" s="157">
        <f t="shared" si="376"/>
        <v>0</v>
      </c>
      <c r="EI37" s="157">
        <f t="shared" si="376"/>
        <v>0</v>
      </c>
      <c r="EJ37" s="157">
        <f t="shared" si="376"/>
        <v>0</v>
      </c>
      <c r="EK37" s="157">
        <f t="shared" si="376"/>
        <v>0</v>
      </c>
      <c r="EL37" s="157">
        <f t="shared" si="376"/>
        <v>0</v>
      </c>
      <c r="EM37" s="157">
        <f t="shared" si="376"/>
        <v>0</v>
      </c>
      <c r="EN37" s="157">
        <f t="shared" si="376"/>
        <v>0</v>
      </c>
      <c r="EO37" s="157">
        <f t="shared" si="376"/>
        <v>0</v>
      </c>
      <c r="EP37" s="157">
        <f t="shared" si="376"/>
        <v>0</v>
      </c>
      <c r="EQ37" s="157">
        <f t="shared" si="376"/>
        <v>0</v>
      </c>
      <c r="ER37" s="157">
        <f t="shared" si="376"/>
        <v>0</v>
      </c>
      <c r="ES37" s="157">
        <f t="shared" si="376"/>
        <v>0</v>
      </c>
      <c r="ET37" s="157">
        <f t="shared" si="376"/>
        <v>0</v>
      </c>
      <c r="EU37" s="157">
        <f t="shared" si="376"/>
        <v>0</v>
      </c>
      <c r="EV37" s="157">
        <f t="shared" si="376"/>
        <v>0</v>
      </c>
      <c r="EW37" s="157">
        <f t="shared" si="376"/>
        <v>0</v>
      </c>
      <c r="EX37" s="157">
        <f t="shared" si="376"/>
        <v>0</v>
      </c>
      <c r="EY37" s="157">
        <f t="shared" si="376"/>
        <v>0</v>
      </c>
      <c r="EZ37" s="157">
        <f t="shared" si="376"/>
        <v>0</v>
      </c>
      <c r="FA37" s="157">
        <f t="shared" si="376"/>
        <v>0</v>
      </c>
      <c r="FB37" s="157">
        <f t="shared" si="376"/>
        <v>0</v>
      </c>
      <c r="FC37" s="157">
        <f t="shared" si="376"/>
        <v>0</v>
      </c>
      <c r="FD37" s="157">
        <f t="shared" si="376"/>
        <v>0</v>
      </c>
      <c r="FE37" s="157">
        <f t="shared" si="376"/>
        <v>0</v>
      </c>
      <c r="FF37" s="157">
        <f t="shared" si="376"/>
        <v>0</v>
      </c>
      <c r="FG37" s="157">
        <f t="shared" si="376"/>
        <v>0</v>
      </c>
      <c r="FH37" s="157">
        <f t="shared" si="376"/>
        <v>0</v>
      </c>
      <c r="FI37" s="157">
        <f t="shared" si="376"/>
        <v>0</v>
      </c>
      <c r="FJ37" s="157">
        <f t="shared" si="376"/>
        <v>0</v>
      </c>
      <c r="FK37" s="157">
        <f t="shared" si="376"/>
        <v>0</v>
      </c>
      <c r="FL37" s="157">
        <f t="shared" si="376"/>
        <v>0</v>
      </c>
      <c r="FM37" s="157">
        <f t="shared" si="376"/>
        <v>0</v>
      </c>
      <c r="FN37" s="157">
        <f t="shared" si="376"/>
        <v>0</v>
      </c>
      <c r="FO37" s="157">
        <f t="shared" si="376"/>
        <v>0</v>
      </c>
      <c r="FP37" s="157">
        <f t="shared" si="376"/>
        <v>0</v>
      </c>
      <c r="FQ37" s="157">
        <f t="shared" si="376"/>
        <v>0</v>
      </c>
      <c r="FR37" s="157">
        <f t="shared" si="376"/>
        <v>0</v>
      </c>
      <c r="FS37" s="157">
        <f t="shared" si="376"/>
        <v>0</v>
      </c>
      <c r="FT37" s="157">
        <f t="shared" si="376"/>
        <v>0</v>
      </c>
      <c r="FU37" s="157">
        <f t="shared" si="376"/>
        <v>0</v>
      </c>
      <c r="FV37" s="157">
        <f t="shared" si="376"/>
        <v>0</v>
      </c>
      <c r="FW37" s="157">
        <f t="shared" si="376"/>
        <v>0</v>
      </c>
      <c r="FX37" s="157">
        <f t="shared" si="376"/>
        <v>0</v>
      </c>
      <c r="FY37" s="157">
        <f t="shared" si="376"/>
        <v>0</v>
      </c>
      <c r="FZ37" s="157">
        <f t="shared" si="376"/>
        <v>0</v>
      </c>
      <c r="GA37" s="157">
        <f t="shared" si="376"/>
        <v>0</v>
      </c>
      <c r="GB37" s="157">
        <f t="shared" si="376"/>
        <v>0</v>
      </c>
      <c r="GC37" s="157">
        <f t="shared" si="376"/>
        <v>0</v>
      </c>
      <c r="GD37" s="157">
        <f t="shared" si="376"/>
        <v>0</v>
      </c>
      <c r="GE37" s="157">
        <f t="shared" si="376"/>
        <v>0</v>
      </c>
      <c r="GF37" s="157">
        <f t="shared" si="376"/>
        <v>0</v>
      </c>
      <c r="GG37" s="157">
        <f t="shared" si="376"/>
        <v>0</v>
      </c>
      <c r="GH37" s="157">
        <f t="shared" si="376"/>
        <v>0</v>
      </c>
      <c r="GI37" s="157">
        <f t="shared" si="376"/>
        <v>0</v>
      </c>
      <c r="GJ37" s="157">
        <f t="shared" si="376"/>
        <v>0</v>
      </c>
      <c r="GK37" s="157">
        <f t="shared" si="376"/>
        <v>0</v>
      </c>
      <c r="GL37" s="157">
        <f t="shared" si="376"/>
        <v>0</v>
      </c>
      <c r="GM37" s="157">
        <f t="shared" si="376"/>
        <v>0</v>
      </c>
      <c r="GN37" s="157">
        <f t="shared" ref="GN37:IY37" si="377">IF(GN36&lt;0,1,0)</f>
        <v>0</v>
      </c>
      <c r="GO37" s="157">
        <f t="shared" si="377"/>
        <v>0</v>
      </c>
      <c r="GP37" s="157">
        <f t="shared" si="377"/>
        <v>0</v>
      </c>
      <c r="GQ37" s="157">
        <f t="shared" si="377"/>
        <v>0</v>
      </c>
      <c r="GR37" s="157">
        <f t="shared" si="377"/>
        <v>0</v>
      </c>
      <c r="GS37" s="157">
        <f t="shared" si="377"/>
        <v>0</v>
      </c>
      <c r="GT37" s="157">
        <f t="shared" si="377"/>
        <v>0</v>
      </c>
      <c r="GU37" s="157">
        <f t="shared" si="377"/>
        <v>0</v>
      </c>
      <c r="GV37" s="157">
        <f t="shared" si="377"/>
        <v>0</v>
      </c>
      <c r="GW37" s="157">
        <f t="shared" si="377"/>
        <v>0</v>
      </c>
      <c r="GX37" s="157">
        <f t="shared" si="377"/>
        <v>0</v>
      </c>
      <c r="GY37" s="157">
        <f t="shared" si="377"/>
        <v>0</v>
      </c>
      <c r="GZ37" s="157">
        <f t="shared" si="377"/>
        <v>0</v>
      </c>
      <c r="HA37" s="157">
        <f t="shared" si="377"/>
        <v>0</v>
      </c>
      <c r="HB37" s="157">
        <f t="shared" si="377"/>
        <v>0</v>
      </c>
      <c r="HC37" s="157">
        <f t="shared" si="377"/>
        <v>0</v>
      </c>
      <c r="HD37" s="157">
        <f t="shared" si="377"/>
        <v>0</v>
      </c>
      <c r="HE37" s="157">
        <f t="shared" si="377"/>
        <v>0</v>
      </c>
      <c r="HF37" s="157">
        <f t="shared" si="377"/>
        <v>0</v>
      </c>
      <c r="HG37" s="157">
        <f t="shared" si="377"/>
        <v>0</v>
      </c>
      <c r="HH37" s="157">
        <f t="shared" si="377"/>
        <v>0</v>
      </c>
      <c r="HI37" s="157">
        <f t="shared" si="377"/>
        <v>0</v>
      </c>
      <c r="HJ37" s="157">
        <f t="shared" si="377"/>
        <v>0</v>
      </c>
      <c r="HK37" s="157">
        <f t="shared" si="377"/>
        <v>0</v>
      </c>
      <c r="HL37" s="157">
        <f t="shared" si="377"/>
        <v>0</v>
      </c>
      <c r="HM37" s="157">
        <f t="shared" si="377"/>
        <v>0</v>
      </c>
      <c r="HN37" s="157">
        <f t="shared" si="377"/>
        <v>0</v>
      </c>
      <c r="HO37" s="157">
        <f t="shared" si="377"/>
        <v>0</v>
      </c>
      <c r="HP37" s="157">
        <f t="shared" si="377"/>
        <v>0</v>
      </c>
      <c r="HQ37" s="157">
        <f t="shared" si="377"/>
        <v>0</v>
      </c>
      <c r="HR37" s="157">
        <f t="shared" si="377"/>
        <v>0</v>
      </c>
      <c r="HS37" s="157">
        <f t="shared" si="377"/>
        <v>0</v>
      </c>
      <c r="HT37" s="157">
        <f t="shared" si="377"/>
        <v>0</v>
      </c>
      <c r="HU37" s="157">
        <f t="shared" si="377"/>
        <v>0</v>
      </c>
      <c r="HV37" s="157">
        <f t="shared" si="377"/>
        <v>0</v>
      </c>
      <c r="HW37" s="157">
        <f t="shared" si="377"/>
        <v>0</v>
      </c>
      <c r="HX37" s="157">
        <f t="shared" si="377"/>
        <v>0</v>
      </c>
      <c r="HY37" s="157">
        <f t="shared" si="377"/>
        <v>0</v>
      </c>
      <c r="HZ37" s="157">
        <f t="shared" si="377"/>
        <v>0</v>
      </c>
      <c r="IA37" s="157">
        <f t="shared" si="377"/>
        <v>0</v>
      </c>
      <c r="IB37" s="157">
        <f t="shared" si="377"/>
        <v>0</v>
      </c>
      <c r="IC37" s="157">
        <f t="shared" si="377"/>
        <v>0</v>
      </c>
      <c r="ID37" s="157">
        <f t="shared" si="377"/>
        <v>0</v>
      </c>
      <c r="IE37" s="157">
        <f t="shared" si="377"/>
        <v>0</v>
      </c>
      <c r="IF37" s="157">
        <f t="shared" si="377"/>
        <v>0</v>
      </c>
      <c r="IG37" s="157">
        <f t="shared" si="377"/>
        <v>0</v>
      </c>
      <c r="IH37" s="157">
        <f t="shared" si="377"/>
        <v>0</v>
      </c>
      <c r="II37" s="157">
        <f t="shared" si="377"/>
        <v>0</v>
      </c>
      <c r="IJ37" s="157">
        <f t="shared" si="377"/>
        <v>0</v>
      </c>
      <c r="IK37" s="157">
        <f t="shared" si="377"/>
        <v>0</v>
      </c>
      <c r="IL37" s="157">
        <f t="shared" si="377"/>
        <v>0</v>
      </c>
      <c r="IM37" s="157">
        <f t="shared" si="377"/>
        <v>0</v>
      </c>
      <c r="IN37" s="157">
        <f t="shared" si="377"/>
        <v>0</v>
      </c>
      <c r="IO37" s="157">
        <f t="shared" si="377"/>
        <v>0</v>
      </c>
      <c r="IP37" s="157">
        <f t="shared" si="377"/>
        <v>0</v>
      </c>
      <c r="IQ37" s="157">
        <f t="shared" si="377"/>
        <v>0</v>
      </c>
      <c r="IR37" s="157">
        <f t="shared" si="377"/>
        <v>0</v>
      </c>
      <c r="IS37" s="157">
        <f t="shared" si="377"/>
        <v>0</v>
      </c>
      <c r="IT37" s="157">
        <f t="shared" si="377"/>
        <v>0</v>
      </c>
      <c r="IU37" s="157">
        <f t="shared" si="377"/>
        <v>0</v>
      </c>
      <c r="IV37" s="157">
        <f t="shared" si="377"/>
        <v>0</v>
      </c>
      <c r="IW37" s="157">
        <f t="shared" si="377"/>
        <v>0</v>
      </c>
      <c r="IX37" s="157">
        <f t="shared" si="377"/>
        <v>0</v>
      </c>
      <c r="IY37" s="157">
        <f t="shared" si="377"/>
        <v>0</v>
      </c>
      <c r="IZ37" s="157">
        <f t="shared" ref="IZ37:KQ37" si="378">IF(IZ36&lt;0,1,0)</f>
        <v>0</v>
      </c>
      <c r="JA37" s="157">
        <f t="shared" si="378"/>
        <v>0</v>
      </c>
      <c r="JB37" s="157">
        <f t="shared" si="378"/>
        <v>0</v>
      </c>
      <c r="JC37" s="157">
        <f t="shared" si="378"/>
        <v>0</v>
      </c>
      <c r="JD37" s="157">
        <f t="shared" si="378"/>
        <v>0</v>
      </c>
      <c r="JE37" s="157">
        <f t="shared" si="378"/>
        <v>0</v>
      </c>
      <c r="JF37" s="157">
        <f t="shared" si="378"/>
        <v>0</v>
      </c>
      <c r="JG37" s="157">
        <f t="shared" si="378"/>
        <v>0</v>
      </c>
      <c r="JH37" s="157">
        <f t="shared" si="378"/>
        <v>0</v>
      </c>
      <c r="JI37" s="157">
        <f t="shared" si="378"/>
        <v>0</v>
      </c>
      <c r="JJ37" s="157">
        <f t="shared" si="378"/>
        <v>0</v>
      </c>
      <c r="JK37" s="157">
        <f t="shared" si="378"/>
        <v>0</v>
      </c>
      <c r="JL37" s="157">
        <f t="shared" si="378"/>
        <v>0</v>
      </c>
      <c r="JM37" s="157">
        <f t="shared" si="378"/>
        <v>0</v>
      </c>
      <c r="JN37" s="157">
        <f t="shared" si="378"/>
        <v>0</v>
      </c>
      <c r="JO37" s="157">
        <f t="shared" si="378"/>
        <v>0</v>
      </c>
      <c r="JP37" s="157">
        <f t="shared" si="378"/>
        <v>0</v>
      </c>
      <c r="JQ37" s="157">
        <f t="shared" si="378"/>
        <v>0</v>
      </c>
      <c r="JR37" s="157">
        <f t="shared" si="378"/>
        <v>0</v>
      </c>
      <c r="JS37" s="157">
        <f t="shared" si="378"/>
        <v>0</v>
      </c>
      <c r="JT37" s="157">
        <f t="shared" si="378"/>
        <v>0</v>
      </c>
      <c r="JU37" s="157">
        <f t="shared" si="378"/>
        <v>0</v>
      </c>
      <c r="JV37" s="157">
        <f t="shared" si="378"/>
        <v>0</v>
      </c>
      <c r="JW37" s="157">
        <f t="shared" si="378"/>
        <v>0</v>
      </c>
      <c r="JX37" s="157">
        <f t="shared" si="378"/>
        <v>0</v>
      </c>
      <c r="JY37" s="157">
        <f t="shared" si="378"/>
        <v>0</v>
      </c>
      <c r="JZ37" s="157">
        <f t="shared" si="378"/>
        <v>0</v>
      </c>
      <c r="KA37" s="157">
        <f t="shared" si="378"/>
        <v>0</v>
      </c>
      <c r="KB37" s="157">
        <f t="shared" si="378"/>
        <v>0</v>
      </c>
      <c r="KC37" s="157">
        <f t="shared" si="378"/>
        <v>0</v>
      </c>
      <c r="KD37" s="157">
        <f t="shared" si="378"/>
        <v>0</v>
      </c>
      <c r="KE37" s="157">
        <f t="shared" si="378"/>
        <v>0</v>
      </c>
      <c r="KF37" s="157">
        <f t="shared" si="378"/>
        <v>0</v>
      </c>
      <c r="KG37" s="157">
        <f t="shared" si="378"/>
        <v>0</v>
      </c>
      <c r="KH37" s="157">
        <f t="shared" si="378"/>
        <v>0</v>
      </c>
      <c r="KI37" s="157">
        <f t="shared" si="378"/>
        <v>0</v>
      </c>
      <c r="KJ37" s="157">
        <f t="shared" si="378"/>
        <v>0</v>
      </c>
      <c r="KK37" s="157">
        <f t="shared" si="378"/>
        <v>0</v>
      </c>
      <c r="KL37" s="157">
        <f t="shared" si="378"/>
        <v>0</v>
      </c>
      <c r="KM37" s="157">
        <f t="shared" si="378"/>
        <v>0</v>
      </c>
      <c r="KN37" s="157">
        <f t="shared" si="378"/>
        <v>0</v>
      </c>
      <c r="KO37" s="157">
        <f t="shared" si="378"/>
        <v>0</v>
      </c>
      <c r="KP37" s="157">
        <f t="shared" si="378"/>
        <v>0</v>
      </c>
      <c r="KQ37" s="157">
        <f t="shared" si="378"/>
        <v>0</v>
      </c>
    </row>
    <row r="38" spans="2:303" x14ac:dyDescent="0.35">
      <c r="B38" s="154"/>
      <c r="C38" s="161"/>
      <c r="D38" s="150"/>
      <c r="E38" s="150"/>
      <c r="F38" s="150"/>
      <c r="G38" s="150"/>
      <c r="H38" s="150"/>
      <c r="I38" s="150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</row>
    <row r="39" spans="2:303" x14ac:dyDescent="0.35">
      <c r="B39" s="154"/>
      <c r="C39" s="161"/>
      <c r="D39" s="152"/>
      <c r="E39" s="152"/>
      <c r="F39" s="152"/>
      <c r="G39" s="152"/>
      <c r="H39" s="152"/>
      <c r="I39" s="152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</row>
    <row r="40" spans="2:303" x14ac:dyDescent="0.35">
      <c r="B40" s="162" t="s">
        <v>129</v>
      </c>
      <c r="C40" s="163">
        <f>18%/12</f>
        <v>1.4999999999999999E-2</v>
      </c>
      <c r="D40" s="164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</row>
    <row r="41" spans="2:303" x14ac:dyDescent="0.35">
      <c r="B41" s="166" t="s">
        <v>130</v>
      </c>
      <c r="C41" s="167">
        <f>IRR(D51:D52)</f>
        <v>15.142247730202417</v>
      </c>
      <c r="D41" s="168"/>
      <c r="E41" s="169"/>
      <c r="F41" s="169"/>
      <c r="G41" s="169"/>
      <c r="H41" s="169"/>
      <c r="I41" s="169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223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</row>
    <row r="42" spans="2:303" x14ac:dyDescent="0.35">
      <c r="B42" s="166" t="s">
        <v>131</v>
      </c>
      <c r="C42" s="205">
        <f>NPV(C40,E21:FA21)+D21</f>
        <v>1877744404.3243635</v>
      </c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</row>
    <row r="43" spans="2:303" x14ac:dyDescent="0.35">
      <c r="B43" s="170"/>
      <c r="C43" s="171"/>
      <c r="D43" s="171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</row>
    <row r="44" spans="2:303" x14ac:dyDescent="0.35">
      <c r="B44" s="166" t="s">
        <v>132</v>
      </c>
      <c r="C44" s="163">
        <f>IFERROR(C21/C23, 0)</f>
        <v>0</v>
      </c>
      <c r="D44" s="171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</row>
    <row r="45" spans="2:303" x14ac:dyDescent="0.35">
      <c r="B45" s="166" t="s">
        <v>133</v>
      </c>
      <c r="C45" s="163">
        <f>IFERROR(C21/SUM(C22:C24),0)</f>
        <v>3.8019590983152001</v>
      </c>
      <c r="D45" s="171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</row>
    <row r="46" spans="2:303" x14ac:dyDescent="0.35">
      <c r="B46" s="166" t="s">
        <v>8</v>
      </c>
      <c r="C46" s="172">
        <f>C37</f>
        <v>1</v>
      </c>
      <c r="D46" s="171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</row>
    <row r="47" spans="2:303" x14ac:dyDescent="0.35">
      <c r="B47" s="166" t="s">
        <v>134</v>
      </c>
      <c r="C47" s="163">
        <f>21%/12</f>
        <v>1.7499999999999998E-2</v>
      </c>
      <c r="D47" s="171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</row>
    <row r="48" spans="2:303" x14ac:dyDescent="0.35">
      <c r="B48" s="166" t="s">
        <v>133</v>
      </c>
      <c r="C48" s="163">
        <f>IFERROR(C21/SUM(C22:C24),0)</f>
        <v>3.8019590983152001</v>
      </c>
      <c r="D48" s="171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</row>
    <row r="51" spans="3:4" x14ac:dyDescent="0.35">
      <c r="C51">
        <v>2026</v>
      </c>
      <c r="D51" s="155">
        <f>SUM(D21:P21)</f>
        <v>-169480940.81462049</v>
      </c>
    </row>
    <row r="52" spans="3:4" x14ac:dyDescent="0.35">
      <c r="C52">
        <v>2027</v>
      </c>
      <c r="D52" s="332">
        <f>SUM(Q21:AB21)</f>
        <v>2735803332.1773801</v>
      </c>
    </row>
    <row r="53" spans="3:4" x14ac:dyDescent="0.35">
      <c r="C53">
        <v>2028</v>
      </c>
      <c r="D53" s="332">
        <f>SUM(AC21:AN21)</f>
        <v>0</v>
      </c>
    </row>
    <row r="54" spans="3:4" x14ac:dyDescent="0.35">
      <c r="C54">
        <v>2029</v>
      </c>
    </row>
    <row r="55" spans="3:4" x14ac:dyDescent="0.35">
      <c r="C55">
        <v>2030</v>
      </c>
    </row>
  </sheetData>
  <conditionalFormatting sqref="D51">
    <cfRule type="cellIs" dxfId="4" priority="1" operator="lessThan">
      <formula>0</formula>
    </cfRule>
  </conditionalFormatting>
  <conditionalFormatting sqref="D34:KQ34">
    <cfRule type="cellIs" dxfId="3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561F-2078-4EFB-B523-22F5309B98C4}">
  <dimension ref="A1:L27"/>
  <sheetViews>
    <sheetView workbookViewId="0">
      <selection activeCell="F29" sqref="F29"/>
    </sheetView>
  </sheetViews>
  <sheetFormatPr defaultRowHeight="14.5" x14ac:dyDescent="0.35"/>
  <cols>
    <col min="2" max="2" width="14" customWidth="1"/>
    <col min="3" max="3" width="15.90625" hidden="1" customWidth="1"/>
    <col min="4" max="4" width="17.453125" customWidth="1"/>
    <col min="6" max="6" width="16" bestFit="1" customWidth="1"/>
    <col min="8" max="9" width="15" customWidth="1"/>
    <col min="10" max="10" width="13.1796875" bestFit="1" customWidth="1"/>
    <col min="12" max="12" width="16" bestFit="1" customWidth="1"/>
  </cols>
  <sheetData>
    <row r="1" spans="1:12" x14ac:dyDescent="0.35">
      <c r="A1" t="s">
        <v>249</v>
      </c>
      <c r="B1" t="s">
        <v>248</v>
      </c>
      <c r="C1" s="323" t="s">
        <v>246</v>
      </c>
      <c r="D1" s="320">
        <v>1057000</v>
      </c>
      <c r="E1" s="322">
        <v>1.2E-2</v>
      </c>
      <c r="F1" s="330" t="s">
        <v>150</v>
      </c>
      <c r="H1" s="324" t="s">
        <v>247</v>
      </c>
      <c r="I1" s="324"/>
      <c r="J1" s="320">
        <v>1287500</v>
      </c>
      <c r="K1" s="322"/>
    </row>
    <row r="2" spans="1:12" x14ac:dyDescent="0.35">
      <c r="A2" s="326">
        <v>603</v>
      </c>
      <c r="B2" s="327">
        <v>143.9</v>
      </c>
      <c r="C2">
        <v>11</v>
      </c>
      <c r="D2" s="212">
        <f t="shared" ref="D2:D7" si="0">D1+D1*$E$1</f>
        <v>1069684</v>
      </c>
      <c r="E2" s="325">
        <v>1.15E-2</v>
      </c>
      <c r="F2" s="329">
        <f>B2*D2</f>
        <v>153927527.59999999</v>
      </c>
      <c r="H2" t="s">
        <v>250</v>
      </c>
      <c r="I2" s="327">
        <v>138.79</v>
      </c>
      <c r="J2" s="213">
        <f>J1+J1*K2</f>
        <v>1301662.5</v>
      </c>
      <c r="K2" s="328">
        <v>1.0999999999999999E-2</v>
      </c>
      <c r="L2" s="329">
        <f>I2*J2</f>
        <v>180657738.375</v>
      </c>
    </row>
    <row r="3" spans="1:12" x14ac:dyDescent="0.35">
      <c r="A3" s="326">
        <v>703</v>
      </c>
      <c r="B3" s="327">
        <v>143.9</v>
      </c>
      <c r="C3">
        <v>15</v>
      </c>
      <c r="D3" s="212">
        <f t="shared" si="0"/>
        <v>1082520.2080000001</v>
      </c>
      <c r="E3" s="325">
        <v>1.0999999999999999E-2</v>
      </c>
      <c r="F3" s="329">
        <f t="shared" ref="F3:F23" si="1">B3*D3</f>
        <v>155774657.93120003</v>
      </c>
      <c r="H3" t="s">
        <v>251</v>
      </c>
      <c r="I3" s="327">
        <v>268.95</v>
      </c>
      <c r="J3" s="213">
        <f>J1+J1*K3</f>
        <v>1301018.75</v>
      </c>
      <c r="K3" s="328">
        <v>1.0500000000000001E-2</v>
      </c>
      <c r="L3" s="329">
        <f>I3*J3</f>
        <v>349908992.8125</v>
      </c>
    </row>
    <row r="4" spans="1:12" x14ac:dyDescent="0.35">
      <c r="A4" s="326">
        <v>803</v>
      </c>
      <c r="B4" s="327">
        <v>143.9</v>
      </c>
      <c r="C4">
        <v>19</v>
      </c>
      <c r="D4" s="212">
        <f t="shared" si="0"/>
        <v>1095510.450496</v>
      </c>
      <c r="F4" s="329">
        <f t="shared" si="1"/>
        <v>157643953.82637441</v>
      </c>
      <c r="J4" s="321">
        <f>AVERAGE(J2:J3)</f>
        <v>1301340.625</v>
      </c>
      <c r="L4" s="331">
        <f>SUM(L2:L3)</f>
        <v>530566731.1875</v>
      </c>
    </row>
    <row r="5" spans="1:12" x14ac:dyDescent="0.35">
      <c r="A5" s="326">
        <v>602</v>
      </c>
      <c r="B5" s="327">
        <v>143.96</v>
      </c>
      <c r="C5">
        <v>10</v>
      </c>
      <c r="D5" s="212">
        <f t="shared" si="0"/>
        <v>1108656.5759019521</v>
      </c>
      <c r="F5" s="329">
        <f t="shared" si="1"/>
        <v>159602200.66684502</v>
      </c>
    </row>
    <row r="6" spans="1:12" x14ac:dyDescent="0.35">
      <c r="A6" s="326">
        <v>702</v>
      </c>
      <c r="B6" s="327">
        <v>143.96</v>
      </c>
      <c r="C6">
        <v>14</v>
      </c>
      <c r="D6" s="212">
        <f t="shared" si="0"/>
        <v>1121960.4548127756</v>
      </c>
      <c r="F6" s="329">
        <f t="shared" si="1"/>
        <v>161517427.07484719</v>
      </c>
    </row>
    <row r="7" spans="1:12" x14ac:dyDescent="0.35">
      <c r="A7" s="326">
        <v>802</v>
      </c>
      <c r="B7" s="327">
        <v>143.96</v>
      </c>
      <c r="C7">
        <v>18</v>
      </c>
      <c r="D7" s="212">
        <f t="shared" si="0"/>
        <v>1135423.9802705289</v>
      </c>
      <c r="F7" s="329">
        <f t="shared" si="1"/>
        <v>163455636.19974536</v>
      </c>
    </row>
    <row r="8" spans="1:12" x14ac:dyDescent="0.35">
      <c r="A8" s="326">
        <v>202</v>
      </c>
      <c r="B8" s="327">
        <v>206.76</v>
      </c>
      <c r="C8">
        <v>2</v>
      </c>
      <c r="D8" s="212">
        <f>D1+$D$1*$E$2</f>
        <v>1069155.5</v>
      </c>
      <c r="F8" s="329">
        <f t="shared" si="1"/>
        <v>221058591.17999998</v>
      </c>
    </row>
    <row r="9" spans="1:12" x14ac:dyDescent="0.35">
      <c r="A9" s="326">
        <v>601</v>
      </c>
      <c r="B9" s="327">
        <v>218.81</v>
      </c>
      <c r="C9">
        <v>9</v>
      </c>
      <c r="D9" s="212">
        <f>D8+D8*$E$2</f>
        <v>1081450.78825</v>
      </c>
      <c r="F9" s="329">
        <f t="shared" si="1"/>
        <v>236632246.9769825</v>
      </c>
    </row>
    <row r="10" spans="1:12" x14ac:dyDescent="0.35">
      <c r="A10" s="326">
        <v>701</v>
      </c>
      <c r="B10" s="327">
        <v>218.81</v>
      </c>
      <c r="C10">
        <v>13</v>
      </c>
      <c r="D10" s="212">
        <f>D9+D9*$E$2</f>
        <v>1093887.4723148749</v>
      </c>
      <c r="F10" s="329">
        <f t="shared" si="1"/>
        <v>239353517.81721777</v>
      </c>
    </row>
    <row r="11" spans="1:12" x14ac:dyDescent="0.35">
      <c r="A11" s="326">
        <v>801</v>
      </c>
      <c r="B11" s="327">
        <v>218.81</v>
      </c>
      <c r="C11">
        <v>17</v>
      </c>
      <c r="D11" s="212">
        <f t="shared" ref="D11:D14" si="2">D10+D10*$E$2</f>
        <v>1106467.178246496</v>
      </c>
      <c r="F11" s="329">
        <f t="shared" si="1"/>
        <v>242106083.2721158</v>
      </c>
    </row>
    <row r="12" spans="1:12" x14ac:dyDescent="0.35">
      <c r="A12" s="326">
        <v>604</v>
      </c>
      <c r="B12" s="327">
        <v>221.38</v>
      </c>
      <c r="C12">
        <v>12</v>
      </c>
      <c r="D12" s="212">
        <f t="shared" si="2"/>
        <v>1119191.5507963307</v>
      </c>
      <c r="F12" s="329">
        <f t="shared" si="1"/>
        <v>247766625.51529169</v>
      </c>
    </row>
    <row r="13" spans="1:12" x14ac:dyDescent="0.35">
      <c r="A13" s="326">
        <v>704</v>
      </c>
      <c r="B13" s="327">
        <v>221.38</v>
      </c>
      <c r="C13">
        <v>16</v>
      </c>
      <c r="D13" s="212">
        <f t="shared" si="2"/>
        <v>1132062.2536304884</v>
      </c>
      <c r="F13" s="329">
        <f t="shared" si="1"/>
        <v>250615941.70871753</v>
      </c>
    </row>
    <row r="14" spans="1:12" x14ac:dyDescent="0.35">
      <c r="A14" s="326">
        <v>804</v>
      </c>
      <c r="B14" s="327">
        <v>221.38</v>
      </c>
      <c r="C14">
        <v>20</v>
      </c>
      <c r="D14" s="212">
        <f t="shared" si="2"/>
        <v>1145080.9695472391</v>
      </c>
      <c r="F14" s="329">
        <f t="shared" si="1"/>
        <v>253498025.03836781</v>
      </c>
    </row>
    <row r="15" spans="1:12" x14ac:dyDescent="0.35">
      <c r="A15" s="326">
        <v>201</v>
      </c>
      <c r="B15" s="327">
        <v>345.9</v>
      </c>
      <c r="C15">
        <v>1</v>
      </c>
      <c r="D15" s="213">
        <f>D1</f>
        <v>1057000</v>
      </c>
      <c r="F15" s="329">
        <f t="shared" si="1"/>
        <v>365616300</v>
      </c>
    </row>
    <row r="16" spans="1:12" x14ac:dyDescent="0.35">
      <c r="A16" s="326">
        <v>301</v>
      </c>
      <c r="B16" s="327">
        <v>363.47</v>
      </c>
      <c r="C16">
        <v>3</v>
      </c>
      <c r="D16" s="212">
        <f>D15+D15*$E$3</f>
        <v>1068627</v>
      </c>
      <c r="F16" s="329">
        <f t="shared" si="1"/>
        <v>388413855.69000006</v>
      </c>
    </row>
    <row r="17" spans="1:6" x14ac:dyDescent="0.35">
      <c r="A17" s="326">
        <v>401</v>
      </c>
      <c r="B17" s="327">
        <v>363.87</v>
      </c>
      <c r="C17">
        <v>5</v>
      </c>
      <c r="D17" s="212">
        <f t="shared" ref="D17:D21" si="3">D16+D16*$E$3</f>
        <v>1080381.8970000001</v>
      </c>
      <c r="F17" s="329">
        <f t="shared" si="1"/>
        <v>393118560.86139005</v>
      </c>
    </row>
    <row r="18" spans="1:6" x14ac:dyDescent="0.35">
      <c r="A18" s="326">
        <v>501</v>
      </c>
      <c r="B18" s="327">
        <v>366.11</v>
      </c>
      <c r="C18">
        <v>7</v>
      </c>
      <c r="D18" s="212">
        <f t="shared" si="3"/>
        <v>1092266.0978670001</v>
      </c>
      <c r="F18" s="329">
        <f t="shared" si="1"/>
        <v>399889541.09008741</v>
      </c>
    </row>
    <row r="19" spans="1:6" x14ac:dyDescent="0.35">
      <c r="A19" s="326">
        <v>302</v>
      </c>
      <c r="B19" s="327">
        <v>366.28</v>
      </c>
      <c r="C19">
        <v>4</v>
      </c>
      <c r="D19" s="212">
        <f t="shared" si="3"/>
        <v>1104281.0249435371</v>
      </c>
      <c r="F19" s="329">
        <f t="shared" si="1"/>
        <v>404476053.81631875</v>
      </c>
    </row>
    <row r="20" spans="1:6" x14ac:dyDescent="0.35">
      <c r="A20" s="326">
        <v>402</v>
      </c>
      <c r="B20" s="327">
        <v>366.28</v>
      </c>
      <c r="C20">
        <v>6</v>
      </c>
      <c r="D20" s="212">
        <f t="shared" si="3"/>
        <v>1116428.1162179159</v>
      </c>
      <c r="F20" s="329">
        <f t="shared" si="1"/>
        <v>408925290.40829819</v>
      </c>
    </row>
    <row r="21" spans="1:6" x14ac:dyDescent="0.35">
      <c r="A21" s="326">
        <v>502</v>
      </c>
      <c r="B21" s="327">
        <v>369.09</v>
      </c>
      <c r="C21">
        <v>8</v>
      </c>
      <c r="D21" s="212">
        <f t="shared" si="3"/>
        <v>1128708.8254963129</v>
      </c>
      <c r="F21" s="329">
        <f t="shared" si="1"/>
        <v>416595140.40243411</v>
      </c>
    </row>
    <row r="22" spans="1:6" x14ac:dyDescent="0.35">
      <c r="A22" s="326">
        <v>1001</v>
      </c>
      <c r="B22" s="327">
        <v>560.69000000000005</v>
      </c>
      <c r="C22">
        <v>22</v>
      </c>
      <c r="D22" s="212">
        <f>D1+D21*$E$3</f>
        <v>1069415.7970804595</v>
      </c>
      <c r="F22" s="329">
        <f t="shared" si="1"/>
        <v>599610743.2650429</v>
      </c>
    </row>
    <row r="23" spans="1:6" x14ac:dyDescent="0.35">
      <c r="A23" s="326">
        <v>901</v>
      </c>
      <c r="B23" s="327">
        <v>700.45</v>
      </c>
      <c r="C23">
        <v>21</v>
      </c>
      <c r="D23" s="212">
        <f>D1</f>
        <v>1057000</v>
      </c>
      <c r="F23" s="329">
        <f t="shared" si="1"/>
        <v>740375650</v>
      </c>
    </row>
    <row r="24" spans="1:6" x14ac:dyDescent="0.35">
      <c r="B24" s="321">
        <f>SUM(B2:B23)</f>
        <v>6193.05</v>
      </c>
      <c r="D24" s="321">
        <f>AVERAGE(D2:D23)</f>
        <v>1097052.7336759961</v>
      </c>
      <c r="F24" s="331">
        <f>SUM(F2:F23)</f>
        <v>6759973570.3412781</v>
      </c>
    </row>
    <row r="26" spans="1:6" x14ac:dyDescent="0.35">
      <c r="D26" s="213"/>
    </row>
    <row r="27" spans="1:6" x14ac:dyDescent="0.35">
      <c r="F27" s="329"/>
    </row>
  </sheetData>
  <autoFilter ref="A1:E24" xr:uid="{AD13561F-2078-4EFB-B523-22F5309B98C4}">
    <sortState xmlns:xlrd2="http://schemas.microsoft.com/office/spreadsheetml/2017/richdata2" ref="A2:E24">
      <sortCondition ref="B1:B24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718E-C2C7-47EC-8510-354AF47E0AB9}">
  <dimension ref="B1:I26"/>
  <sheetViews>
    <sheetView zoomScale="80" zoomScaleNormal="80" workbookViewId="0">
      <selection activeCell="F15" sqref="F15"/>
    </sheetView>
  </sheetViews>
  <sheetFormatPr defaultRowHeight="14.5" x14ac:dyDescent="0.35"/>
  <cols>
    <col min="2" max="2" width="35.36328125" bestFit="1" customWidth="1"/>
    <col min="3" max="3" width="11.6328125" customWidth="1"/>
    <col min="5" max="9" width="16.90625" customWidth="1"/>
  </cols>
  <sheetData>
    <row r="1" spans="2:9" x14ac:dyDescent="0.35">
      <c r="G1" s="176"/>
    </row>
    <row r="2" spans="2:9" x14ac:dyDescent="0.35">
      <c r="B2" s="175" t="s">
        <v>135</v>
      </c>
      <c r="C2" s="176"/>
      <c r="D2" s="176"/>
      <c r="E2" s="177" t="s">
        <v>136</v>
      </c>
      <c r="F2" s="178">
        <f>F5/F4</f>
        <v>1552427.1844660195</v>
      </c>
      <c r="G2" s="176"/>
      <c r="H2" s="176"/>
      <c r="I2" s="176"/>
    </row>
    <row r="3" spans="2:9" x14ac:dyDescent="0.35">
      <c r="B3" s="177" t="s">
        <v>137</v>
      </c>
      <c r="C3" s="176"/>
      <c r="D3" s="176"/>
      <c r="E3" s="177" t="s">
        <v>138</v>
      </c>
      <c r="F3" s="178">
        <f>'PnL все'!B39+'PnL все'!B73</f>
        <v>8146977608.6372395</v>
      </c>
      <c r="G3" s="176"/>
      <c r="H3" s="176"/>
      <c r="I3" s="176"/>
    </row>
    <row r="4" spans="2:9" x14ac:dyDescent="0.35">
      <c r="B4" s="177" t="s">
        <v>139</v>
      </c>
      <c r="C4" s="176"/>
      <c r="D4" s="176"/>
      <c r="E4" s="177" t="s">
        <v>140</v>
      </c>
      <c r="F4" s="178">
        <f>'PnL все'!B7</f>
        <v>6901</v>
      </c>
      <c r="G4" s="176"/>
      <c r="H4" s="176"/>
      <c r="I4" s="176"/>
    </row>
    <row r="5" spans="2:9" x14ac:dyDescent="0.35">
      <c r="B5" s="176"/>
      <c r="C5" s="176"/>
      <c r="D5" s="176"/>
      <c r="E5" s="179" t="s">
        <v>141</v>
      </c>
      <c r="F5" s="180">
        <f>'PnL все'!B34</f>
        <v>10713300000</v>
      </c>
      <c r="G5" s="176"/>
      <c r="H5" s="176"/>
      <c r="I5" s="176"/>
    </row>
    <row r="6" spans="2:9" x14ac:dyDescent="0.35">
      <c r="B6" s="176"/>
      <c r="C6" s="176"/>
      <c r="D6" s="176"/>
      <c r="E6" s="179" t="s">
        <v>142</v>
      </c>
      <c r="F6" s="180">
        <f>'PnL все'!B74</f>
        <v>2566322391.3627601</v>
      </c>
      <c r="G6" s="176"/>
      <c r="H6" s="176"/>
      <c r="I6" s="176"/>
    </row>
    <row r="7" spans="2:9" ht="15" thickBot="1" x14ac:dyDescent="0.4">
      <c r="B7" s="176"/>
      <c r="C7" s="176"/>
      <c r="D7" s="176"/>
      <c r="E7" s="176"/>
      <c r="F7" s="176"/>
      <c r="G7" s="176"/>
      <c r="H7" s="176"/>
      <c r="I7" s="176"/>
    </row>
    <row r="8" spans="2:9" ht="17.5" x14ac:dyDescent="0.35">
      <c r="B8" s="387" t="s">
        <v>143</v>
      </c>
      <c r="C8" s="388"/>
      <c r="D8" s="388"/>
      <c r="E8" s="388"/>
      <c r="F8" s="388"/>
      <c r="G8" s="388"/>
      <c r="H8" s="388"/>
      <c r="I8" s="389"/>
    </row>
    <row r="9" spans="2:9" ht="15" thickBot="1" x14ac:dyDescent="0.4">
      <c r="B9" s="390"/>
      <c r="C9" s="391"/>
      <c r="D9" s="391"/>
      <c r="E9" s="391"/>
      <c r="F9" s="391"/>
      <c r="G9" s="391"/>
      <c r="H9" s="391"/>
      <c r="I9" s="392"/>
    </row>
    <row r="10" spans="2:9" ht="15" thickBot="1" x14ac:dyDescent="0.4">
      <c r="B10" s="393" t="s">
        <v>144</v>
      </c>
      <c r="C10" s="394"/>
      <c r="D10" s="395"/>
      <c r="E10" s="402" t="s">
        <v>145</v>
      </c>
      <c r="F10" s="403"/>
      <c r="G10" s="403"/>
      <c r="H10" s="403"/>
      <c r="I10" s="404"/>
    </row>
    <row r="11" spans="2:9" ht="15" thickBot="1" x14ac:dyDescent="0.4">
      <c r="B11" s="396"/>
      <c r="C11" s="397"/>
      <c r="D11" s="398"/>
      <c r="E11" s="181">
        <f>F11*(1+E12)</f>
        <v>1009370.5050550412</v>
      </c>
      <c r="F11" s="181">
        <f>G11*(1+F12)</f>
        <v>1121522.7833944901</v>
      </c>
      <c r="G11" s="182">
        <f>F3/F4</f>
        <v>1180550.2983099897</v>
      </c>
      <c r="H11" s="181">
        <f>G11*(1+H12)</f>
        <v>1239577.8132254893</v>
      </c>
      <c r="I11" s="181">
        <f>G11*(1+I12)</f>
        <v>1298605.3281409887</v>
      </c>
    </row>
    <row r="12" spans="2:9" ht="15" thickBot="1" x14ac:dyDescent="0.4">
      <c r="B12" s="399"/>
      <c r="C12" s="400"/>
      <c r="D12" s="401"/>
      <c r="E12" s="183">
        <f>D13</f>
        <v>-0.1</v>
      </c>
      <c r="F12" s="183">
        <f>D14</f>
        <v>-0.05</v>
      </c>
      <c r="G12" s="183">
        <f>D15</f>
        <v>0</v>
      </c>
      <c r="H12" s="183">
        <f>D16</f>
        <v>0.05</v>
      </c>
      <c r="I12" s="183">
        <f>D17</f>
        <v>0.1</v>
      </c>
    </row>
    <row r="13" spans="2:9" ht="15" thickBot="1" x14ac:dyDescent="0.4">
      <c r="B13" s="405" t="s">
        <v>135</v>
      </c>
      <c r="C13" s="184">
        <f>C15*(1+D13)</f>
        <v>1397184.4660194176</v>
      </c>
      <c r="D13" s="183">
        <v>-0.1</v>
      </c>
      <c r="E13" s="185">
        <f t="shared" ref="E13:I17" si="0">$C13*$F$4-E$11*$F$4</f>
        <v>2676304144.6151628</v>
      </c>
      <c r="F13" s="185">
        <f t="shared" si="0"/>
        <v>1902341271.7946253</v>
      </c>
      <c r="G13" s="185">
        <f t="shared" si="0"/>
        <v>1494992391.3627625</v>
      </c>
      <c r="H13" s="185">
        <f t="shared" si="0"/>
        <v>1087643510.9308996</v>
      </c>
      <c r="I13" s="185">
        <f t="shared" si="0"/>
        <v>680294630.4990387</v>
      </c>
    </row>
    <row r="14" spans="2:9" ht="15" thickBot="1" x14ac:dyDescent="0.4">
      <c r="B14" s="406"/>
      <c r="C14" s="184">
        <f>C15*(1+D14)</f>
        <v>1474805.8252427184</v>
      </c>
      <c r="D14" s="183">
        <v>-0.05</v>
      </c>
      <c r="E14" s="185">
        <f t="shared" si="0"/>
        <v>3211969144.6151609</v>
      </c>
      <c r="F14" s="185">
        <f t="shared" si="0"/>
        <v>2438006271.7946234</v>
      </c>
      <c r="G14" s="185">
        <f t="shared" si="0"/>
        <v>2030657391.3627605</v>
      </c>
      <c r="H14" s="185">
        <f t="shared" si="0"/>
        <v>1623308510.9308977</v>
      </c>
      <c r="I14" s="185">
        <f t="shared" si="0"/>
        <v>1215959630.4990368</v>
      </c>
    </row>
    <row r="15" spans="2:9" ht="15" thickBot="1" x14ac:dyDescent="0.4">
      <c r="B15" s="406"/>
      <c r="C15" s="186">
        <f>VLOOKUP(B13,B2:F4,5,FALSE)</f>
        <v>1552427.1844660195</v>
      </c>
      <c r="D15" s="187">
        <v>0</v>
      </c>
      <c r="E15" s="185">
        <f t="shared" si="0"/>
        <v>3747634144.6151609</v>
      </c>
      <c r="F15" s="185">
        <f t="shared" si="0"/>
        <v>2973671271.7946234</v>
      </c>
      <c r="G15" s="185">
        <f>$C15*$F$4-G$11*$F$4</f>
        <v>2566322391.3627605</v>
      </c>
      <c r="H15" s="185">
        <f t="shared" si="0"/>
        <v>2158973510.9308977</v>
      </c>
      <c r="I15" s="185">
        <f t="shared" si="0"/>
        <v>1751624630.4990368</v>
      </c>
    </row>
    <row r="16" spans="2:9" ht="15" thickBot="1" x14ac:dyDescent="0.4">
      <c r="B16" s="296"/>
      <c r="C16" s="184">
        <f>C15*(1+D16)</f>
        <v>1630048.5436893206</v>
      </c>
      <c r="D16" s="183">
        <f>-D14</f>
        <v>0.05</v>
      </c>
      <c r="E16" s="185">
        <f t="shared" si="0"/>
        <v>4283299144.6151628</v>
      </c>
      <c r="F16" s="185">
        <f t="shared" si="0"/>
        <v>3509336271.7946253</v>
      </c>
      <c r="G16" s="185">
        <f t="shared" si="0"/>
        <v>3101987391.3627625</v>
      </c>
      <c r="H16" s="185">
        <f t="shared" si="0"/>
        <v>2694638510.9308996</v>
      </c>
      <c r="I16" s="185">
        <f t="shared" si="0"/>
        <v>2287289630.4990387</v>
      </c>
    </row>
    <row r="17" spans="2:9" ht="15" thickBot="1" x14ac:dyDescent="0.4">
      <c r="B17" s="297"/>
      <c r="C17" s="184">
        <f>C15*(1+D17)</f>
        <v>1707669.9029126216</v>
      </c>
      <c r="D17" s="183">
        <f>-D13</f>
        <v>0.1</v>
      </c>
      <c r="E17" s="185">
        <f t="shared" si="0"/>
        <v>4818964144.6151628</v>
      </c>
      <c r="F17" s="185">
        <f t="shared" si="0"/>
        <v>4045001271.7946253</v>
      </c>
      <c r="G17" s="185">
        <f t="shared" si="0"/>
        <v>3637652391.3627625</v>
      </c>
      <c r="H17" s="185">
        <f t="shared" si="0"/>
        <v>3230303510.9308996</v>
      </c>
      <c r="I17" s="185">
        <f t="shared" si="0"/>
        <v>2822954630.4990387</v>
      </c>
    </row>
    <row r="18" spans="2:9" ht="15" thickBot="1" x14ac:dyDescent="0.4">
      <c r="B18" s="188"/>
      <c r="C18" s="189"/>
      <c r="D18" s="189"/>
      <c r="E18" s="189"/>
      <c r="F18" s="189"/>
      <c r="G18" s="189"/>
      <c r="H18" s="189"/>
      <c r="I18" s="190"/>
    </row>
    <row r="19" spans="2:9" ht="15" thickBot="1" x14ac:dyDescent="0.4">
      <c r="B19" s="393" t="s">
        <v>146</v>
      </c>
      <c r="C19" s="394"/>
      <c r="D19" s="395"/>
      <c r="E19" s="402" t="s">
        <v>145</v>
      </c>
      <c r="F19" s="403"/>
      <c r="G19" s="403"/>
      <c r="H19" s="403"/>
      <c r="I19" s="404"/>
    </row>
    <row r="20" spans="2:9" ht="15" thickBot="1" x14ac:dyDescent="0.4">
      <c r="B20" s="396"/>
      <c r="C20" s="397"/>
      <c r="D20" s="398"/>
      <c r="E20" s="181">
        <f>E11</f>
        <v>1009370.5050550412</v>
      </c>
      <c r="F20" s="181">
        <f t="shared" ref="F20:I20" si="1">F11</f>
        <v>1121522.7833944901</v>
      </c>
      <c r="G20" s="181">
        <f t="shared" si="1"/>
        <v>1180550.2983099897</v>
      </c>
      <c r="H20" s="181">
        <f t="shared" si="1"/>
        <v>1239577.8132254893</v>
      </c>
      <c r="I20" s="181">
        <f t="shared" si="1"/>
        <v>1298605.3281409887</v>
      </c>
    </row>
    <row r="21" spans="2:9" ht="15" thickBot="1" x14ac:dyDescent="0.4">
      <c r="B21" s="399"/>
      <c r="C21" s="400"/>
      <c r="D21" s="401"/>
      <c r="E21" s="191">
        <f>E12</f>
        <v>-0.1</v>
      </c>
      <c r="F21" s="191">
        <f>F12</f>
        <v>-0.05</v>
      </c>
      <c r="G21" s="191">
        <f>G12</f>
        <v>0</v>
      </c>
      <c r="H21" s="191">
        <f>H12</f>
        <v>0.05</v>
      </c>
      <c r="I21" s="191">
        <f>I12</f>
        <v>0.1</v>
      </c>
    </row>
    <row r="22" spans="2:9" ht="15" thickBot="1" x14ac:dyDescent="0.4">
      <c r="B22" s="384" t="s">
        <v>147</v>
      </c>
      <c r="C22" s="192">
        <f>C13</f>
        <v>1397184.4660194176</v>
      </c>
      <c r="D22" s="193">
        <f>C22/$C$23</f>
        <v>0.94736842105263164</v>
      </c>
      <c r="E22" s="196">
        <f t="shared" ref="E22:I22" si="2">E13/$F$5</f>
        <v>0.2498113694767404</v>
      </c>
      <c r="F22" s="196">
        <f t="shared" si="2"/>
        <v>0.17756818830748933</v>
      </c>
      <c r="G22" s="196">
        <f t="shared" si="2"/>
        <v>0.13954546137630444</v>
      </c>
      <c r="H22" s="196">
        <f t="shared" si="2"/>
        <v>0.10152273444511958</v>
      </c>
      <c r="I22" s="196">
        <f t="shared" si="2"/>
        <v>6.3500007513934892E-2</v>
      </c>
    </row>
    <row r="23" spans="2:9" ht="15" thickBot="1" x14ac:dyDescent="0.4">
      <c r="B23" s="385"/>
      <c r="C23" s="192">
        <f>C14</f>
        <v>1474805.8252427184</v>
      </c>
      <c r="D23" s="193">
        <f>C23/$C$23</f>
        <v>1</v>
      </c>
      <c r="E23" s="196">
        <f t="shared" ref="E23:I23" si="3">E14/$F$5</f>
        <v>0.2998113694767402</v>
      </c>
      <c r="F23" s="196">
        <f t="shared" si="3"/>
        <v>0.22756818830748915</v>
      </c>
      <c r="G23" s="196">
        <f t="shared" si="3"/>
        <v>0.18954546137630426</v>
      </c>
      <c r="H23" s="196">
        <f t="shared" si="3"/>
        <v>0.15152273444511941</v>
      </c>
      <c r="I23" s="196">
        <f t="shared" si="3"/>
        <v>0.11350000751393471</v>
      </c>
    </row>
    <row r="24" spans="2:9" ht="15" thickBot="1" x14ac:dyDescent="0.4">
      <c r="B24" s="385"/>
      <c r="C24" s="194">
        <f>C15</f>
        <v>1552427.1844660195</v>
      </c>
      <c r="D24" s="195">
        <f>C24/$C$23</f>
        <v>1.0526315789473686</v>
      </c>
      <c r="E24" s="196">
        <f t="shared" ref="E24:F24" si="4">E15/$F$5</f>
        <v>0.34981136947674024</v>
      </c>
      <c r="F24" s="196">
        <f t="shared" si="4"/>
        <v>0.27756818830748914</v>
      </c>
      <c r="G24" s="196">
        <f>G15/$F$5</f>
        <v>0.23954546137630428</v>
      </c>
      <c r="H24" s="196">
        <f t="shared" ref="H24:I24" si="5">H15/$F$5</f>
        <v>0.20152273444511939</v>
      </c>
      <c r="I24" s="196">
        <f t="shared" si="5"/>
        <v>0.1635000075139347</v>
      </c>
    </row>
    <row r="25" spans="2:9" ht="15" thickBot="1" x14ac:dyDescent="0.4">
      <c r="B25" s="385"/>
      <c r="C25" s="192">
        <f>C16</f>
        <v>1630048.5436893206</v>
      </c>
      <c r="D25" s="193">
        <f>C25/$C$23</f>
        <v>1.1052631578947369</v>
      </c>
      <c r="E25" s="196">
        <f t="shared" ref="E25:I25" si="6">E16/$F$5</f>
        <v>0.3998113694767404</v>
      </c>
      <c r="F25" s="196">
        <f t="shared" si="6"/>
        <v>0.32756818830748929</v>
      </c>
      <c r="G25" s="196">
        <f t="shared" si="6"/>
        <v>0.28954546137630444</v>
      </c>
      <c r="H25" s="196">
        <f t="shared" si="6"/>
        <v>0.25152273444511958</v>
      </c>
      <c r="I25" s="196">
        <f t="shared" si="6"/>
        <v>0.21350000751393489</v>
      </c>
    </row>
    <row r="26" spans="2:9" ht="15" thickBot="1" x14ac:dyDescent="0.4">
      <c r="B26" s="386"/>
      <c r="C26" s="192">
        <f>C17</f>
        <v>1707669.9029126216</v>
      </c>
      <c r="D26" s="193">
        <f>C26/$C$23</f>
        <v>1.1578947368421055</v>
      </c>
      <c r="E26" s="196">
        <f t="shared" ref="E26:I26" si="7">E17/$F$5</f>
        <v>0.44981136947674039</v>
      </c>
      <c r="F26" s="196">
        <f t="shared" si="7"/>
        <v>0.37756818830748934</v>
      </c>
      <c r="G26" s="196">
        <f t="shared" si="7"/>
        <v>0.33954546137630442</v>
      </c>
      <c r="H26" s="196">
        <f t="shared" si="7"/>
        <v>0.30152273444511957</v>
      </c>
      <c r="I26" s="196">
        <f t="shared" si="7"/>
        <v>0.26350000751393488</v>
      </c>
    </row>
  </sheetData>
  <mergeCells count="8">
    <mergeCell ref="B22:B26"/>
    <mergeCell ref="B8:I8"/>
    <mergeCell ref="B9:I9"/>
    <mergeCell ref="B10:D12"/>
    <mergeCell ref="E10:I10"/>
    <mergeCell ref="B13:B15"/>
    <mergeCell ref="B19:D21"/>
    <mergeCell ref="E19:I19"/>
  </mergeCells>
  <conditionalFormatting sqref="E13:I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I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1">
    <dataValidation type="list" allowBlank="1" showInputMessage="1" showErrorMessage="1" sqref="B13" xr:uid="{DFE68FF2-6D41-4236-881F-F1202AB942A2}">
      <formula1>$B$1:$B$3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E991-D33B-41CF-A867-A2CF437A2864}">
  <sheetPr>
    <tabColor rgb="FF92D050"/>
  </sheetPr>
  <dimension ref="B3:L36"/>
  <sheetViews>
    <sheetView showGridLines="0" zoomScale="90" zoomScaleNormal="90" workbookViewId="0">
      <selection activeCell="F9" sqref="F9"/>
    </sheetView>
  </sheetViews>
  <sheetFormatPr defaultRowHeight="14.5" x14ac:dyDescent="0.35"/>
  <cols>
    <col min="1" max="1" width="2.6328125" customWidth="1"/>
    <col min="2" max="2" width="35" bestFit="1" customWidth="1"/>
    <col min="3" max="3" width="17.453125" bestFit="1" customWidth="1"/>
    <col min="5" max="5" width="44.08984375" bestFit="1" customWidth="1"/>
    <col min="6" max="6" width="17.453125" bestFit="1" customWidth="1"/>
    <col min="7" max="7" width="6" customWidth="1"/>
    <col min="8" max="8" width="29.08984375" customWidth="1"/>
    <col min="9" max="9" width="17.453125" customWidth="1"/>
    <col min="10" max="10" width="12.6328125" customWidth="1"/>
    <col min="11" max="11" width="29" customWidth="1"/>
    <col min="12" max="12" width="15" customWidth="1"/>
    <col min="14" max="14" width="13.453125" customWidth="1"/>
  </cols>
  <sheetData>
    <row r="3" spans="2:12" x14ac:dyDescent="0.35">
      <c r="B3" s="1" t="s">
        <v>0</v>
      </c>
      <c r="C3" s="2"/>
    </row>
    <row r="4" spans="2:12" x14ac:dyDescent="0.35">
      <c r="B4" t="s">
        <v>1</v>
      </c>
      <c r="C4" s="5" t="e">
        <f>'PnL (с перегор)'!B74</f>
        <v>#REF!</v>
      </c>
    </row>
    <row r="5" spans="2:12" x14ac:dyDescent="0.35">
      <c r="B5" t="s">
        <v>2</v>
      </c>
      <c r="C5" s="219">
        <f>'PnL все'!B75</f>
        <v>0.23954546137630423</v>
      </c>
    </row>
    <row r="6" spans="2:12" x14ac:dyDescent="0.35">
      <c r="B6" s="3" t="s">
        <v>3</v>
      </c>
      <c r="C6" s="219">
        <f>DCF!C44</f>
        <v>0</v>
      </c>
    </row>
    <row r="7" spans="2:12" x14ac:dyDescent="0.35">
      <c r="B7" s="3" t="s">
        <v>4</v>
      </c>
      <c r="C7" s="4">
        <f>DCF!C47*12</f>
        <v>0.20999999999999996</v>
      </c>
    </row>
    <row r="8" spans="2:12" x14ac:dyDescent="0.35">
      <c r="B8" s="3" t="s">
        <v>5</v>
      </c>
      <c r="C8" s="4">
        <f>DCF!C41*12</f>
        <v>181.70697276242902</v>
      </c>
    </row>
    <row r="9" spans="2:12" x14ac:dyDescent="0.35">
      <c r="B9" s="3" t="s">
        <v>6</v>
      </c>
      <c r="C9" s="5">
        <f>DCF!C42</f>
        <v>1877744404.3243635</v>
      </c>
    </row>
    <row r="10" spans="2:12" x14ac:dyDescent="0.35">
      <c r="B10" s="6" t="s">
        <v>7</v>
      </c>
      <c r="C10" s="5">
        <f>DCF!C37</f>
        <v>1</v>
      </c>
    </row>
    <row r="11" spans="2:12" x14ac:dyDescent="0.35">
      <c r="B11" s="6" t="s">
        <v>8</v>
      </c>
      <c r="C11" s="5">
        <f>DCF!C46</f>
        <v>1</v>
      </c>
    </row>
    <row r="14" spans="2:12" x14ac:dyDescent="0.35">
      <c r="B14" s="303" t="s">
        <v>9</v>
      </c>
      <c r="C14" s="304"/>
      <c r="D14" s="97"/>
      <c r="E14" s="97"/>
      <c r="F14" s="97"/>
      <c r="G14" s="97"/>
      <c r="H14" s="97"/>
      <c r="I14" s="97"/>
      <c r="J14" s="97"/>
      <c r="K14" s="97"/>
      <c r="L14" s="98"/>
    </row>
    <row r="15" spans="2:12" x14ac:dyDescent="0.35">
      <c r="B15" s="99" t="s">
        <v>10</v>
      </c>
      <c r="C15" s="6"/>
      <c r="E15" s="95" t="s">
        <v>11</v>
      </c>
      <c r="H15" s="100" t="s">
        <v>12</v>
      </c>
      <c r="K15" s="300" t="s">
        <v>227</v>
      </c>
      <c r="L15" s="306">
        <f>SUM(L16:L19)</f>
        <v>12968.197731999999</v>
      </c>
    </row>
    <row r="16" spans="2:12" ht="16" x14ac:dyDescent="0.4">
      <c r="B16" s="102" t="s">
        <v>13</v>
      </c>
      <c r="C16" s="301">
        <v>1.1062000000000001</v>
      </c>
      <c r="E16" s="6" t="s">
        <v>14</v>
      </c>
      <c r="F16" s="318">
        <v>650000</v>
      </c>
      <c r="G16" s="299"/>
      <c r="H16" s="6" t="s">
        <v>15</v>
      </c>
      <c r="I16" s="299">
        <v>285417.2485033219</v>
      </c>
      <c r="K16" s="302" t="s">
        <v>60</v>
      </c>
      <c r="L16" s="319">
        <f>11801.735625-720</f>
        <v>11081.735624999999</v>
      </c>
    </row>
    <row r="17" spans="2:12" ht="16" x14ac:dyDescent="0.4">
      <c r="B17" s="102" t="s">
        <v>16</v>
      </c>
      <c r="C17" s="301">
        <v>470.46</v>
      </c>
      <c r="E17" s="6" t="s">
        <v>17</v>
      </c>
      <c r="F17" s="299">
        <v>0</v>
      </c>
      <c r="G17" s="299"/>
      <c r="H17" s="6" t="s">
        <v>18</v>
      </c>
      <c r="I17" s="299">
        <v>22701.344645749559</v>
      </c>
      <c r="K17" s="302" t="s">
        <v>221</v>
      </c>
      <c r="L17" s="305">
        <v>0</v>
      </c>
    </row>
    <row r="18" spans="2:12" ht="16" x14ac:dyDescent="0.4">
      <c r="B18" s="102" t="s">
        <v>19</v>
      </c>
      <c r="C18" s="299">
        <v>25000</v>
      </c>
      <c r="E18" s="6" t="s">
        <v>20</v>
      </c>
      <c r="F18" s="299">
        <v>150000</v>
      </c>
      <c r="G18" s="299"/>
      <c r="H18" s="6" t="s">
        <v>21</v>
      </c>
      <c r="I18" s="307">
        <v>4.5499999999999999E-2</v>
      </c>
      <c r="K18" s="302" t="s">
        <v>222</v>
      </c>
      <c r="L18" s="305">
        <v>841.46210700000006</v>
      </c>
    </row>
    <row r="19" spans="2:12" ht="16" x14ac:dyDescent="0.4">
      <c r="B19" s="102" t="s">
        <v>22</v>
      </c>
      <c r="C19" s="299">
        <f>C16*100*C18*C17</f>
        <v>1301057130</v>
      </c>
      <c r="E19" s="6" t="s">
        <v>23</v>
      </c>
      <c r="F19" s="299">
        <v>6000000</v>
      </c>
      <c r="G19" s="299"/>
      <c r="H19" s="6" t="s">
        <v>24</v>
      </c>
      <c r="I19" s="308">
        <v>2.4E-2</v>
      </c>
      <c r="K19" s="302" t="s">
        <v>223</v>
      </c>
      <c r="L19" s="305">
        <f>L26*13.75</f>
        <v>1045</v>
      </c>
    </row>
    <row r="20" spans="2:12" x14ac:dyDescent="0.35">
      <c r="B20" s="105"/>
      <c r="H20" s="6" t="s">
        <v>31</v>
      </c>
      <c r="I20" s="299">
        <v>7902.8232290296073</v>
      </c>
    </row>
    <row r="21" spans="2:12" x14ac:dyDescent="0.35">
      <c r="B21" s="105"/>
      <c r="L21" s="101"/>
    </row>
    <row r="22" spans="2:12" x14ac:dyDescent="0.35">
      <c r="B22" s="99" t="s">
        <v>26</v>
      </c>
      <c r="E22" s="95" t="s">
        <v>27</v>
      </c>
      <c r="H22" s="95" t="s">
        <v>28</v>
      </c>
      <c r="K22" s="300" t="s">
        <v>228</v>
      </c>
      <c r="L22" s="306">
        <f>SUM(L23:L26)</f>
        <v>469</v>
      </c>
    </row>
    <row r="23" spans="2:12" ht="16" x14ac:dyDescent="0.4">
      <c r="B23" s="102" t="s">
        <v>29</v>
      </c>
      <c r="C23">
        <v>9</v>
      </c>
      <c r="E23" t="s">
        <v>30</v>
      </c>
      <c r="H23" s="6" t="s">
        <v>34</v>
      </c>
      <c r="I23" s="299">
        <f>'PnL все'!B70</f>
        <v>687711458.89655018</v>
      </c>
      <c r="K23" s="302" t="s">
        <v>60</v>
      </c>
      <c r="L23" s="305">
        <v>240</v>
      </c>
    </row>
    <row r="24" spans="2:12" ht="16" x14ac:dyDescent="0.4">
      <c r="B24" s="102" t="s">
        <v>32</v>
      </c>
      <c r="C24" s="197"/>
      <c r="E24" s="6" t="s">
        <v>33</v>
      </c>
      <c r="F24" s="299">
        <v>200000000</v>
      </c>
      <c r="G24" s="299"/>
      <c r="H24" s="6" t="s">
        <v>37</v>
      </c>
      <c r="I24" s="299">
        <f>'PnL все'!B73</f>
        <v>641580597.84069002</v>
      </c>
      <c r="K24" s="302" t="s">
        <v>221</v>
      </c>
      <c r="L24" s="305">
        <v>0</v>
      </c>
    </row>
    <row r="25" spans="2:12" ht="16" x14ac:dyDescent="0.4">
      <c r="B25" s="102" t="s">
        <v>35</v>
      </c>
      <c r="C25" s="197">
        <f>'PnL все'!B7</f>
        <v>6901</v>
      </c>
      <c r="E25" s="6" t="s">
        <v>36</v>
      </c>
      <c r="F25" s="299">
        <v>18</v>
      </c>
      <c r="G25" s="299"/>
      <c r="K25" s="302" t="s">
        <v>222</v>
      </c>
      <c r="L25" s="305">
        <v>153</v>
      </c>
    </row>
    <row r="26" spans="2:12" ht="16" x14ac:dyDescent="0.4">
      <c r="B26" s="102" t="s">
        <v>38</v>
      </c>
      <c r="C26" s="197">
        <f>C25</f>
        <v>6901</v>
      </c>
      <c r="E26" t="s">
        <v>39</v>
      </c>
      <c r="F26" s="299">
        <f>'PnL все'!B74</f>
        <v>2566322391.3627601</v>
      </c>
      <c r="G26" s="299"/>
      <c r="H26" s="299"/>
      <c r="I26" s="299"/>
      <c r="K26" s="302" t="s">
        <v>223</v>
      </c>
      <c r="L26" s="305">
        <v>76</v>
      </c>
    </row>
    <row r="27" spans="2:12" x14ac:dyDescent="0.35">
      <c r="B27" s="105"/>
      <c r="E27" t="s">
        <v>40</v>
      </c>
      <c r="F27" s="173">
        <v>46327</v>
      </c>
      <c r="G27" s="173"/>
      <c r="H27" s="173"/>
      <c r="I27" s="173"/>
      <c r="L27" s="101"/>
    </row>
    <row r="28" spans="2:12" x14ac:dyDescent="0.35">
      <c r="B28" s="102" t="s">
        <v>41</v>
      </c>
      <c r="C28">
        <v>16</v>
      </c>
      <c r="E28" t="s">
        <v>42</v>
      </c>
      <c r="F28">
        <v>21</v>
      </c>
      <c r="L28" s="101"/>
    </row>
    <row r="29" spans="2:12" x14ac:dyDescent="0.35">
      <c r="B29" s="102" t="s">
        <v>43</v>
      </c>
      <c r="C29" s="173">
        <v>46174</v>
      </c>
      <c r="E29" t="s">
        <v>44</v>
      </c>
      <c r="F29">
        <v>6</v>
      </c>
      <c r="L29" s="101"/>
    </row>
    <row r="30" spans="2:12" x14ac:dyDescent="0.35">
      <c r="B30" s="105"/>
      <c r="L30" s="101"/>
    </row>
    <row r="31" spans="2:12" x14ac:dyDescent="0.35"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10"/>
    </row>
    <row r="34" spans="2:5" x14ac:dyDescent="0.35">
      <c r="B34" s="6" t="s">
        <v>30</v>
      </c>
      <c r="C34" s="9">
        <v>0</v>
      </c>
    </row>
    <row r="35" spans="2:5" x14ac:dyDescent="0.35">
      <c r="B35" s="6" t="s">
        <v>45</v>
      </c>
      <c r="C35" s="8">
        <v>0.21</v>
      </c>
      <c r="E35" s="173"/>
    </row>
    <row r="36" spans="2:5" x14ac:dyDescent="0.35">
      <c r="B36" s="6" t="s">
        <v>46</v>
      </c>
      <c r="C36" s="8">
        <v>0.25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32BE-E9D1-4C57-ABC3-7F26644D8CF2}">
  <sheetPr>
    <tabColor rgb="FF92D050"/>
    <outlinePr summaryBelow="0"/>
  </sheetPr>
  <dimension ref="A1:G80"/>
  <sheetViews>
    <sheetView zoomScale="110" zoomScaleNormal="110" workbookViewId="0">
      <selection activeCell="C29" sqref="C29"/>
    </sheetView>
  </sheetViews>
  <sheetFormatPr defaultRowHeight="14.5" outlineLevelRow="1" x14ac:dyDescent="0.35"/>
  <cols>
    <col min="1" max="1" width="50.90625" customWidth="1"/>
    <col min="2" max="2" width="20.36328125" customWidth="1"/>
    <col min="3" max="3" width="21.08984375" customWidth="1"/>
    <col min="4" max="4" width="19.08984375" customWidth="1"/>
    <col min="5" max="5" width="17.453125" bestFit="1" customWidth="1"/>
    <col min="6" max="7" width="16.08984375" bestFit="1" customWidth="1"/>
    <col min="8" max="8" width="13.453125" bestFit="1" customWidth="1"/>
    <col min="9" max="9" width="12.36328125" bestFit="1" customWidth="1"/>
  </cols>
  <sheetData>
    <row r="1" spans="1:6" ht="15" thickBot="1" x14ac:dyDescent="0.4"/>
    <row r="2" spans="1:6" ht="15.5" x14ac:dyDescent="0.35">
      <c r="A2" s="39" t="s">
        <v>47</v>
      </c>
      <c r="B2" s="40" t="s">
        <v>48</v>
      </c>
      <c r="C2" s="41" t="s">
        <v>49</v>
      </c>
    </row>
    <row r="3" spans="1:6" ht="15.5" x14ac:dyDescent="0.35">
      <c r="A3" s="38" t="s">
        <v>50</v>
      </c>
      <c r="B3" s="407">
        <f>B48/B5/100/B4</f>
        <v>90000</v>
      </c>
      <c r="C3" s="408"/>
    </row>
    <row r="4" spans="1:6" ht="15.5" x14ac:dyDescent="0.35">
      <c r="A4" s="38" t="s">
        <v>51</v>
      </c>
      <c r="B4" s="407">
        <f>'Dashboard все'!C17</f>
        <v>500</v>
      </c>
      <c r="C4" s="408"/>
    </row>
    <row r="5" spans="1:6" ht="15.5" x14ac:dyDescent="0.35">
      <c r="A5" s="38" t="s">
        <v>52</v>
      </c>
      <c r="B5" s="409">
        <f>'Dashboard все'!C16</f>
        <v>0.15</v>
      </c>
      <c r="C5" s="410"/>
    </row>
    <row r="6" spans="1:6" ht="15.5" x14ac:dyDescent="0.35">
      <c r="A6" s="38" t="s">
        <v>29</v>
      </c>
      <c r="B6" s="407">
        <f>'Dashboard все'!C23</f>
        <v>10</v>
      </c>
      <c r="C6" s="408"/>
    </row>
    <row r="7" spans="1:6" ht="15.5" collapsed="1" x14ac:dyDescent="0.35">
      <c r="A7" s="10" t="s">
        <v>54</v>
      </c>
      <c r="B7" s="11">
        <f>SUM(B8:B11)</f>
        <v>17982.735625000001</v>
      </c>
      <c r="C7" s="11">
        <f>B7</f>
        <v>17982.735625000001</v>
      </c>
    </row>
    <row r="8" spans="1:6" ht="15.5" hidden="1" outlineLevel="1" x14ac:dyDescent="0.35">
      <c r="A8" s="12" t="s">
        <v>55</v>
      </c>
      <c r="B8" s="13">
        <f>'Dashboard (с перегор)'!L16</f>
        <v>11081.735624999999</v>
      </c>
      <c r="C8" s="13">
        <f>B8</f>
        <v>11081.735624999999</v>
      </c>
    </row>
    <row r="9" spans="1:6" ht="15.5" hidden="1" outlineLevel="1" x14ac:dyDescent="0.35">
      <c r="A9" s="12" t="s">
        <v>57</v>
      </c>
      <c r="B9" s="13">
        <f>'Dashboard все'!L17</f>
        <v>6232</v>
      </c>
      <c r="C9" s="13">
        <f t="shared" ref="C9:C11" si="0">B9</f>
        <v>6232</v>
      </c>
      <c r="E9" s="197"/>
      <c r="F9" s="214"/>
    </row>
    <row r="10" spans="1:6" ht="15.5" hidden="1" outlineLevel="1" x14ac:dyDescent="0.35">
      <c r="A10" s="12" t="s">
        <v>56</v>
      </c>
      <c r="B10" s="13">
        <f>'Dashboard все'!L18</f>
        <v>253</v>
      </c>
      <c r="C10" s="13">
        <f t="shared" si="0"/>
        <v>253</v>
      </c>
    </row>
    <row r="11" spans="1:6" ht="15.5" hidden="1" outlineLevel="1" x14ac:dyDescent="0.35">
      <c r="A11" s="12" t="s">
        <v>58</v>
      </c>
      <c r="B11" s="13">
        <f>'Dashboard все'!L19</f>
        <v>416</v>
      </c>
      <c r="C11" s="13">
        <f t="shared" si="0"/>
        <v>416</v>
      </c>
      <c r="E11" s="218"/>
    </row>
    <row r="12" spans="1:6" ht="15.5" collapsed="1" x14ac:dyDescent="0.35">
      <c r="A12" s="10" t="s">
        <v>59</v>
      </c>
      <c r="B12" s="11">
        <f>SUM(B13:B16)</f>
        <v>50</v>
      </c>
      <c r="C12" s="11">
        <f>B12</f>
        <v>50</v>
      </c>
    </row>
    <row r="13" spans="1:6" ht="15.5" hidden="1" outlineLevel="1" x14ac:dyDescent="0.35">
      <c r="A13" s="12" t="s">
        <v>55</v>
      </c>
      <c r="B13" s="13">
        <f>'Dashboard все'!L23</f>
        <v>0</v>
      </c>
      <c r="C13" s="13">
        <f t="shared" ref="C13:C16" si="1">B13</f>
        <v>0</v>
      </c>
      <c r="E13" s="218"/>
    </row>
    <row r="14" spans="1:6" ht="15.5" hidden="1" outlineLevel="1" x14ac:dyDescent="0.35">
      <c r="A14" s="12" t="s">
        <v>57</v>
      </c>
      <c r="B14" s="13">
        <f>'Dashboard все'!L24</f>
        <v>22</v>
      </c>
      <c r="C14" s="13">
        <f t="shared" si="1"/>
        <v>22</v>
      </c>
    </row>
    <row r="15" spans="1:6" ht="15.5" hidden="1" outlineLevel="1" x14ac:dyDescent="0.35">
      <c r="A15" s="12" t="s">
        <v>56</v>
      </c>
      <c r="B15" s="13">
        <f>'Dashboard все'!L25</f>
        <v>2</v>
      </c>
      <c r="C15" s="13">
        <f t="shared" si="1"/>
        <v>2</v>
      </c>
    </row>
    <row r="16" spans="1:6" ht="15.5" hidden="1" outlineLevel="1" x14ac:dyDescent="0.35">
      <c r="A16" s="12" t="s">
        <v>58</v>
      </c>
      <c r="B16" s="13">
        <f>'Dashboard все'!L26</f>
        <v>26</v>
      </c>
      <c r="C16" s="13">
        <f t="shared" si="1"/>
        <v>26</v>
      </c>
      <c r="E16" s="212"/>
    </row>
    <row r="17" spans="1:5" ht="15.5" x14ac:dyDescent="0.35">
      <c r="A17" s="10" t="s">
        <v>61</v>
      </c>
      <c r="B17" s="11">
        <f>B34/B7</f>
        <v>411343.31897569669</v>
      </c>
      <c r="C17" s="11">
        <f>C34/C7</f>
        <v>822.68663795139344</v>
      </c>
      <c r="E17" s="213"/>
    </row>
    <row r="18" spans="1:5" ht="15.5" outlineLevel="1" x14ac:dyDescent="0.35">
      <c r="A18" s="12" t="s">
        <v>55</v>
      </c>
      <c r="B18" s="15">
        <f>'Dashboard (с перегор)'!F16</f>
        <v>650000</v>
      </c>
      <c r="C18" s="15">
        <f>B18/$B$4</f>
        <v>1300</v>
      </c>
    </row>
    <row r="19" spans="1:5" ht="15.5" outlineLevel="1" x14ac:dyDescent="0.35">
      <c r="A19" s="12" t="s">
        <v>57</v>
      </c>
      <c r="B19" s="15">
        <f>'Dashboard (с перегор)'!F17</f>
        <v>0</v>
      </c>
      <c r="C19" s="15">
        <f t="shared" ref="C19:C21" si="2">B19/$B$4</f>
        <v>0</v>
      </c>
      <c r="E19" s="215"/>
    </row>
    <row r="20" spans="1:5" ht="15.5" outlineLevel="1" x14ac:dyDescent="0.35">
      <c r="A20" s="12" t="s">
        <v>56</v>
      </c>
      <c r="B20" s="15">
        <f>'Dashboard (с перегор)'!F18</f>
        <v>150000</v>
      </c>
      <c r="C20" s="15">
        <f t="shared" si="2"/>
        <v>300</v>
      </c>
      <c r="D20" s="212"/>
      <c r="E20" s="215"/>
    </row>
    <row r="21" spans="1:5" ht="15.5" outlineLevel="1" x14ac:dyDescent="0.35">
      <c r="A21" s="12" t="s">
        <v>58</v>
      </c>
      <c r="B21" s="15">
        <f>'Dashboard (с перегор)'!F19</f>
        <v>6000000</v>
      </c>
      <c r="C21" s="15">
        <f t="shared" si="2"/>
        <v>12000</v>
      </c>
      <c r="E21" s="215"/>
    </row>
    <row r="22" spans="1:5" ht="15.5" collapsed="1" x14ac:dyDescent="0.35">
      <c r="A22" s="16" t="s">
        <v>63</v>
      </c>
      <c r="B22" s="17">
        <f>(B41+B42+B43+B44)/(B8+B9+B10+B11)</f>
        <v>692590.50646366877</v>
      </c>
      <c r="C22" s="11">
        <f>B22/$B$4</f>
        <v>1385.1810129273376</v>
      </c>
      <c r="D22" s="212"/>
    </row>
    <row r="23" spans="1:5" ht="15.5" hidden="1" outlineLevel="1" x14ac:dyDescent="0.35">
      <c r="A23" s="12" t="s">
        <v>55</v>
      </c>
      <c r="B23" s="20">
        <f>'Dashboard все'!I16</f>
        <v>665927.82060570933</v>
      </c>
      <c r="C23" s="15">
        <f t="shared" ref="C23:C38" si="3">B23/$B$4</f>
        <v>1331.8556412114187</v>
      </c>
    </row>
    <row r="24" spans="1:5" ht="15.5" hidden="1" outlineLevel="1" x14ac:dyDescent="0.35">
      <c r="A24" s="12" t="s">
        <v>57</v>
      </c>
      <c r="B24" s="20">
        <v>0</v>
      </c>
      <c r="C24" s="15">
        <f t="shared" si="3"/>
        <v>0</v>
      </c>
    </row>
    <row r="25" spans="1:5" ht="15.5" hidden="1" outlineLevel="1" x14ac:dyDescent="0.35">
      <c r="A25" s="12" t="s">
        <v>56</v>
      </c>
      <c r="B25" s="20">
        <v>0</v>
      </c>
      <c r="C25" s="15">
        <f t="shared" si="3"/>
        <v>0</v>
      </c>
    </row>
    <row r="26" spans="1:5" ht="15.5" hidden="1" outlineLevel="1" x14ac:dyDescent="0.35">
      <c r="A26" s="12" t="s">
        <v>58</v>
      </c>
      <c r="B26" s="19"/>
      <c r="C26" s="15">
        <f>B26/$B$4</f>
        <v>0</v>
      </c>
    </row>
    <row r="27" spans="1:5" ht="31" x14ac:dyDescent="0.35">
      <c r="A27" s="10" t="s">
        <v>64</v>
      </c>
      <c r="B27" s="11">
        <f>SUM(B28:B33)</f>
        <v>862752.55267807562</v>
      </c>
      <c r="C27" s="11">
        <f>B27/$B$4</f>
        <v>1725.5051053561513</v>
      </c>
    </row>
    <row r="28" spans="1:5" ht="15.5" outlineLevel="1" x14ac:dyDescent="0.35">
      <c r="A28" s="21" t="s">
        <v>65</v>
      </c>
      <c r="B28" s="22">
        <f>B40/(B8+B9+B10+B11)</f>
        <v>692590.50646366877</v>
      </c>
      <c r="C28" s="15">
        <f>B28/$B$4</f>
        <v>1385.1810129273376</v>
      </c>
    </row>
    <row r="29" spans="1:5" ht="15.5" outlineLevel="1" x14ac:dyDescent="0.35">
      <c r="A29" s="21" t="s">
        <v>66</v>
      </c>
      <c r="B29" s="22">
        <f>B48/B7</f>
        <v>37536.001978564367</v>
      </c>
      <c r="C29" s="15">
        <f t="shared" si="3"/>
        <v>75.072003957128729</v>
      </c>
    </row>
    <row r="30" spans="1:5" ht="15.5" outlineLevel="1" x14ac:dyDescent="0.35">
      <c r="A30" s="21" t="s">
        <v>67</v>
      </c>
      <c r="B30" s="22">
        <f>B50/B7</f>
        <v>29712.566544173176</v>
      </c>
      <c r="C30" s="15">
        <f t="shared" si="3"/>
        <v>59.42513308834635</v>
      </c>
    </row>
    <row r="31" spans="1:5" ht="15.5" outlineLevel="1" x14ac:dyDescent="0.35">
      <c r="A31" s="21" t="s">
        <v>18</v>
      </c>
      <c r="B31" s="22">
        <f>B52/B7</f>
        <v>102913.47769166937</v>
      </c>
      <c r="C31" s="15">
        <f t="shared" si="3"/>
        <v>205.82695538333874</v>
      </c>
    </row>
    <row r="32" spans="1:5" ht="15.5" outlineLevel="1" x14ac:dyDescent="0.35">
      <c r="A32" s="21" t="s">
        <v>68</v>
      </c>
      <c r="B32" s="22">
        <v>0</v>
      </c>
      <c r="C32" s="15">
        <f t="shared" si="3"/>
        <v>0</v>
      </c>
    </row>
    <row r="33" spans="1:7" ht="15.5" outlineLevel="1" x14ac:dyDescent="0.35">
      <c r="A33" s="21" t="s">
        <v>69</v>
      </c>
      <c r="B33" s="22">
        <v>0</v>
      </c>
      <c r="C33" s="15">
        <f t="shared" si="3"/>
        <v>0</v>
      </c>
    </row>
    <row r="34" spans="1:7" ht="15.5" collapsed="1" x14ac:dyDescent="0.35">
      <c r="A34" s="33" t="s">
        <v>70</v>
      </c>
      <c r="B34" s="34">
        <f>SUM(B35:B38)</f>
        <v>7397078156.25</v>
      </c>
      <c r="C34" s="34">
        <f>B34/B4</f>
        <v>14794156.3125</v>
      </c>
      <c r="D34" s="212"/>
      <c r="E34" s="212"/>
    </row>
    <row r="35" spans="1:7" ht="15.5" hidden="1" outlineLevel="1" x14ac:dyDescent="0.35">
      <c r="A35" s="12" t="s">
        <v>55</v>
      </c>
      <c r="B35" s="15">
        <f>(B8*B18)</f>
        <v>7203128156.25</v>
      </c>
      <c r="C35" s="15">
        <f t="shared" si="3"/>
        <v>14406256.3125</v>
      </c>
      <c r="E35" s="197"/>
    </row>
    <row r="36" spans="1:7" ht="15.5" hidden="1" outlineLevel="1" x14ac:dyDescent="0.35">
      <c r="A36" s="12" t="s">
        <v>57</v>
      </c>
      <c r="B36" s="15">
        <f>(B9*B19)</f>
        <v>0</v>
      </c>
      <c r="C36" s="15">
        <f t="shared" si="3"/>
        <v>0</v>
      </c>
    </row>
    <row r="37" spans="1:7" ht="15.5" hidden="1" outlineLevel="1" x14ac:dyDescent="0.35">
      <c r="A37" s="12" t="s">
        <v>56</v>
      </c>
      <c r="B37" s="15">
        <f>(B10*B20)</f>
        <v>37950000</v>
      </c>
      <c r="C37" s="15">
        <f t="shared" si="3"/>
        <v>75900</v>
      </c>
    </row>
    <row r="38" spans="1:7" ht="15.5" hidden="1" outlineLevel="1" x14ac:dyDescent="0.35">
      <c r="A38" s="12" t="s">
        <v>58</v>
      </c>
      <c r="B38" s="15">
        <f>(B16*B21)</f>
        <v>156000000</v>
      </c>
      <c r="C38" s="15">
        <f t="shared" si="3"/>
        <v>312000</v>
      </c>
    </row>
    <row r="39" spans="1:7" ht="15.5" x14ac:dyDescent="0.35">
      <c r="A39" s="23" t="s">
        <v>71</v>
      </c>
      <c r="B39" s="11" t="e">
        <f>B40+B48+B50+B52+B62+B66+B68+B70</f>
        <v>#REF!</v>
      </c>
      <c r="C39" s="11" t="e">
        <f>B39/$B$4</f>
        <v>#REF!</v>
      </c>
      <c r="D39" s="197"/>
      <c r="E39" s="213"/>
    </row>
    <row r="40" spans="1:7" ht="15.5" collapsed="1" x14ac:dyDescent="0.35">
      <c r="A40" s="24" t="s">
        <v>72</v>
      </c>
      <c r="B40" s="25">
        <f>SUM(B41:B47)</f>
        <v>12454671974.12101</v>
      </c>
      <c r="C40" s="11">
        <f>B40/$B$4</f>
        <v>24909343.94824202</v>
      </c>
      <c r="E40" s="209"/>
    </row>
    <row r="41" spans="1:7" ht="15.5" hidden="1" outlineLevel="1" x14ac:dyDescent="0.35">
      <c r="A41" s="32" t="s">
        <v>224</v>
      </c>
      <c r="B41" s="15">
        <f>(B7+720)*'Dashboard все'!I16</f>
        <v>12454671974.12101</v>
      </c>
      <c r="C41" s="15"/>
    </row>
    <row r="42" spans="1:7" ht="31" hidden="1" outlineLevel="1" x14ac:dyDescent="0.35">
      <c r="A42" s="32" t="s">
        <v>73</v>
      </c>
      <c r="B42" s="15">
        <f>B25*B7</f>
        <v>0</v>
      </c>
      <c r="C42" s="15">
        <f>B42/$B$4</f>
        <v>0</v>
      </c>
    </row>
    <row r="43" spans="1:7" ht="15.5" hidden="1" outlineLevel="1" x14ac:dyDescent="0.35">
      <c r="A43" s="32" t="s">
        <v>74</v>
      </c>
      <c r="B43" s="15"/>
      <c r="C43" s="15"/>
    </row>
    <row r="44" spans="1:7" ht="15.5" hidden="1" outlineLevel="1" x14ac:dyDescent="0.35">
      <c r="A44" s="32" t="s">
        <v>75</v>
      </c>
      <c r="B44" s="15"/>
      <c r="C44" s="15"/>
    </row>
    <row r="45" spans="1:7" ht="15.5" hidden="1" outlineLevel="1" x14ac:dyDescent="0.35">
      <c r="A45" s="32" t="s">
        <v>76</v>
      </c>
      <c r="B45" s="15"/>
      <c r="C45" s="15"/>
      <c r="G45" s="197"/>
    </row>
    <row r="46" spans="1:7" ht="15.5" hidden="1" outlineLevel="1" x14ac:dyDescent="0.35">
      <c r="A46" s="32" t="s">
        <v>77</v>
      </c>
      <c r="B46" s="15"/>
      <c r="C46" s="15"/>
      <c r="E46" s="212"/>
    </row>
    <row r="47" spans="1:7" ht="15.5" hidden="1" outlineLevel="1" x14ac:dyDescent="0.35">
      <c r="A47" s="32" t="s">
        <v>78</v>
      </c>
      <c r="B47" s="15"/>
      <c r="C47" s="15"/>
      <c r="E47" s="213"/>
    </row>
    <row r="48" spans="1:7" ht="15.5" collapsed="1" x14ac:dyDescent="0.35">
      <c r="A48" s="24" t="s">
        <v>79</v>
      </c>
      <c r="B48" s="25">
        <f>B49</f>
        <v>675000000</v>
      </c>
      <c r="C48" s="25">
        <f>B48/$B$4</f>
        <v>1350000</v>
      </c>
      <c r="E48" s="213"/>
    </row>
    <row r="49" spans="1:7" ht="15.5" hidden="1" outlineLevel="1" x14ac:dyDescent="0.35">
      <c r="A49" s="32" t="s">
        <v>66</v>
      </c>
      <c r="B49" s="15">
        <f>'Dashboard все'!C19</f>
        <v>675000000</v>
      </c>
      <c r="C49" s="15">
        <f>B49/$B$4</f>
        <v>1350000</v>
      </c>
    </row>
    <row r="50" spans="1:7" ht="15.5" collapsed="1" x14ac:dyDescent="0.35">
      <c r="A50" s="24" t="s">
        <v>80</v>
      </c>
      <c r="B50" s="25">
        <f>SUM(B51:B51)</f>
        <v>534313228.90408617</v>
      </c>
      <c r="C50" s="25">
        <f>B50/$B$4</f>
        <v>1068626.4578081723</v>
      </c>
      <c r="E50" s="212"/>
      <c r="F50" s="213"/>
    </row>
    <row r="51" spans="1:7" ht="15.5" hidden="1" outlineLevel="1" x14ac:dyDescent="0.35">
      <c r="A51" s="32" t="s">
        <v>81</v>
      </c>
      <c r="B51" s="15">
        <f>(B7+720)*'Dashboard все'!I20</f>
        <v>534313228.90408617</v>
      </c>
      <c r="C51" s="15">
        <f>C42*0.016</f>
        <v>0</v>
      </c>
      <c r="D51" s="197"/>
    </row>
    <row r="52" spans="1:7" ht="15.5" x14ac:dyDescent="0.35">
      <c r="A52" s="24" t="s">
        <v>82</v>
      </c>
      <c r="B52" s="25">
        <f>SUM(B53:B61)</f>
        <v>1850665861.5786257</v>
      </c>
      <c r="C52" s="25">
        <f>B52/$B$4</f>
        <v>3701331.7231572513</v>
      </c>
      <c r="E52" s="213"/>
      <c r="F52" s="213"/>
    </row>
    <row r="53" spans="1:7" ht="15.5" outlineLevel="1" x14ac:dyDescent="0.35">
      <c r="A53" s="32" t="s">
        <v>83</v>
      </c>
      <c r="B53" s="15">
        <f>'Dashboard все'!I17*('PnL (с перегор)'!B7+720)</f>
        <v>1212022209.9780407</v>
      </c>
      <c r="C53" s="15">
        <f t="shared" ref="C53:C61" si="4">B53/$B$4</f>
        <v>2424044.4199560815</v>
      </c>
      <c r="D53" s="197"/>
      <c r="E53" s="209"/>
      <c r="F53" s="210"/>
      <c r="G53" s="210"/>
    </row>
    <row r="54" spans="1:7" ht="15.5" outlineLevel="1" x14ac:dyDescent="0.35">
      <c r="A54" s="32" t="s">
        <v>84</v>
      </c>
      <c r="B54" s="293">
        <f>B40*1%</f>
        <v>124546719.7412101</v>
      </c>
      <c r="C54" s="15">
        <f t="shared" si="4"/>
        <v>249093.43948242022</v>
      </c>
      <c r="E54" s="212"/>
      <c r="F54" s="213"/>
    </row>
    <row r="55" spans="1:7" ht="15.5" outlineLevel="1" x14ac:dyDescent="0.35">
      <c r="A55" s="32" t="s">
        <v>85</v>
      </c>
      <c r="B55" s="15">
        <v>0</v>
      </c>
      <c r="C55" s="15">
        <f t="shared" si="4"/>
        <v>0</v>
      </c>
      <c r="E55" s="211"/>
    </row>
    <row r="56" spans="1:7" ht="15.5" outlineLevel="1" x14ac:dyDescent="0.35">
      <c r="A56" s="32" t="s">
        <v>86</v>
      </c>
      <c r="B56" s="15">
        <v>0</v>
      </c>
      <c r="C56" s="15">
        <f t="shared" si="4"/>
        <v>0</v>
      </c>
    </row>
    <row r="57" spans="1:7" ht="15.5" outlineLevel="1" x14ac:dyDescent="0.35">
      <c r="A57" s="32" t="s">
        <v>87</v>
      </c>
      <c r="B57" s="15">
        <v>0</v>
      </c>
      <c r="C57" s="15">
        <f t="shared" si="4"/>
        <v>0</v>
      </c>
    </row>
    <row r="58" spans="1:7" ht="15.5" outlineLevel="1" x14ac:dyDescent="0.35">
      <c r="A58" s="32" t="s">
        <v>88</v>
      </c>
      <c r="B58" s="293">
        <f>B34*'Dashboard все'!I19</f>
        <v>177529875.75</v>
      </c>
      <c r="C58" s="15">
        <f t="shared" si="4"/>
        <v>355059.75150000001</v>
      </c>
    </row>
    <row r="59" spans="1:7" ht="15.5" outlineLevel="1" x14ac:dyDescent="0.35">
      <c r="A59" s="32" t="s">
        <v>89</v>
      </c>
      <c r="B59" s="15">
        <v>0</v>
      </c>
      <c r="C59" s="15">
        <f t="shared" si="4"/>
        <v>0</v>
      </c>
    </row>
    <row r="60" spans="1:7" ht="15.5" outlineLevel="1" x14ac:dyDescent="0.35">
      <c r="A60" s="32" t="s">
        <v>90</v>
      </c>
      <c r="B60" s="15">
        <f>B35*5%*30%*0</f>
        <v>0</v>
      </c>
      <c r="C60" s="15">
        <f t="shared" si="4"/>
        <v>0</v>
      </c>
    </row>
    <row r="61" spans="1:7" ht="15.5" outlineLevel="1" x14ac:dyDescent="0.35">
      <c r="A61" s="32" t="s">
        <v>225</v>
      </c>
      <c r="B61" s="293">
        <f>B34*'Dashboard все'!I18</f>
        <v>336567056.109375</v>
      </c>
      <c r="C61" s="15">
        <f t="shared" si="4"/>
        <v>673134.11221874994</v>
      </c>
    </row>
    <row r="62" spans="1:7" ht="15.5" collapsed="1" x14ac:dyDescent="0.35">
      <c r="A62" s="24" t="s">
        <v>92</v>
      </c>
      <c r="B62" s="25">
        <f>SUM(B63:B65)</f>
        <v>0</v>
      </c>
      <c r="C62" s="25">
        <f>B62/$B$4</f>
        <v>0</v>
      </c>
      <c r="E62" s="213"/>
    </row>
    <row r="63" spans="1:7" ht="15.5" hidden="1" outlineLevel="1" x14ac:dyDescent="0.35">
      <c r="A63" s="32" t="s">
        <v>93</v>
      </c>
      <c r="B63" s="15">
        <v>0</v>
      </c>
      <c r="C63" s="15">
        <f>B63/$B$4</f>
        <v>0</v>
      </c>
    </row>
    <row r="64" spans="1:7" ht="15.5" hidden="1" outlineLevel="1" x14ac:dyDescent="0.35">
      <c r="A64" s="32" t="s">
        <v>94</v>
      </c>
      <c r="B64" s="15">
        <v>0</v>
      </c>
      <c r="C64" s="15">
        <f t="shared" ref="C64:C65" si="5">B64/$B$4</f>
        <v>0</v>
      </c>
    </row>
    <row r="65" spans="1:5" ht="15.5" hidden="1" outlineLevel="1" x14ac:dyDescent="0.35">
      <c r="A65" s="32" t="s">
        <v>95</v>
      </c>
      <c r="B65" s="15">
        <v>0</v>
      </c>
      <c r="C65" s="15">
        <f t="shared" si="5"/>
        <v>0</v>
      </c>
    </row>
    <row r="66" spans="1:5" ht="15.5" collapsed="1" x14ac:dyDescent="0.35">
      <c r="A66" s="24" t="s">
        <v>69</v>
      </c>
      <c r="B66" s="25">
        <f>SUM(B67:B67)</f>
        <v>112218750</v>
      </c>
      <c r="C66" s="25">
        <f>B66/$B$4</f>
        <v>224437.5</v>
      </c>
    </row>
    <row r="67" spans="1:5" ht="19.25" hidden="1" customHeight="1" outlineLevel="1" x14ac:dyDescent="0.35">
      <c r="A67" s="18" t="s">
        <v>69</v>
      </c>
      <c r="B67" s="13">
        <f>Credit!D8</f>
        <v>112218750</v>
      </c>
      <c r="C67" s="15">
        <f>B67/$B$4</f>
        <v>224437.5</v>
      </c>
    </row>
    <row r="68" spans="1:5" ht="15.5" hidden="1" collapsed="1" x14ac:dyDescent="0.35">
      <c r="A68" s="23" t="s">
        <v>96</v>
      </c>
      <c r="B68" s="11">
        <f>SUM(B69:B69)</f>
        <v>0</v>
      </c>
      <c r="C68" s="25">
        <f>B68/$B$4</f>
        <v>0</v>
      </c>
    </row>
    <row r="69" spans="1:5" ht="15.5" hidden="1" outlineLevel="1" x14ac:dyDescent="0.35">
      <c r="A69" s="26" t="s">
        <v>96</v>
      </c>
      <c r="B69" s="15"/>
      <c r="C69" s="27"/>
    </row>
    <row r="70" spans="1:5" ht="15.65" customHeight="1" collapsed="1" x14ac:dyDescent="0.35">
      <c r="A70" s="23" t="s">
        <v>34</v>
      </c>
      <c r="B70" s="25" t="e">
        <f>SUM(B71:B71)</f>
        <v>#REF!</v>
      </c>
      <c r="C70" s="25" t="e">
        <f>B70/$B$4</f>
        <v>#REF!</v>
      </c>
      <c r="E70" s="218"/>
    </row>
    <row r="71" spans="1:5" ht="15.5" hidden="1" outlineLevel="1" x14ac:dyDescent="0.35">
      <c r="A71" s="26" t="s">
        <v>97</v>
      </c>
      <c r="B71" s="15" t="e">
        <f>'НДС расчет'!#REF!</f>
        <v>#REF!</v>
      </c>
      <c r="C71" s="15" t="e">
        <f>B71/$B$4</f>
        <v>#REF!</v>
      </c>
    </row>
    <row r="72" spans="1:5" ht="15.5" x14ac:dyDescent="0.35">
      <c r="A72" s="28" t="s">
        <v>98</v>
      </c>
      <c r="B72" s="11" t="e">
        <f>B34-B39</f>
        <v>#REF!</v>
      </c>
      <c r="C72" s="25" t="e">
        <f>B72/$B$4</f>
        <v>#REF!</v>
      </c>
    </row>
    <row r="73" spans="1:5" ht="16" thickBot="1" x14ac:dyDescent="0.4">
      <c r="A73" s="29" t="s">
        <v>99</v>
      </c>
      <c r="B73" s="30" t="e">
        <f>IF((B72)&gt;0,(B72)*20%,0)</f>
        <v>#REF!</v>
      </c>
      <c r="C73" s="25" t="e">
        <f>B73/$B$4</f>
        <v>#REF!</v>
      </c>
      <c r="D73" s="212"/>
    </row>
    <row r="74" spans="1:5" ht="15.5" x14ac:dyDescent="0.35">
      <c r="A74" s="35" t="s">
        <v>100</v>
      </c>
      <c r="B74" s="36" t="e">
        <f>B72-B73</f>
        <v>#REF!</v>
      </c>
      <c r="C74" s="36" t="e">
        <f>C72-C73</f>
        <v>#REF!</v>
      </c>
      <c r="D74" s="197"/>
    </row>
    <row r="75" spans="1:5" ht="16" thickBot="1" x14ac:dyDescent="0.4">
      <c r="A75" s="37" t="s">
        <v>101</v>
      </c>
      <c r="B75" s="42" t="e">
        <f>B74/B34</f>
        <v>#REF!</v>
      </c>
      <c r="C75" s="42" t="e">
        <f>C74/C34</f>
        <v>#REF!</v>
      </c>
      <c r="E75" s="210"/>
    </row>
    <row r="77" spans="1:5" x14ac:dyDescent="0.35">
      <c r="B77" s="211"/>
    </row>
    <row r="78" spans="1:5" x14ac:dyDescent="0.35">
      <c r="B78" s="206"/>
      <c r="C78" s="206"/>
    </row>
    <row r="79" spans="1:5" x14ac:dyDescent="0.35">
      <c r="B79" s="207"/>
      <c r="C79" s="207"/>
    </row>
    <row r="80" spans="1:5" x14ac:dyDescent="0.35">
      <c r="B80" s="208"/>
      <c r="C80" s="208"/>
    </row>
  </sheetData>
  <mergeCells count="4">
    <mergeCell ref="B3:C3"/>
    <mergeCell ref="B4:C4"/>
    <mergeCell ref="B5:C5"/>
    <mergeCell ref="B6:C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5B16-0299-4F1A-AF30-FDDB6BE2DD76}">
  <dimension ref="A1:I371"/>
  <sheetViews>
    <sheetView workbookViewId="0">
      <selection activeCell="D3" sqref="D3"/>
    </sheetView>
  </sheetViews>
  <sheetFormatPr defaultColWidth="9.08984375" defaultRowHeight="11.5" x14ac:dyDescent="0.25"/>
  <cols>
    <col min="1" max="1" width="11.453125" style="94" customWidth="1"/>
    <col min="2" max="2" width="5.54296875" style="66" customWidth="1"/>
    <col min="3" max="3" width="14.54296875" style="94" customWidth="1"/>
    <col min="4" max="4" width="15.90625" style="94" customWidth="1"/>
    <col min="5" max="5" width="14.453125" style="94" customWidth="1"/>
    <col min="6" max="6" width="13.54296875" style="94" customWidth="1"/>
    <col min="7" max="7" width="11.54296875" style="94" customWidth="1"/>
    <col min="8" max="8" width="22.90625" style="94" customWidth="1"/>
    <col min="9" max="9" width="9.90625" style="68" bestFit="1" customWidth="1"/>
    <col min="10" max="254" width="9.08984375" style="68"/>
    <col min="255" max="255" width="11.453125" style="68" customWidth="1"/>
    <col min="256" max="256" width="5.54296875" style="68" customWidth="1"/>
    <col min="257" max="257" width="14.54296875" style="68" customWidth="1"/>
    <col min="258" max="258" width="15.90625" style="68" customWidth="1"/>
    <col min="259" max="259" width="14.453125" style="68" customWidth="1"/>
    <col min="260" max="260" width="13.54296875" style="68" customWidth="1"/>
    <col min="261" max="262" width="15.90625" style="68" customWidth="1"/>
    <col min="263" max="263" width="11.54296875" style="68" customWidth="1"/>
    <col min="264" max="264" width="22.90625" style="68" customWidth="1"/>
    <col min="265" max="265" width="9.90625" style="68" bestFit="1" customWidth="1"/>
    <col min="266" max="510" width="9.08984375" style="68"/>
    <col min="511" max="511" width="11.453125" style="68" customWidth="1"/>
    <col min="512" max="512" width="5.54296875" style="68" customWidth="1"/>
    <col min="513" max="513" width="14.54296875" style="68" customWidth="1"/>
    <col min="514" max="514" width="15.90625" style="68" customWidth="1"/>
    <col min="515" max="515" width="14.453125" style="68" customWidth="1"/>
    <col min="516" max="516" width="13.54296875" style="68" customWidth="1"/>
    <col min="517" max="518" width="15.90625" style="68" customWidth="1"/>
    <col min="519" max="519" width="11.54296875" style="68" customWidth="1"/>
    <col min="520" max="520" width="22.90625" style="68" customWidth="1"/>
    <col min="521" max="521" width="9.90625" style="68" bestFit="1" customWidth="1"/>
    <col min="522" max="766" width="9.08984375" style="68"/>
    <col min="767" max="767" width="11.453125" style="68" customWidth="1"/>
    <col min="768" max="768" width="5.54296875" style="68" customWidth="1"/>
    <col min="769" max="769" width="14.54296875" style="68" customWidth="1"/>
    <col min="770" max="770" width="15.90625" style="68" customWidth="1"/>
    <col min="771" max="771" width="14.453125" style="68" customWidth="1"/>
    <col min="772" max="772" width="13.54296875" style="68" customWidth="1"/>
    <col min="773" max="774" width="15.90625" style="68" customWidth="1"/>
    <col min="775" max="775" width="11.54296875" style="68" customWidth="1"/>
    <col min="776" max="776" width="22.90625" style="68" customWidth="1"/>
    <col min="777" max="777" width="9.90625" style="68" bestFit="1" customWidth="1"/>
    <col min="778" max="1022" width="9.08984375" style="68"/>
    <col min="1023" max="1023" width="11.453125" style="68" customWidth="1"/>
    <col min="1024" max="1024" width="5.54296875" style="68" customWidth="1"/>
    <col min="1025" max="1025" width="14.54296875" style="68" customWidth="1"/>
    <col min="1026" max="1026" width="15.90625" style="68" customWidth="1"/>
    <col min="1027" max="1027" width="14.453125" style="68" customWidth="1"/>
    <col min="1028" max="1028" width="13.54296875" style="68" customWidth="1"/>
    <col min="1029" max="1030" width="15.90625" style="68" customWidth="1"/>
    <col min="1031" max="1031" width="11.54296875" style="68" customWidth="1"/>
    <col min="1032" max="1032" width="22.90625" style="68" customWidth="1"/>
    <col min="1033" max="1033" width="9.90625" style="68" bestFit="1" customWidth="1"/>
    <col min="1034" max="1278" width="9.08984375" style="68"/>
    <col min="1279" max="1279" width="11.453125" style="68" customWidth="1"/>
    <col min="1280" max="1280" width="5.54296875" style="68" customWidth="1"/>
    <col min="1281" max="1281" width="14.54296875" style="68" customWidth="1"/>
    <col min="1282" max="1282" width="15.90625" style="68" customWidth="1"/>
    <col min="1283" max="1283" width="14.453125" style="68" customWidth="1"/>
    <col min="1284" max="1284" width="13.54296875" style="68" customWidth="1"/>
    <col min="1285" max="1286" width="15.90625" style="68" customWidth="1"/>
    <col min="1287" max="1287" width="11.54296875" style="68" customWidth="1"/>
    <col min="1288" max="1288" width="22.90625" style="68" customWidth="1"/>
    <col min="1289" max="1289" width="9.90625" style="68" bestFit="1" customWidth="1"/>
    <col min="1290" max="1534" width="9.08984375" style="68"/>
    <col min="1535" max="1535" width="11.453125" style="68" customWidth="1"/>
    <col min="1536" max="1536" width="5.54296875" style="68" customWidth="1"/>
    <col min="1537" max="1537" width="14.54296875" style="68" customWidth="1"/>
    <col min="1538" max="1538" width="15.90625" style="68" customWidth="1"/>
    <col min="1539" max="1539" width="14.453125" style="68" customWidth="1"/>
    <col min="1540" max="1540" width="13.54296875" style="68" customWidth="1"/>
    <col min="1541" max="1542" width="15.90625" style="68" customWidth="1"/>
    <col min="1543" max="1543" width="11.54296875" style="68" customWidth="1"/>
    <col min="1544" max="1544" width="22.90625" style="68" customWidth="1"/>
    <col min="1545" max="1545" width="9.90625" style="68" bestFit="1" customWidth="1"/>
    <col min="1546" max="1790" width="9.08984375" style="68"/>
    <col min="1791" max="1791" width="11.453125" style="68" customWidth="1"/>
    <col min="1792" max="1792" width="5.54296875" style="68" customWidth="1"/>
    <col min="1793" max="1793" width="14.54296875" style="68" customWidth="1"/>
    <col min="1794" max="1794" width="15.90625" style="68" customWidth="1"/>
    <col min="1795" max="1795" width="14.453125" style="68" customWidth="1"/>
    <col min="1796" max="1796" width="13.54296875" style="68" customWidth="1"/>
    <col min="1797" max="1798" width="15.90625" style="68" customWidth="1"/>
    <col min="1799" max="1799" width="11.54296875" style="68" customWidth="1"/>
    <col min="1800" max="1800" width="22.90625" style="68" customWidth="1"/>
    <col min="1801" max="1801" width="9.90625" style="68" bestFit="1" customWidth="1"/>
    <col min="1802" max="2046" width="9.08984375" style="68"/>
    <col min="2047" max="2047" width="11.453125" style="68" customWidth="1"/>
    <col min="2048" max="2048" width="5.54296875" style="68" customWidth="1"/>
    <col min="2049" max="2049" width="14.54296875" style="68" customWidth="1"/>
    <col min="2050" max="2050" width="15.90625" style="68" customWidth="1"/>
    <col min="2051" max="2051" width="14.453125" style="68" customWidth="1"/>
    <col min="2052" max="2052" width="13.54296875" style="68" customWidth="1"/>
    <col min="2053" max="2054" width="15.90625" style="68" customWidth="1"/>
    <col min="2055" max="2055" width="11.54296875" style="68" customWidth="1"/>
    <col min="2056" max="2056" width="22.90625" style="68" customWidth="1"/>
    <col min="2057" max="2057" width="9.90625" style="68" bestFit="1" customWidth="1"/>
    <col min="2058" max="2302" width="9.08984375" style="68"/>
    <col min="2303" max="2303" width="11.453125" style="68" customWidth="1"/>
    <col min="2304" max="2304" width="5.54296875" style="68" customWidth="1"/>
    <col min="2305" max="2305" width="14.54296875" style="68" customWidth="1"/>
    <col min="2306" max="2306" width="15.90625" style="68" customWidth="1"/>
    <col min="2307" max="2307" width="14.453125" style="68" customWidth="1"/>
    <col min="2308" max="2308" width="13.54296875" style="68" customWidth="1"/>
    <col min="2309" max="2310" width="15.90625" style="68" customWidth="1"/>
    <col min="2311" max="2311" width="11.54296875" style="68" customWidth="1"/>
    <col min="2312" max="2312" width="22.90625" style="68" customWidth="1"/>
    <col min="2313" max="2313" width="9.90625" style="68" bestFit="1" customWidth="1"/>
    <col min="2314" max="2558" width="9.08984375" style="68"/>
    <col min="2559" max="2559" width="11.453125" style="68" customWidth="1"/>
    <col min="2560" max="2560" width="5.54296875" style="68" customWidth="1"/>
    <col min="2561" max="2561" width="14.54296875" style="68" customWidth="1"/>
    <col min="2562" max="2562" width="15.90625" style="68" customWidth="1"/>
    <col min="2563" max="2563" width="14.453125" style="68" customWidth="1"/>
    <col min="2564" max="2564" width="13.54296875" style="68" customWidth="1"/>
    <col min="2565" max="2566" width="15.90625" style="68" customWidth="1"/>
    <col min="2567" max="2567" width="11.54296875" style="68" customWidth="1"/>
    <col min="2568" max="2568" width="22.90625" style="68" customWidth="1"/>
    <col min="2569" max="2569" width="9.90625" style="68" bestFit="1" customWidth="1"/>
    <col min="2570" max="2814" width="9.08984375" style="68"/>
    <col min="2815" max="2815" width="11.453125" style="68" customWidth="1"/>
    <col min="2816" max="2816" width="5.54296875" style="68" customWidth="1"/>
    <col min="2817" max="2817" width="14.54296875" style="68" customWidth="1"/>
    <col min="2818" max="2818" width="15.90625" style="68" customWidth="1"/>
    <col min="2819" max="2819" width="14.453125" style="68" customWidth="1"/>
    <col min="2820" max="2820" width="13.54296875" style="68" customWidth="1"/>
    <col min="2821" max="2822" width="15.90625" style="68" customWidth="1"/>
    <col min="2823" max="2823" width="11.54296875" style="68" customWidth="1"/>
    <col min="2824" max="2824" width="22.90625" style="68" customWidth="1"/>
    <col min="2825" max="2825" width="9.90625" style="68" bestFit="1" customWidth="1"/>
    <col min="2826" max="3070" width="9.08984375" style="68"/>
    <col min="3071" max="3071" width="11.453125" style="68" customWidth="1"/>
    <col min="3072" max="3072" width="5.54296875" style="68" customWidth="1"/>
    <col min="3073" max="3073" width="14.54296875" style="68" customWidth="1"/>
    <col min="3074" max="3074" width="15.90625" style="68" customWidth="1"/>
    <col min="3075" max="3075" width="14.453125" style="68" customWidth="1"/>
    <col min="3076" max="3076" width="13.54296875" style="68" customWidth="1"/>
    <col min="3077" max="3078" width="15.90625" style="68" customWidth="1"/>
    <col min="3079" max="3079" width="11.54296875" style="68" customWidth="1"/>
    <col min="3080" max="3080" width="22.90625" style="68" customWidth="1"/>
    <col min="3081" max="3081" width="9.90625" style="68" bestFit="1" customWidth="1"/>
    <col min="3082" max="3326" width="9.08984375" style="68"/>
    <col min="3327" max="3327" width="11.453125" style="68" customWidth="1"/>
    <col min="3328" max="3328" width="5.54296875" style="68" customWidth="1"/>
    <col min="3329" max="3329" width="14.54296875" style="68" customWidth="1"/>
    <col min="3330" max="3330" width="15.90625" style="68" customWidth="1"/>
    <col min="3331" max="3331" width="14.453125" style="68" customWidth="1"/>
    <col min="3332" max="3332" width="13.54296875" style="68" customWidth="1"/>
    <col min="3333" max="3334" width="15.90625" style="68" customWidth="1"/>
    <col min="3335" max="3335" width="11.54296875" style="68" customWidth="1"/>
    <col min="3336" max="3336" width="22.90625" style="68" customWidth="1"/>
    <col min="3337" max="3337" width="9.90625" style="68" bestFit="1" customWidth="1"/>
    <col min="3338" max="3582" width="9.08984375" style="68"/>
    <col min="3583" max="3583" width="11.453125" style="68" customWidth="1"/>
    <col min="3584" max="3584" width="5.54296875" style="68" customWidth="1"/>
    <col min="3585" max="3585" width="14.54296875" style="68" customWidth="1"/>
    <col min="3586" max="3586" width="15.90625" style="68" customWidth="1"/>
    <col min="3587" max="3587" width="14.453125" style="68" customWidth="1"/>
    <col min="3588" max="3588" width="13.54296875" style="68" customWidth="1"/>
    <col min="3589" max="3590" width="15.90625" style="68" customWidth="1"/>
    <col min="3591" max="3591" width="11.54296875" style="68" customWidth="1"/>
    <col min="3592" max="3592" width="22.90625" style="68" customWidth="1"/>
    <col min="3593" max="3593" width="9.90625" style="68" bestFit="1" customWidth="1"/>
    <col min="3594" max="3838" width="9.08984375" style="68"/>
    <col min="3839" max="3839" width="11.453125" style="68" customWidth="1"/>
    <col min="3840" max="3840" width="5.54296875" style="68" customWidth="1"/>
    <col min="3841" max="3841" width="14.54296875" style="68" customWidth="1"/>
    <col min="3842" max="3842" width="15.90625" style="68" customWidth="1"/>
    <col min="3843" max="3843" width="14.453125" style="68" customWidth="1"/>
    <col min="3844" max="3844" width="13.54296875" style="68" customWidth="1"/>
    <col min="3845" max="3846" width="15.90625" style="68" customWidth="1"/>
    <col min="3847" max="3847" width="11.54296875" style="68" customWidth="1"/>
    <col min="3848" max="3848" width="22.90625" style="68" customWidth="1"/>
    <col min="3849" max="3849" width="9.90625" style="68" bestFit="1" customWidth="1"/>
    <col min="3850" max="4094" width="9.08984375" style="68"/>
    <col min="4095" max="4095" width="11.453125" style="68" customWidth="1"/>
    <col min="4096" max="4096" width="5.54296875" style="68" customWidth="1"/>
    <col min="4097" max="4097" width="14.54296875" style="68" customWidth="1"/>
    <col min="4098" max="4098" width="15.90625" style="68" customWidth="1"/>
    <col min="4099" max="4099" width="14.453125" style="68" customWidth="1"/>
    <col min="4100" max="4100" width="13.54296875" style="68" customWidth="1"/>
    <col min="4101" max="4102" width="15.90625" style="68" customWidth="1"/>
    <col min="4103" max="4103" width="11.54296875" style="68" customWidth="1"/>
    <col min="4104" max="4104" width="22.90625" style="68" customWidth="1"/>
    <col min="4105" max="4105" width="9.90625" style="68" bestFit="1" customWidth="1"/>
    <col min="4106" max="4350" width="9.08984375" style="68"/>
    <col min="4351" max="4351" width="11.453125" style="68" customWidth="1"/>
    <col min="4352" max="4352" width="5.54296875" style="68" customWidth="1"/>
    <col min="4353" max="4353" width="14.54296875" style="68" customWidth="1"/>
    <col min="4354" max="4354" width="15.90625" style="68" customWidth="1"/>
    <col min="4355" max="4355" width="14.453125" style="68" customWidth="1"/>
    <col min="4356" max="4356" width="13.54296875" style="68" customWidth="1"/>
    <col min="4357" max="4358" width="15.90625" style="68" customWidth="1"/>
    <col min="4359" max="4359" width="11.54296875" style="68" customWidth="1"/>
    <col min="4360" max="4360" width="22.90625" style="68" customWidth="1"/>
    <col min="4361" max="4361" width="9.90625" style="68" bestFit="1" customWidth="1"/>
    <col min="4362" max="4606" width="9.08984375" style="68"/>
    <col min="4607" max="4607" width="11.453125" style="68" customWidth="1"/>
    <col min="4608" max="4608" width="5.54296875" style="68" customWidth="1"/>
    <col min="4609" max="4609" width="14.54296875" style="68" customWidth="1"/>
    <col min="4610" max="4610" width="15.90625" style="68" customWidth="1"/>
    <col min="4611" max="4611" width="14.453125" style="68" customWidth="1"/>
    <col min="4612" max="4612" width="13.54296875" style="68" customWidth="1"/>
    <col min="4613" max="4614" width="15.90625" style="68" customWidth="1"/>
    <col min="4615" max="4615" width="11.54296875" style="68" customWidth="1"/>
    <col min="4616" max="4616" width="22.90625" style="68" customWidth="1"/>
    <col min="4617" max="4617" width="9.90625" style="68" bestFit="1" customWidth="1"/>
    <col min="4618" max="4862" width="9.08984375" style="68"/>
    <col min="4863" max="4863" width="11.453125" style="68" customWidth="1"/>
    <col min="4864" max="4864" width="5.54296875" style="68" customWidth="1"/>
    <col min="4865" max="4865" width="14.54296875" style="68" customWidth="1"/>
    <col min="4866" max="4866" width="15.90625" style="68" customWidth="1"/>
    <col min="4867" max="4867" width="14.453125" style="68" customWidth="1"/>
    <col min="4868" max="4868" width="13.54296875" style="68" customWidth="1"/>
    <col min="4869" max="4870" width="15.90625" style="68" customWidth="1"/>
    <col min="4871" max="4871" width="11.54296875" style="68" customWidth="1"/>
    <col min="4872" max="4872" width="22.90625" style="68" customWidth="1"/>
    <col min="4873" max="4873" width="9.90625" style="68" bestFit="1" customWidth="1"/>
    <col min="4874" max="5118" width="9.08984375" style="68"/>
    <col min="5119" max="5119" width="11.453125" style="68" customWidth="1"/>
    <col min="5120" max="5120" width="5.54296875" style="68" customWidth="1"/>
    <col min="5121" max="5121" width="14.54296875" style="68" customWidth="1"/>
    <col min="5122" max="5122" width="15.90625" style="68" customWidth="1"/>
    <col min="5123" max="5123" width="14.453125" style="68" customWidth="1"/>
    <col min="5124" max="5124" width="13.54296875" style="68" customWidth="1"/>
    <col min="5125" max="5126" width="15.90625" style="68" customWidth="1"/>
    <col min="5127" max="5127" width="11.54296875" style="68" customWidth="1"/>
    <col min="5128" max="5128" width="22.90625" style="68" customWidth="1"/>
    <col min="5129" max="5129" width="9.90625" style="68" bestFit="1" customWidth="1"/>
    <col min="5130" max="5374" width="9.08984375" style="68"/>
    <col min="5375" max="5375" width="11.453125" style="68" customWidth="1"/>
    <col min="5376" max="5376" width="5.54296875" style="68" customWidth="1"/>
    <col min="5377" max="5377" width="14.54296875" style="68" customWidth="1"/>
    <col min="5378" max="5378" width="15.90625" style="68" customWidth="1"/>
    <col min="5379" max="5379" width="14.453125" style="68" customWidth="1"/>
    <col min="5380" max="5380" width="13.54296875" style="68" customWidth="1"/>
    <col min="5381" max="5382" width="15.90625" style="68" customWidth="1"/>
    <col min="5383" max="5383" width="11.54296875" style="68" customWidth="1"/>
    <col min="5384" max="5384" width="22.90625" style="68" customWidth="1"/>
    <col min="5385" max="5385" width="9.90625" style="68" bestFit="1" customWidth="1"/>
    <col min="5386" max="5630" width="9.08984375" style="68"/>
    <col min="5631" max="5631" width="11.453125" style="68" customWidth="1"/>
    <col min="5632" max="5632" width="5.54296875" style="68" customWidth="1"/>
    <col min="5633" max="5633" width="14.54296875" style="68" customWidth="1"/>
    <col min="5634" max="5634" width="15.90625" style="68" customWidth="1"/>
    <col min="5635" max="5635" width="14.453125" style="68" customWidth="1"/>
    <col min="5636" max="5636" width="13.54296875" style="68" customWidth="1"/>
    <col min="5637" max="5638" width="15.90625" style="68" customWidth="1"/>
    <col min="5639" max="5639" width="11.54296875" style="68" customWidth="1"/>
    <col min="5640" max="5640" width="22.90625" style="68" customWidth="1"/>
    <col min="5641" max="5641" width="9.90625" style="68" bestFit="1" customWidth="1"/>
    <col min="5642" max="5886" width="9.08984375" style="68"/>
    <col min="5887" max="5887" width="11.453125" style="68" customWidth="1"/>
    <col min="5888" max="5888" width="5.54296875" style="68" customWidth="1"/>
    <col min="5889" max="5889" width="14.54296875" style="68" customWidth="1"/>
    <col min="5890" max="5890" width="15.90625" style="68" customWidth="1"/>
    <col min="5891" max="5891" width="14.453125" style="68" customWidth="1"/>
    <col min="5892" max="5892" width="13.54296875" style="68" customWidth="1"/>
    <col min="5893" max="5894" width="15.90625" style="68" customWidth="1"/>
    <col min="5895" max="5895" width="11.54296875" style="68" customWidth="1"/>
    <col min="5896" max="5896" width="22.90625" style="68" customWidth="1"/>
    <col min="5897" max="5897" width="9.90625" style="68" bestFit="1" customWidth="1"/>
    <col min="5898" max="6142" width="9.08984375" style="68"/>
    <col min="6143" max="6143" width="11.453125" style="68" customWidth="1"/>
    <col min="6144" max="6144" width="5.54296875" style="68" customWidth="1"/>
    <col min="6145" max="6145" width="14.54296875" style="68" customWidth="1"/>
    <col min="6146" max="6146" width="15.90625" style="68" customWidth="1"/>
    <col min="6147" max="6147" width="14.453125" style="68" customWidth="1"/>
    <col min="6148" max="6148" width="13.54296875" style="68" customWidth="1"/>
    <col min="6149" max="6150" width="15.90625" style="68" customWidth="1"/>
    <col min="6151" max="6151" width="11.54296875" style="68" customWidth="1"/>
    <col min="6152" max="6152" width="22.90625" style="68" customWidth="1"/>
    <col min="6153" max="6153" width="9.90625" style="68" bestFit="1" customWidth="1"/>
    <col min="6154" max="6398" width="9.08984375" style="68"/>
    <col min="6399" max="6399" width="11.453125" style="68" customWidth="1"/>
    <col min="6400" max="6400" width="5.54296875" style="68" customWidth="1"/>
    <col min="6401" max="6401" width="14.54296875" style="68" customWidth="1"/>
    <col min="6402" max="6402" width="15.90625" style="68" customWidth="1"/>
    <col min="6403" max="6403" width="14.453125" style="68" customWidth="1"/>
    <col min="6404" max="6404" width="13.54296875" style="68" customWidth="1"/>
    <col min="6405" max="6406" width="15.90625" style="68" customWidth="1"/>
    <col min="6407" max="6407" width="11.54296875" style="68" customWidth="1"/>
    <col min="6408" max="6408" width="22.90625" style="68" customWidth="1"/>
    <col min="6409" max="6409" width="9.90625" style="68" bestFit="1" customWidth="1"/>
    <col min="6410" max="6654" width="9.08984375" style="68"/>
    <col min="6655" max="6655" width="11.453125" style="68" customWidth="1"/>
    <col min="6656" max="6656" width="5.54296875" style="68" customWidth="1"/>
    <col min="6657" max="6657" width="14.54296875" style="68" customWidth="1"/>
    <col min="6658" max="6658" width="15.90625" style="68" customWidth="1"/>
    <col min="6659" max="6659" width="14.453125" style="68" customWidth="1"/>
    <col min="6660" max="6660" width="13.54296875" style="68" customWidth="1"/>
    <col min="6661" max="6662" width="15.90625" style="68" customWidth="1"/>
    <col min="6663" max="6663" width="11.54296875" style="68" customWidth="1"/>
    <col min="6664" max="6664" width="22.90625" style="68" customWidth="1"/>
    <col min="6665" max="6665" width="9.90625" style="68" bestFit="1" customWidth="1"/>
    <col min="6666" max="6910" width="9.08984375" style="68"/>
    <col min="6911" max="6911" width="11.453125" style="68" customWidth="1"/>
    <col min="6912" max="6912" width="5.54296875" style="68" customWidth="1"/>
    <col min="6913" max="6913" width="14.54296875" style="68" customWidth="1"/>
    <col min="6914" max="6914" width="15.90625" style="68" customWidth="1"/>
    <col min="6915" max="6915" width="14.453125" style="68" customWidth="1"/>
    <col min="6916" max="6916" width="13.54296875" style="68" customWidth="1"/>
    <col min="6917" max="6918" width="15.90625" style="68" customWidth="1"/>
    <col min="6919" max="6919" width="11.54296875" style="68" customWidth="1"/>
    <col min="6920" max="6920" width="22.90625" style="68" customWidth="1"/>
    <col min="6921" max="6921" width="9.90625" style="68" bestFit="1" customWidth="1"/>
    <col min="6922" max="7166" width="9.08984375" style="68"/>
    <col min="7167" max="7167" width="11.453125" style="68" customWidth="1"/>
    <col min="7168" max="7168" width="5.54296875" style="68" customWidth="1"/>
    <col min="7169" max="7169" width="14.54296875" style="68" customWidth="1"/>
    <col min="7170" max="7170" width="15.90625" style="68" customWidth="1"/>
    <col min="7171" max="7171" width="14.453125" style="68" customWidth="1"/>
    <col min="7172" max="7172" width="13.54296875" style="68" customWidth="1"/>
    <col min="7173" max="7174" width="15.90625" style="68" customWidth="1"/>
    <col min="7175" max="7175" width="11.54296875" style="68" customWidth="1"/>
    <col min="7176" max="7176" width="22.90625" style="68" customWidth="1"/>
    <col min="7177" max="7177" width="9.90625" style="68" bestFit="1" customWidth="1"/>
    <col min="7178" max="7422" width="9.08984375" style="68"/>
    <col min="7423" max="7423" width="11.453125" style="68" customWidth="1"/>
    <col min="7424" max="7424" width="5.54296875" style="68" customWidth="1"/>
    <col min="7425" max="7425" width="14.54296875" style="68" customWidth="1"/>
    <col min="7426" max="7426" width="15.90625" style="68" customWidth="1"/>
    <col min="7427" max="7427" width="14.453125" style="68" customWidth="1"/>
    <col min="7428" max="7428" width="13.54296875" style="68" customWidth="1"/>
    <col min="7429" max="7430" width="15.90625" style="68" customWidth="1"/>
    <col min="7431" max="7431" width="11.54296875" style="68" customWidth="1"/>
    <col min="7432" max="7432" width="22.90625" style="68" customWidth="1"/>
    <col min="7433" max="7433" width="9.90625" style="68" bestFit="1" customWidth="1"/>
    <col min="7434" max="7678" width="9.08984375" style="68"/>
    <col min="7679" max="7679" width="11.453125" style="68" customWidth="1"/>
    <col min="7680" max="7680" width="5.54296875" style="68" customWidth="1"/>
    <col min="7681" max="7681" width="14.54296875" style="68" customWidth="1"/>
    <col min="7682" max="7682" width="15.90625" style="68" customWidth="1"/>
    <col min="7683" max="7683" width="14.453125" style="68" customWidth="1"/>
    <col min="7684" max="7684" width="13.54296875" style="68" customWidth="1"/>
    <col min="7685" max="7686" width="15.90625" style="68" customWidth="1"/>
    <col min="7687" max="7687" width="11.54296875" style="68" customWidth="1"/>
    <col min="7688" max="7688" width="22.90625" style="68" customWidth="1"/>
    <col min="7689" max="7689" width="9.90625" style="68" bestFit="1" customWidth="1"/>
    <col min="7690" max="7934" width="9.08984375" style="68"/>
    <col min="7935" max="7935" width="11.453125" style="68" customWidth="1"/>
    <col min="7936" max="7936" width="5.54296875" style="68" customWidth="1"/>
    <col min="7937" max="7937" width="14.54296875" style="68" customWidth="1"/>
    <col min="7938" max="7938" width="15.90625" style="68" customWidth="1"/>
    <col min="7939" max="7939" width="14.453125" style="68" customWidth="1"/>
    <col min="7940" max="7940" width="13.54296875" style="68" customWidth="1"/>
    <col min="7941" max="7942" width="15.90625" style="68" customWidth="1"/>
    <col min="7943" max="7943" width="11.54296875" style="68" customWidth="1"/>
    <col min="7944" max="7944" width="22.90625" style="68" customWidth="1"/>
    <col min="7945" max="7945" width="9.90625" style="68" bestFit="1" customWidth="1"/>
    <col min="7946" max="8190" width="9.08984375" style="68"/>
    <col min="8191" max="8191" width="11.453125" style="68" customWidth="1"/>
    <col min="8192" max="8192" width="5.54296875" style="68" customWidth="1"/>
    <col min="8193" max="8193" width="14.54296875" style="68" customWidth="1"/>
    <col min="8194" max="8194" width="15.90625" style="68" customWidth="1"/>
    <col min="8195" max="8195" width="14.453125" style="68" customWidth="1"/>
    <col min="8196" max="8196" width="13.54296875" style="68" customWidth="1"/>
    <col min="8197" max="8198" width="15.90625" style="68" customWidth="1"/>
    <col min="8199" max="8199" width="11.54296875" style="68" customWidth="1"/>
    <col min="8200" max="8200" width="22.90625" style="68" customWidth="1"/>
    <col min="8201" max="8201" width="9.90625" style="68" bestFit="1" customWidth="1"/>
    <col min="8202" max="8446" width="9.08984375" style="68"/>
    <col min="8447" max="8447" width="11.453125" style="68" customWidth="1"/>
    <col min="8448" max="8448" width="5.54296875" style="68" customWidth="1"/>
    <col min="8449" max="8449" width="14.54296875" style="68" customWidth="1"/>
    <col min="8450" max="8450" width="15.90625" style="68" customWidth="1"/>
    <col min="8451" max="8451" width="14.453125" style="68" customWidth="1"/>
    <col min="8452" max="8452" width="13.54296875" style="68" customWidth="1"/>
    <col min="8453" max="8454" width="15.90625" style="68" customWidth="1"/>
    <col min="8455" max="8455" width="11.54296875" style="68" customWidth="1"/>
    <col min="8456" max="8456" width="22.90625" style="68" customWidth="1"/>
    <col min="8457" max="8457" width="9.90625" style="68" bestFit="1" customWidth="1"/>
    <col min="8458" max="8702" width="9.08984375" style="68"/>
    <col min="8703" max="8703" width="11.453125" style="68" customWidth="1"/>
    <col min="8704" max="8704" width="5.54296875" style="68" customWidth="1"/>
    <col min="8705" max="8705" width="14.54296875" style="68" customWidth="1"/>
    <col min="8706" max="8706" width="15.90625" style="68" customWidth="1"/>
    <col min="8707" max="8707" width="14.453125" style="68" customWidth="1"/>
    <col min="8708" max="8708" width="13.54296875" style="68" customWidth="1"/>
    <col min="8709" max="8710" width="15.90625" style="68" customWidth="1"/>
    <col min="8711" max="8711" width="11.54296875" style="68" customWidth="1"/>
    <col min="8712" max="8712" width="22.90625" style="68" customWidth="1"/>
    <col min="8713" max="8713" width="9.90625" style="68" bestFit="1" customWidth="1"/>
    <col min="8714" max="8958" width="9.08984375" style="68"/>
    <col min="8959" max="8959" width="11.453125" style="68" customWidth="1"/>
    <col min="8960" max="8960" width="5.54296875" style="68" customWidth="1"/>
    <col min="8961" max="8961" width="14.54296875" style="68" customWidth="1"/>
    <col min="8962" max="8962" width="15.90625" style="68" customWidth="1"/>
    <col min="8963" max="8963" width="14.453125" style="68" customWidth="1"/>
    <col min="8964" max="8964" width="13.54296875" style="68" customWidth="1"/>
    <col min="8965" max="8966" width="15.90625" style="68" customWidth="1"/>
    <col min="8967" max="8967" width="11.54296875" style="68" customWidth="1"/>
    <col min="8968" max="8968" width="22.90625" style="68" customWidth="1"/>
    <col min="8969" max="8969" width="9.90625" style="68" bestFit="1" customWidth="1"/>
    <col min="8970" max="9214" width="9.08984375" style="68"/>
    <col min="9215" max="9215" width="11.453125" style="68" customWidth="1"/>
    <col min="9216" max="9216" width="5.54296875" style="68" customWidth="1"/>
    <col min="9217" max="9217" width="14.54296875" style="68" customWidth="1"/>
    <col min="9218" max="9218" width="15.90625" style="68" customWidth="1"/>
    <col min="9219" max="9219" width="14.453125" style="68" customWidth="1"/>
    <col min="9220" max="9220" width="13.54296875" style="68" customWidth="1"/>
    <col min="9221" max="9222" width="15.90625" style="68" customWidth="1"/>
    <col min="9223" max="9223" width="11.54296875" style="68" customWidth="1"/>
    <col min="9224" max="9224" width="22.90625" style="68" customWidth="1"/>
    <col min="9225" max="9225" width="9.90625" style="68" bestFit="1" customWidth="1"/>
    <col min="9226" max="9470" width="9.08984375" style="68"/>
    <col min="9471" max="9471" width="11.453125" style="68" customWidth="1"/>
    <col min="9472" max="9472" width="5.54296875" style="68" customWidth="1"/>
    <col min="9473" max="9473" width="14.54296875" style="68" customWidth="1"/>
    <col min="9474" max="9474" width="15.90625" style="68" customWidth="1"/>
    <col min="9475" max="9475" width="14.453125" style="68" customWidth="1"/>
    <col min="9476" max="9476" width="13.54296875" style="68" customWidth="1"/>
    <col min="9477" max="9478" width="15.90625" style="68" customWidth="1"/>
    <col min="9479" max="9479" width="11.54296875" style="68" customWidth="1"/>
    <col min="9480" max="9480" width="22.90625" style="68" customWidth="1"/>
    <col min="9481" max="9481" width="9.90625" style="68" bestFit="1" customWidth="1"/>
    <col min="9482" max="9726" width="9.08984375" style="68"/>
    <col min="9727" max="9727" width="11.453125" style="68" customWidth="1"/>
    <col min="9728" max="9728" width="5.54296875" style="68" customWidth="1"/>
    <col min="9729" max="9729" width="14.54296875" style="68" customWidth="1"/>
    <col min="9730" max="9730" width="15.90625" style="68" customWidth="1"/>
    <col min="9731" max="9731" width="14.453125" style="68" customWidth="1"/>
    <col min="9732" max="9732" width="13.54296875" style="68" customWidth="1"/>
    <col min="9733" max="9734" width="15.90625" style="68" customWidth="1"/>
    <col min="9735" max="9735" width="11.54296875" style="68" customWidth="1"/>
    <col min="9736" max="9736" width="22.90625" style="68" customWidth="1"/>
    <col min="9737" max="9737" width="9.90625" style="68" bestFit="1" customWidth="1"/>
    <col min="9738" max="9982" width="9.08984375" style="68"/>
    <col min="9983" max="9983" width="11.453125" style="68" customWidth="1"/>
    <col min="9984" max="9984" width="5.54296875" style="68" customWidth="1"/>
    <col min="9985" max="9985" width="14.54296875" style="68" customWidth="1"/>
    <col min="9986" max="9986" width="15.90625" style="68" customWidth="1"/>
    <col min="9987" max="9987" width="14.453125" style="68" customWidth="1"/>
    <col min="9988" max="9988" width="13.54296875" style="68" customWidth="1"/>
    <col min="9989" max="9990" width="15.90625" style="68" customWidth="1"/>
    <col min="9991" max="9991" width="11.54296875" style="68" customWidth="1"/>
    <col min="9992" max="9992" width="22.90625" style="68" customWidth="1"/>
    <col min="9993" max="9993" width="9.90625" style="68" bestFit="1" customWidth="1"/>
    <col min="9994" max="10238" width="9.08984375" style="68"/>
    <col min="10239" max="10239" width="11.453125" style="68" customWidth="1"/>
    <col min="10240" max="10240" width="5.54296875" style="68" customWidth="1"/>
    <col min="10241" max="10241" width="14.54296875" style="68" customWidth="1"/>
    <col min="10242" max="10242" width="15.90625" style="68" customWidth="1"/>
    <col min="10243" max="10243" width="14.453125" style="68" customWidth="1"/>
    <col min="10244" max="10244" width="13.54296875" style="68" customWidth="1"/>
    <col min="10245" max="10246" width="15.90625" style="68" customWidth="1"/>
    <col min="10247" max="10247" width="11.54296875" style="68" customWidth="1"/>
    <col min="10248" max="10248" width="22.90625" style="68" customWidth="1"/>
    <col min="10249" max="10249" width="9.90625" style="68" bestFit="1" customWidth="1"/>
    <col min="10250" max="10494" width="9.08984375" style="68"/>
    <col min="10495" max="10495" width="11.453125" style="68" customWidth="1"/>
    <col min="10496" max="10496" width="5.54296875" style="68" customWidth="1"/>
    <col min="10497" max="10497" width="14.54296875" style="68" customWidth="1"/>
    <col min="10498" max="10498" width="15.90625" style="68" customWidth="1"/>
    <col min="10499" max="10499" width="14.453125" style="68" customWidth="1"/>
    <col min="10500" max="10500" width="13.54296875" style="68" customWidth="1"/>
    <col min="10501" max="10502" width="15.90625" style="68" customWidth="1"/>
    <col min="10503" max="10503" width="11.54296875" style="68" customWidth="1"/>
    <col min="10504" max="10504" width="22.90625" style="68" customWidth="1"/>
    <col min="10505" max="10505" width="9.90625" style="68" bestFit="1" customWidth="1"/>
    <col min="10506" max="10750" width="9.08984375" style="68"/>
    <col min="10751" max="10751" width="11.453125" style="68" customWidth="1"/>
    <col min="10752" max="10752" width="5.54296875" style="68" customWidth="1"/>
    <col min="10753" max="10753" width="14.54296875" style="68" customWidth="1"/>
    <col min="10754" max="10754" width="15.90625" style="68" customWidth="1"/>
    <col min="10755" max="10755" width="14.453125" style="68" customWidth="1"/>
    <col min="10756" max="10756" width="13.54296875" style="68" customWidth="1"/>
    <col min="10757" max="10758" width="15.90625" style="68" customWidth="1"/>
    <col min="10759" max="10759" width="11.54296875" style="68" customWidth="1"/>
    <col min="10760" max="10760" width="22.90625" style="68" customWidth="1"/>
    <col min="10761" max="10761" width="9.90625" style="68" bestFit="1" customWidth="1"/>
    <col min="10762" max="11006" width="9.08984375" style="68"/>
    <col min="11007" max="11007" width="11.453125" style="68" customWidth="1"/>
    <col min="11008" max="11008" width="5.54296875" style="68" customWidth="1"/>
    <col min="11009" max="11009" width="14.54296875" style="68" customWidth="1"/>
    <col min="11010" max="11010" width="15.90625" style="68" customWidth="1"/>
    <col min="11011" max="11011" width="14.453125" style="68" customWidth="1"/>
    <col min="11012" max="11012" width="13.54296875" style="68" customWidth="1"/>
    <col min="11013" max="11014" width="15.90625" style="68" customWidth="1"/>
    <col min="11015" max="11015" width="11.54296875" style="68" customWidth="1"/>
    <col min="11016" max="11016" width="22.90625" style="68" customWidth="1"/>
    <col min="11017" max="11017" width="9.90625" style="68" bestFit="1" customWidth="1"/>
    <col min="11018" max="11262" width="9.08984375" style="68"/>
    <col min="11263" max="11263" width="11.453125" style="68" customWidth="1"/>
    <col min="11264" max="11264" width="5.54296875" style="68" customWidth="1"/>
    <col min="11265" max="11265" width="14.54296875" style="68" customWidth="1"/>
    <col min="11266" max="11266" width="15.90625" style="68" customWidth="1"/>
    <col min="11267" max="11267" width="14.453125" style="68" customWidth="1"/>
    <col min="11268" max="11268" width="13.54296875" style="68" customWidth="1"/>
    <col min="11269" max="11270" width="15.90625" style="68" customWidth="1"/>
    <col min="11271" max="11271" width="11.54296875" style="68" customWidth="1"/>
    <col min="11272" max="11272" width="22.90625" style="68" customWidth="1"/>
    <col min="11273" max="11273" width="9.90625" style="68" bestFit="1" customWidth="1"/>
    <col min="11274" max="11518" width="9.08984375" style="68"/>
    <col min="11519" max="11519" width="11.453125" style="68" customWidth="1"/>
    <col min="11520" max="11520" width="5.54296875" style="68" customWidth="1"/>
    <col min="11521" max="11521" width="14.54296875" style="68" customWidth="1"/>
    <col min="11522" max="11522" width="15.90625" style="68" customWidth="1"/>
    <col min="11523" max="11523" width="14.453125" style="68" customWidth="1"/>
    <col min="11524" max="11524" width="13.54296875" style="68" customWidth="1"/>
    <col min="11525" max="11526" width="15.90625" style="68" customWidth="1"/>
    <col min="11527" max="11527" width="11.54296875" style="68" customWidth="1"/>
    <col min="11528" max="11528" width="22.90625" style="68" customWidth="1"/>
    <col min="11529" max="11529" width="9.90625" style="68" bestFit="1" customWidth="1"/>
    <col min="11530" max="11774" width="9.08984375" style="68"/>
    <col min="11775" max="11775" width="11.453125" style="68" customWidth="1"/>
    <col min="11776" max="11776" width="5.54296875" style="68" customWidth="1"/>
    <col min="11777" max="11777" width="14.54296875" style="68" customWidth="1"/>
    <col min="11778" max="11778" width="15.90625" style="68" customWidth="1"/>
    <col min="11779" max="11779" width="14.453125" style="68" customWidth="1"/>
    <col min="11780" max="11780" width="13.54296875" style="68" customWidth="1"/>
    <col min="11781" max="11782" width="15.90625" style="68" customWidth="1"/>
    <col min="11783" max="11783" width="11.54296875" style="68" customWidth="1"/>
    <col min="11784" max="11784" width="22.90625" style="68" customWidth="1"/>
    <col min="11785" max="11785" width="9.90625" style="68" bestFit="1" customWidth="1"/>
    <col min="11786" max="12030" width="9.08984375" style="68"/>
    <col min="12031" max="12031" width="11.453125" style="68" customWidth="1"/>
    <col min="12032" max="12032" width="5.54296875" style="68" customWidth="1"/>
    <col min="12033" max="12033" width="14.54296875" style="68" customWidth="1"/>
    <col min="12034" max="12034" width="15.90625" style="68" customWidth="1"/>
    <col min="12035" max="12035" width="14.453125" style="68" customWidth="1"/>
    <col min="12036" max="12036" width="13.54296875" style="68" customWidth="1"/>
    <col min="12037" max="12038" width="15.90625" style="68" customWidth="1"/>
    <col min="12039" max="12039" width="11.54296875" style="68" customWidth="1"/>
    <col min="12040" max="12040" width="22.90625" style="68" customWidth="1"/>
    <col min="12041" max="12041" width="9.90625" style="68" bestFit="1" customWidth="1"/>
    <col min="12042" max="12286" width="9.08984375" style="68"/>
    <col min="12287" max="12287" width="11.453125" style="68" customWidth="1"/>
    <col min="12288" max="12288" width="5.54296875" style="68" customWidth="1"/>
    <col min="12289" max="12289" width="14.54296875" style="68" customWidth="1"/>
    <col min="12290" max="12290" width="15.90625" style="68" customWidth="1"/>
    <col min="12291" max="12291" width="14.453125" style="68" customWidth="1"/>
    <col min="12292" max="12292" width="13.54296875" style="68" customWidth="1"/>
    <col min="12293" max="12294" width="15.90625" style="68" customWidth="1"/>
    <col min="12295" max="12295" width="11.54296875" style="68" customWidth="1"/>
    <col min="12296" max="12296" width="22.90625" style="68" customWidth="1"/>
    <col min="12297" max="12297" width="9.90625" style="68" bestFit="1" customWidth="1"/>
    <col min="12298" max="12542" width="9.08984375" style="68"/>
    <col min="12543" max="12543" width="11.453125" style="68" customWidth="1"/>
    <col min="12544" max="12544" width="5.54296875" style="68" customWidth="1"/>
    <col min="12545" max="12545" width="14.54296875" style="68" customWidth="1"/>
    <col min="12546" max="12546" width="15.90625" style="68" customWidth="1"/>
    <col min="12547" max="12547" width="14.453125" style="68" customWidth="1"/>
    <col min="12548" max="12548" width="13.54296875" style="68" customWidth="1"/>
    <col min="12549" max="12550" width="15.90625" style="68" customWidth="1"/>
    <col min="12551" max="12551" width="11.54296875" style="68" customWidth="1"/>
    <col min="12552" max="12552" width="22.90625" style="68" customWidth="1"/>
    <col min="12553" max="12553" width="9.90625" style="68" bestFit="1" customWidth="1"/>
    <col min="12554" max="12798" width="9.08984375" style="68"/>
    <col min="12799" max="12799" width="11.453125" style="68" customWidth="1"/>
    <col min="12800" max="12800" width="5.54296875" style="68" customWidth="1"/>
    <col min="12801" max="12801" width="14.54296875" style="68" customWidth="1"/>
    <col min="12802" max="12802" width="15.90625" style="68" customWidth="1"/>
    <col min="12803" max="12803" width="14.453125" style="68" customWidth="1"/>
    <col min="12804" max="12804" width="13.54296875" style="68" customWidth="1"/>
    <col min="12805" max="12806" width="15.90625" style="68" customWidth="1"/>
    <col min="12807" max="12807" width="11.54296875" style="68" customWidth="1"/>
    <col min="12808" max="12808" width="22.90625" style="68" customWidth="1"/>
    <col min="12809" max="12809" width="9.90625" style="68" bestFit="1" customWidth="1"/>
    <col min="12810" max="13054" width="9.08984375" style="68"/>
    <col min="13055" max="13055" width="11.453125" style="68" customWidth="1"/>
    <col min="13056" max="13056" width="5.54296875" style="68" customWidth="1"/>
    <col min="13057" max="13057" width="14.54296875" style="68" customWidth="1"/>
    <col min="13058" max="13058" width="15.90625" style="68" customWidth="1"/>
    <col min="13059" max="13059" width="14.453125" style="68" customWidth="1"/>
    <col min="13060" max="13060" width="13.54296875" style="68" customWidth="1"/>
    <col min="13061" max="13062" width="15.90625" style="68" customWidth="1"/>
    <col min="13063" max="13063" width="11.54296875" style="68" customWidth="1"/>
    <col min="13064" max="13064" width="22.90625" style="68" customWidth="1"/>
    <col min="13065" max="13065" width="9.90625" style="68" bestFit="1" customWidth="1"/>
    <col min="13066" max="13310" width="9.08984375" style="68"/>
    <col min="13311" max="13311" width="11.453125" style="68" customWidth="1"/>
    <col min="13312" max="13312" width="5.54296875" style="68" customWidth="1"/>
    <col min="13313" max="13313" width="14.54296875" style="68" customWidth="1"/>
    <col min="13314" max="13314" width="15.90625" style="68" customWidth="1"/>
    <col min="13315" max="13315" width="14.453125" style="68" customWidth="1"/>
    <col min="13316" max="13316" width="13.54296875" style="68" customWidth="1"/>
    <col min="13317" max="13318" width="15.90625" style="68" customWidth="1"/>
    <col min="13319" max="13319" width="11.54296875" style="68" customWidth="1"/>
    <col min="13320" max="13320" width="22.90625" style="68" customWidth="1"/>
    <col min="13321" max="13321" width="9.90625" style="68" bestFit="1" customWidth="1"/>
    <col min="13322" max="13566" width="9.08984375" style="68"/>
    <col min="13567" max="13567" width="11.453125" style="68" customWidth="1"/>
    <col min="13568" max="13568" width="5.54296875" style="68" customWidth="1"/>
    <col min="13569" max="13569" width="14.54296875" style="68" customWidth="1"/>
    <col min="13570" max="13570" width="15.90625" style="68" customWidth="1"/>
    <col min="13571" max="13571" width="14.453125" style="68" customWidth="1"/>
    <col min="13572" max="13572" width="13.54296875" style="68" customWidth="1"/>
    <col min="13573" max="13574" width="15.90625" style="68" customWidth="1"/>
    <col min="13575" max="13575" width="11.54296875" style="68" customWidth="1"/>
    <col min="13576" max="13576" width="22.90625" style="68" customWidth="1"/>
    <col min="13577" max="13577" width="9.90625" style="68" bestFit="1" customWidth="1"/>
    <col min="13578" max="13822" width="9.08984375" style="68"/>
    <col min="13823" max="13823" width="11.453125" style="68" customWidth="1"/>
    <col min="13824" max="13824" width="5.54296875" style="68" customWidth="1"/>
    <col min="13825" max="13825" width="14.54296875" style="68" customWidth="1"/>
    <col min="13826" max="13826" width="15.90625" style="68" customWidth="1"/>
    <col min="13827" max="13827" width="14.453125" style="68" customWidth="1"/>
    <col min="13828" max="13828" width="13.54296875" style="68" customWidth="1"/>
    <col min="13829" max="13830" width="15.90625" style="68" customWidth="1"/>
    <col min="13831" max="13831" width="11.54296875" style="68" customWidth="1"/>
    <col min="13832" max="13832" width="22.90625" style="68" customWidth="1"/>
    <col min="13833" max="13833" width="9.90625" style="68" bestFit="1" customWidth="1"/>
    <col min="13834" max="14078" width="9.08984375" style="68"/>
    <col min="14079" max="14079" width="11.453125" style="68" customWidth="1"/>
    <col min="14080" max="14080" width="5.54296875" style="68" customWidth="1"/>
    <col min="14081" max="14081" width="14.54296875" style="68" customWidth="1"/>
    <col min="14082" max="14082" width="15.90625" style="68" customWidth="1"/>
    <col min="14083" max="14083" width="14.453125" style="68" customWidth="1"/>
    <col min="14084" max="14084" width="13.54296875" style="68" customWidth="1"/>
    <col min="14085" max="14086" width="15.90625" style="68" customWidth="1"/>
    <col min="14087" max="14087" width="11.54296875" style="68" customWidth="1"/>
    <col min="14088" max="14088" width="22.90625" style="68" customWidth="1"/>
    <col min="14089" max="14089" width="9.90625" style="68" bestFit="1" customWidth="1"/>
    <col min="14090" max="14334" width="9.08984375" style="68"/>
    <col min="14335" max="14335" width="11.453125" style="68" customWidth="1"/>
    <col min="14336" max="14336" width="5.54296875" style="68" customWidth="1"/>
    <col min="14337" max="14337" width="14.54296875" style="68" customWidth="1"/>
    <col min="14338" max="14338" width="15.90625" style="68" customWidth="1"/>
    <col min="14339" max="14339" width="14.453125" style="68" customWidth="1"/>
    <col min="14340" max="14340" width="13.54296875" style="68" customWidth="1"/>
    <col min="14341" max="14342" width="15.90625" style="68" customWidth="1"/>
    <col min="14343" max="14343" width="11.54296875" style="68" customWidth="1"/>
    <col min="14344" max="14344" width="22.90625" style="68" customWidth="1"/>
    <col min="14345" max="14345" width="9.90625" style="68" bestFit="1" customWidth="1"/>
    <col min="14346" max="14590" width="9.08984375" style="68"/>
    <col min="14591" max="14591" width="11.453125" style="68" customWidth="1"/>
    <col min="14592" max="14592" width="5.54296875" style="68" customWidth="1"/>
    <col min="14593" max="14593" width="14.54296875" style="68" customWidth="1"/>
    <col min="14594" max="14594" width="15.90625" style="68" customWidth="1"/>
    <col min="14595" max="14595" width="14.453125" style="68" customWidth="1"/>
    <col min="14596" max="14596" width="13.54296875" style="68" customWidth="1"/>
    <col min="14597" max="14598" width="15.90625" style="68" customWidth="1"/>
    <col min="14599" max="14599" width="11.54296875" style="68" customWidth="1"/>
    <col min="14600" max="14600" width="22.90625" style="68" customWidth="1"/>
    <col min="14601" max="14601" width="9.90625" style="68" bestFit="1" customWidth="1"/>
    <col min="14602" max="14846" width="9.08984375" style="68"/>
    <col min="14847" max="14847" width="11.453125" style="68" customWidth="1"/>
    <col min="14848" max="14848" width="5.54296875" style="68" customWidth="1"/>
    <col min="14849" max="14849" width="14.54296875" style="68" customWidth="1"/>
    <col min="14850" max="14850" width="15.90625" style="68" customWidth="1"/>
    <col min="14851" max="14851" width="14.453125" style="68" customWidth="1"/>
    <col min="14852" max="14852" width="13.54296875" style="68" customWidth="1"/>
    <col min="14853" max="14854" width="15.90625" style="68" customWidth="1"/>
    <col min="14855" max="14855" width="11.54296875" style="68" customWidth="1"/>
    <col min="14856" max="14856" width="22.90625" style="68" customWidth="1"/>
    <col min="14857" max="14857" width="9.90625" style="68" bestFit="1" customWidth="1"/>
    <col min="14858" max="15102" width="9.08984375" style="68"/>
    <col min="15103" max="15103" width="11.453125" style="68" customWidth="1"/>
    <col min="15104" max="15104" width="5.54296875" style="68" customWidth="1"/>
    <col min="15105" max="15105" width="14.54296875" style="68" customWidth="1"/>
    <col min="15106" max="15106" width="15.90625" style="68" customWidth="1"/>
    <col min="15107" max="15107" width="14.453125" style="68" customWidth="1"/>
    <col min="15108" max="15108" width="13.54296875" style="68" customWidth="1"/>
    <col min="15109" max="15110" width="15.90625" style="68" customWidth="1"/>
    <col min="15111" max="15111" width="11.54296875" style="68" customWidth="1"/>
    <col min="15112" max="15112" width="22.90625" style="68" customWidth="1"/>
    <col min="15113" max="15113" width="9.90625" style="68" bestFit="1" customWidth="1"/>
    <col min="15114" max="15358" width="9.08984375" style="68"/>
    <col min="15359" max="15359" width="11.453125" style="68" customWidth="1"/>
    <col min="15360" max="15360" width="5.54296875" style="68" customWidth="1"/>
    <col min="15361" max="15361" width="14.54296875" style="68" customWidth="1"/>
    <col min="15362" max="15362" width="15.90625" style="68" customWidth="1"/>
    <col min="15363" max="15363" width="14.453125" style="68" customWidth="1"/>
    <col min="15364" max="15364" width="13.54296875" style="68" customWidth="1"/>
    <col min="15365" max="15366" width="15.90625" style="68" customWidth="1"/>
    <col min="15367" max="15367" width="11.54296875" style="68" customWidth="1"/>
    <col min="15368" max="15368" width="22.90625" style="68" customWidth="1"/>
    <col min="15369" max="15369" width="9.90625" style="68" bestFit="1" customWidth="1"/>
    <col min="15370" max="15614" width="9.08984375" style="68"/>
    <col min="15615" max="15615" width="11.453125" style="68" customWidth="1"/>
    <col min="15616" max="15616" width="5.54296875" style="68" customWidth="1"/>
    <col min="15617" max="15617" width="14.54296875" style="68" customWidth="1"/>
    <col min="15618" max="15618" width="15.90625" style="68" customWidth="1"/>
    <col min="15619" max="15619" width="14.453125" style="68" customWidth="1"/>
    <col min="15620" max="15620" width="13.54296875" style="68" customWidth="1"/>
    <col min="15621" max="15622" width="15.90625" style="68" customWidth="1"/>
    <col min="15623" max="15623" width="11.54296875" style="68" customWidth="1"/>
    <col min="15624" max="15624" width="22.90625" style="68" customWidth="1"/>
    <col min="15625" max="15625" width="9.90625" style="68" bestFit="1" customWidth="1"/>
    <col min="15626" max="15870" width="9.08984375" style="68"/>
    <col min="15871" max="15871" width="11.453125" style="68" customWidth="1"/>
    <col min="15872" max="15872" width="5.54296875" style="68" customWidth="1"/>
    <col min="15873" max="15873" width="14.54296875" style="68" customWidth="1"/>
    <col min="15874" max="15874" width="15.90625" style="68" customWidth="1"/>
    <col min="15875" max="15875" width="14.453125" style="68" customWidth="1"/>
    <col min="15876" max="15876" width="13.54296875" style="68" customWidth="1"/>
    <col min="15877" max="15878" width="15.90625" style="68" customWidth="1"/>
    <col min="15879" max="15879" width="11.54296875" style="68" customWidth="1"/>
    <col min="15880" max="15880" width="22.90625" style="68" customWidth="1"/>
    <col min="15881" max="15881" width="9.90625" style="68" bestFit="1" customWidth="1"/>
    <col min="15882" max="16126" width="9.08984375" style="68"/>
    <col min="16127" max="16127" width="11.453125" style="68" customWidth="1"/>
    <col min="16128" max="16128" width="5.54296875" style="68" customWidth="1"/>
    <col min="16129" max="16129" width="14.54296875" style="68" customWidth="1"/>
    <col min="16130" max="16130" width="15.90625" style="68" customWidth="1"/>
    <col min="16131" max="16131" width="14.453125" style="68" customWidth="1"/>
    <col min="16132" max="16132" width="13.54296875" style="68" customWidth="1"/>
    <col min="16133" max="16134" width="15.90625" style="68" customWidth="1"/>
    <col min="16135" max="16135" width="11.54296875" style="68" customWidth="1"/>
    <col min="16136" max="16136" width="22.90625" style="68" customWidth="1"/>
    <col min="16137" max="16137" width="9.90625" style="68" bestFit="1" customWidth="1"/>
    <col min="16138" max="16384" width="9.08984375" style="68"/>
  </cols>
  <sheetData>
    <row r="1" spans="1:9" s="45" customFormat="1" ht="13.5" thickBot="1" x14ac:dyDescent="0.35">
      <c r="A1" s="419" t="s">
        <v>148</v>
      </c>
      <c r="B1" s="420"/>
      <c r="C1" s="420"/>
      <c r="D1" s="420"/>
      <c r="E1" s="420"/>
      <c r="F1" s="421"/>
      <c r="G1" s="43"/>
      <c r="H1" s="44" t="s">
        <v>149</v>
      </c>
    </row>
    <row r="2" spans="1:9" s="45" customFormat="1" ht="13" x14ac:dyDescent="0.3">
      <c r="A2" s="422" t="s">
        <v>150</v>
      </c>
      <c r="B2" s="422"/>
      <c r="C2" s="422"/>
      <c r="D2" s="46">
        <f>'Dashboard все'!F24</f>
        <v>675000000</v>
      </c>
      <c r="E2" s="423"/>
      <c r="F2" s="424"/>
      <c r="G2" s="43"/>
      <c r="H2" s="47" t="s">
        <v>151</v>
      </c>
      <c r="I2" s="48">
        <v>46027</v>
      </c>
    </row>
    <row r="3" spans="1:9" s="45" customFormat="1" ht="13" x14ac:dyDescent="0.3">
      <c r="A3" s="411" t="s">
        <v>152</v>
      </c>
      <c r="B3" s="411"/>
      <c r="C3" s="411"/>
      <c r="D3" s="49">
        <f>'Dashboard (с перегор)'!F25</f>
        <v>18</v>
      </c>
      <c r="E3" s="425"/>
      <c r="F3" s="426"/>
      <c r="G3" s="43"/>
      <c r="H3" s="50" t="s">
        <v>148</v>
      </c>
      <c r="I3" s="51">
        <v>47092</v>
      </c>
    </row>
    <row r="4" spans="1:9" s="45" customFormat="1" ht="13" x14ac:dyDescent="0.3">
      <c r="A4" s="411" t="s">
        <v>153</v>
      </c>
      <c r="B4" s="411"/>
      <c r="C4" s="411"/>
      <c r="D4" s="52">
        <f>'Dashboard все'!F28</f>
        <v>21</v>
      </c>
      <c r="E4" s="412"/>
      <c r="F4" s="413"/>
      <c r="G4" s="43"/>
      <c r="H4" s="53" t="s">
        <v>154</v>
      </c>
      <c r="I4" s="54">
        <f>I3-I2</f>
        <v>1065</v>
      </c>
    </row>
    <row r="5" spans="1:9" s="45" customFormat="1" ht="13.5" thickBot="1" x14ac:dyDescent="0.35">
      <c r="A5" s="411" t="s">
        <v>155</v>
      </c>
      <c r="B5" s="411"/>
      <c r="C5" s="411"/>
      <c r="D5" s="55">
        <f>'Dashboard все'!F29</f>
        <v>0</v>
      </c>
      <c r="E5" s="412"/>
      <c r="F5" s="413"/>
      <c r="G5" s="43"/>
      <c r="H5" s="56" t="b">
        <v>1</v>
      </c>
      <c r="I5" s="57">
        <f>I4/30</f>
        <v>35.5</v>
      </c>
    </row>
    <row r="6" spans="1:9" s="45" customFormat="1" ht="13" x14ac:dyDescent="0.3">
      <c r="A6" s="416" t="s">
        <v>156</v>
      </c>
      <c r="B6" s="417"/>
      <c r="C6" s="418"/>
      <c r="D6" s="58">
        <f>'Dashboard все'!F27</f>
        <v>46204</v>
      </c>
      <c r="E6" s="412"/>
      <c r="F6" s="413"/>
      <c r="G6" s="43"/>
      <c r="H6" s="44"/>
      <c r="I6" s="59"/>
    </row>
    <row r="7" spans="1:9" s="45" customFormat="1" ht="13" x14ac:dyDescent="0.3">
      <c r="A7" s="411" t="str">
        <f>IF(A1="АННУИТЕТ","Ежемесячный платеж","Ежемесячный платеж от")</f>
        <v>Ежемесячный платеж от</v>
      </c>
      <c r="B7" s="411"/>
      <c r="C7" s="411"/>
      <c r="D7" s="60">
        <f>IF(H5=TRUE,IF($A$1="АННУИТЕТ",-PMT($D$4/(12*100),$D$3-$D$5,$D$2),$D$2/($D$3-$D$5)+$D$2*$D$4/(12*100)),IF($A$1="АННУИТЕТ",-PMT($D$4/(12*100),$D$3,$D$2),$D$2/($D$3)+$D$2*$D$4/(12*100)))</f>
        <v>49312500</v>
      </c>
      <c r="E7" s="412"/>
      <c r="F7" s="413"/>
      <c r="G7" s="43"/>
      <c r="H7" s="44"/>
      <c r="I7" s="59"/>
    </row>
    <row r="8" spans="1:9" s="45" customFormat="1" ht="13" x14ac:dyDescent="0.3">
      <c r="A8" s="411" t="s">
        <v>157</v>
      </c>
      <c r="B8" s="411"/>
      <c r="C8" s="411"/>
      <c r="D8" s="61">
        <f>SUM(D12:D251)</f>
        <v>112218750</v>
      </c>
      <c r="E8" s="412"/>
      <c r="F8" s="413"/>
      <c r="G8" s="43"/>
      <c r="H8" s="44"/>
      <c r="I8" s="59"/>
    </row>
    <row r="9" spans="1:9" s="45" customFormat="1" ht="13.5" thickBot="1" x14ac:dyDescent="0.35">
      <c r="A9" s="411" t="s">
        <v>158</v>
      </c>
      <c r="B9" s="411"/>
      <c r="C9" s="411"/>
      <c r="D9" s="62">
        <f>SUM(E12:E251)</f>
        <v>787218750</v>
      </c>
      <c r="E9" s="414"/>
      <c r="F9" s="415"/>
      <c r="G9" s="43"/>
      <c r="H9" s="44"/>
    </row>
    <row r="10" spans="1:9" ht="23" x14ac:dyDescent="0.25">
      <c r="A10" s="63" t="s">
        <v>159</v>
      </c>
      <c r="B10" s="63" t="s">
        <v>160</v>
      </c>
      <c r="C10" s="64" t="s">
        <v>161</v>
      </c>
      <c r="D10" s="64" t="s">
        <v>162</v>
      </c>
      <c r="E10" s="64" t="s">
        <v>158</v>
      </c>
      <c r="F10" s="65" t="s">
        <v>163</v>
      </c>
      <c r="G10" s="66"/>
      <c r="H10" s="67"/>
    </row>
    <row r="11" spans="1:9" s="75" customFormat="1" x14ac:dyDescent="0.25">
      <c r="A11" s="69"/>
      <c r="B11" s="70"/>
      <c r="C11" s="71"/>
      <c r="D11" s="71"/>
      <c r="E11" s="71"/>
      <c r="F11" s="72">
        <f>D2</f>
        <v>675000000</v>
      </c>
      <c r="G11" s="73"/>
      <c r="H11" s="74"/>
    </row>
    <row r="12" spans="1:9" s="75" customFormat="1" x14ac:dyDescent="0.25">
      <c r="A12" s="76">
        <f>IF($D$3&gt;=B12,DATE(YEAR($D$6),MONTH($D$6)+B12-1,DAY($D$6)),0)</f>
        <v>46204</v>
      </c>
      <c r="B12" s="77">
        <v>1</v>
      </c>
      <c r="C12" s="78">
        <f t="shared" ref="C12:C75" si="0">IF(F11&lt;0.01,0,IF($H$5=TRUE,IF(B12&lt;=$D$5,0,IF($A$1="АННУИТЕТ",$D$7-D12,$D$2/($D$3-$D$5))),IF($A$1="АННУИТЕТ",$D$7-D12,$D$2/$D$3)))</f>
        <v>37500000</v>
      </c>
      <c r="D12" s="78">
        <f t="shared" ref="D12:D75" si="1">F11*($D$4/12)/100</f>
        <v>11812500</v>
      </c>
      <c r="E12" s="79">
        <f>IF($A$1="АННУИТЕТ",IF(F11&gt;0,C12+D12,0),C12+D12)</f>
        <v>49312500</v>
      </c>
      <c r="F12" s="80">
        <f>F11-C12</f>
        <v>637500000</v>
      </c>
      <c r="G12" s="81"/>
      <c r="H12" s="82"/>
    </row>
    <row r="13" spans="1:9" s="75" customFormat="1" x14ac:dyDescent="0.25">
      <c r="A13" s="76">
        <f t="shared" ref="A13:A76" si="2">IF($D$3&gt;=B13,DATE(YEAR($D$6),MONTH($D$6)+B13-1,DAY($D$6)),0)</f>
        <v>46235</v>
      </c>
      <c r="B13" s="77">
        <v>2</v>
      </c>
      <c r="C13" s="78">
        <f t="shared" si="0"/>
        <v>37500000</v>
      </c>
      <c r="D13" s="78">
        <f t="shared" si="1"/>
        <v>11156250</v>
      </c>
      <c r="E13" s="79">
        <f t="shared" ref="E13:E76" si="3">IF($A$1="АННУИТЕТ",IF(F12&gt;0,C13+D13,0),C13+D13)</f>
        <v>48656250</v>
      </c>
      <c r="F13" s="80">
        <f t="shared" ref="F13:F76" si="4">F12-C13</f>
        <v>600000000</v>
      </c>
      <c r="G13" s="81"/>
      <c r="H13" s="82"/>
    </row>
    <row r="14" spans="1:9" s="75" customFormat="1" x14ac:dyDescent="0.25">
      <c r="A14" s="76">
        <f t="shared" si="2"/>
        <v>46266</v>
      </c>
      <c r="B14" s="77">
        <v>3</v>
      </c>
      <c r="C14" s="78">
        <f t="shared" si="0"/>
        <v>37500000</v>
      </c>
      <c r="D14" s="78">
        <f t="shared" si="1"/>
        <v>10500000</v>
      </c>
      <c r="E14" s="79">
        <f t="shared" si="3"/>
        <v>48000000</v>
      </c>
      <c r="F14" s="80">
        <f t="shared" si="4"/>
        <v>562500000</v>
      </c>
      <c r="G14" s="81"/>
      <c r="H14" s="82"/>
    </row>
    <row r="15" spans="1:9" s="75" customFormat="1" x14ac:dyDescent="0.25">
      <c r="A15" s="76">
        <f t="shared" si="2"/>
        <v>46296</v>
      </c>
      <c r="B15" s="77">
        <v>4</v>
      </c>
      <c r="C15" s="78">
        <f t="shared" si="0"/>
        <v>37500000</v>
      </c>
      <c r="D15" s="78">
        <f t="shared" si="1"/>
        <v>9843750</v>
      </c>
      <c r="E15" s="79">
        <f t="shared" si="3"/>
        <v>47343750</v>
      </c>
      <c r="F15" s="80">
        <f t="shared" si="4"/>
        <v>525000000</v>
      </c>
      <c r="G15" s="81"/>
      <c r="H15" s="82"/>
    </row>
    <row r="16" spans="1:9" s="75" customFormat="1" x14ac:dyDescent="0.25">
      <c r="A16" s="76">
        <f t="shared" si="2"/>
        <v>46327</v>
      </c>
      <c r="B16" s="77">
        <v>5</v>
      </c>
      <c r="C16" s="78">
        <f t="shared" si="0"/>
        <v>37500000</v>
      </c>
      <c r="D16" s="78">
        <f t="shared" si="1"/>
        <v>9187500</v>
      </c>
      <c r="E16" s="79">
        <f t="shared" si="3"/>
        <v>46687500</v>
      </c>
      <c r="F16" s="80">
        <f t="shared" si="4"/>
        <v>487500000</v>
      </c>
      <c r="G16" s="81"/>
      <c r="H16" s="82"/>
    </row>
    <row r="17" spans="1:8" s="75" customFormat="1" x14ac:dyDescent="0.25">
      <c r="A17" s="76">
        <f t="shared" si="2"/>
        <v>46357</v>
      </c>
      <c r="B17" s="77">
        <v>6</v>
      </c>
      <c r="C17" s="78">
        <f t="shared" si="0"/>
        <v>37500000</v>
      </c>
      <c r="D17" s="78">
        <f t="shared" si="1"/>
        <v>8531250</v>
      </c>
      <c r="E17" s="79">
        <f t="shared" si="3"/>
        <v>46031250</v>
      </c>
      <c r="F17" s="80">
        <f t="shared" si="4"/>
        <v>450000000</v>
      </c>
      <c r="G17" s="81"/>
      <c r="H17" s="82"/>
    </row>
    <row r="18" spans="1:8" s="75" customFormat="1" x14ac:dyDescent="0.25">
      <c r="A18" s="76">
        <f t="shared" si="2"/>
        <v>46388</v>
      </c>
      <c r="B18" s="77">
        <v>7</v>
      </c>
      <c r="C18" s="78">
        <f t="shared" si="0"/>
        <v>37500000</v>
      </c>
      <c r="D18" s="78">
        <f t="shared" si="1"/>
        <v>7875000</v>
      </c>
      <c r="E18" s="79">
        <f t="shared" si="3"/>
        <v>45375000</v>
      </c>
      <c r="F18" s="80">
        <f t="shared" si="4"/>
        <v>412500000</v>
      </c>
      <c r="G18" s="81"/>
      <c r="H18" s="82"/>
    </row>
    <row r="19" spans="1:8" s="75" customFormat="1" x14ac:dyDescent="0.25">
      <c r="A19" s="76">
        <f t="shared" si="2"/>
        <v>46419</v>
      </c>
      <c r="B19" s="77">
        <v>8</v>
      </c>
      <c r="C19" s="78">
        <f t="shared" si="0"/>
        <v>37500000</v>
      </c>
      <c r="D19" s="78">
        <f t="shared" si="1"/>
        <v>7218750</v>
      </c>
      <c r="E19" s="79">
        <f t="shared" si="3"/>
        <v>44718750</v>
      </c>
      <c r="F19" s="80">
        <f t="shared" si="4"/>
        <v>375000000</v>
      </c>
      <c r="G19" s="81"/>
      <c r="H19" s="82"/>
    </row>
    <row r="20" spans="1:8" s="75" customFormat="1" x14ac:dyDescent="0.25">
      <c r="A20" s="76">
        <f t="shared" si="2"/>
        <v>46447</v>
      </c>
      <c r="B20" s="77">
        <v>9</v>
      </c>
      <c r="C20" s="78">
        <f t="shared" si="0"/>
        <v>37500000</v>
      </c>
      <c r="D20" s="78">
        <f t="shared" si="1"/>
        <v>6562500</v>
      </c>
      <c r="E20" s="79">
        <f t="shared" si="3"/>
        <v>44062500</v>
      </c>
      <c r="F20" s="80">
        <f t="shared" si="4"/>
        <v>337500000</v>
      </c>
      <c r="G20" s="81"/>
      <c r="H20" s="82"/>
    </row>
    <row r="21" spans="1:8" s="75" customFormat="1" x14ac:dyDescent="0.25">
      <c r="A21" s="76">
        <f t="shared" si="2"/>
        <v>46478</v>
      </c>
      <c r="B21" s="77">
        <v>10</v>
      </c>
      <c r="C21" s="78">
        <f t="shared" si="0"/>
        <v>37500000</v>
      </c>
      <c r="D21" s="78">
        <f t="shared" si="1"/>
        <v>5906250</v>
      </c>
      <c r="E21" s="79">
        <f t="shared" si="3"/>
        <v>43406250</v>
      </c>
      <c r="F21" s="80">
        <f t="shared" si="4"/>
        <v>300000000</v>
      </c>
      <c r="G21" s="81"/>
      <c r="H21" s="82"/>
    </row>
    <row r="22" spans="1:8" s="75" customFormat="1" x14ac:dyDescent="0.25">
      <c r="A22" s="76">
        <f t="shared" si="2"/>
        <v>46508</v>
      </c>
      <c r="B22" s="77">
        <v>11</v>
      </c>
      <c r="C22" s="78">
        <f t="shared" si="0"/>
        <v>37500000</v>
      </c>
      <c r="D22" s="78">
        <f t="shared" si="1"/>
        <v>5250000</v>
      </c>
      <c r="E22" s="79">
        <f t="shared" si="3"/>
        <v>42750000</v>
      </c>
      <c r="F22" s="80">
        <f t="shared" si="4"/>
        <v>262500000</v>
      </c>
      <c r="G22" s="81"/>
      <c r="H22" s="82"/>
    </row>
    <row r="23" spans="1:8" s="75" customFormat="1" x14ac:dyDescent="0.25">
      <c r="A23" s="83">
        <f t="shared" si="2"/>
        <v>46539</v>
      </c>
      <c r="B23" s="84">
        <v>12</v>
      </c>
      <c r="C23" s="85">
        <f t="shared" si="0"/>
        <v>37500000</v>
      </c>
      <c r="D23" s="85">
        <f t="shared" si="1"/>
        <v>4593750</v>
      </c>
      <c r="E23" s="85">
        <f t="shared" si="3"/>
        <v>42093750</v>
      </c>
      <c r="F23" s="86">
        <f t="shared" si="4"/>
        <v>225000000</v>
      </c>
      <c r="G23" s="81"/>
      <c r="H23" s="82"/>
    </row>
    <row r="24" spans="1:8" s="75" customFormat="1" x14ac:dyDescent="0.25">
      <c r="A24" s="76">
        <f t="shared" si="2"/>
        <v>46569</v>
      </c>
      <c r="B24" s="77">
        <v>13</v>
      </c>
      <c r="C24" s="78">
        <f t="shared" si="0"/>
        <v>37500000</v>
      </c>
      <c r="D24" s="78">
        <f>F23*($D$4/12)/100</f>
        <v>3937500</v>
      </c>
      <c r="E24" s="79">
        <f t="shared" si="3"/>
        <v>41437500</v>
      </c>
      <c r="F24" s="80">
        <f t="shared" si="4"/>
        <v>187500000</v>
      </c>
      <c r="G24" s="81"/>
      <c r="H24" s="82"/>
    </row>
    <row r="25" spans="1:8" s="75" customFormat="1" x14ac:dyDescent="0.25">
      <c r="A25" s="76">
        <f t="shared" si="2"/>
        <v>46600</v>
      </c>
      <c r="B25" s="77">
        <v>14</v>
      </c>
      <c r="C25" s="78">
        <f t="shared" si="0"/>
        <v>37500000</v>
      </c>
      <c r="D25" s="78">
        <f t="shared" si="1"/>
        <v>3281250</v>
      </c>
      <c r="E25" s="79">
        <f t="shared" si="3"/>
        <v>40781250</v>
      </c>
      <c r="F25" s="80">
        <f t="shared" si="4"/>
        <v>150000000</v>
      </c>
      <c r="G25" s="81"/>
      <c r="H25" s="82"/>
    </row>
    <row r="26" spans="1:8" s="75" customFormat="1" x14ac:dyDescent="0.25">
      <c r="A26" s="76">
        <f t="shared" si="2"/>
        <v>46631</v>
      </c>
      <c r="B26" s="77">
        <v>15</v>
      </c>
      <c r="C26" s="78">
        <f t="shared" si="0"/>
        <v>37500000</v>
      </c>
      <c r="D26" s="78">
        <f t="shared" si="1"/>
        <v>2625000</v>
      </c>
      <c r="E26" s="79">
        <f t="shared" si="3"/>
        <v>40125000</v>
      </c>
      <c r="F26" s="80">
        <f t="shared" si="4"/>
        <v>112500000</v>
      </c>
      <c r="G26" s="81"/>
      <c r="H26" s="82"/>
    </row>
    <row r="27" spans="1:8" s="75" customFormat="1" x14ac:dyDescent="0.25">
      <c r="A27" s="76">
        <f t="shared" si="2"/>
        <v>46661</v>
      </c>
      <c r="B27" s="77">
        <v>16</v>
      </c>
      <c r="C27" s="78">
        <f t="shared" si="0"/>
        <v>37500000</v>
      </c>
      <c r="D27" s="78">
        <f t="shared" si="1"/>
        <v>1968750</v>
      </c>
      <c r="E27" s="79">
        <f t="shared" si="3"/>
        <v>39468750</v>
      </c>
      <c r="F27" s="80">
        <f t="shared" si="4"/>
        <v>75000000</v>
      </c>
      <c r="G27" s="81"/>
      <c r="H27" s="82"/>
    </row>
    <row r="28" spans="1:8" s="75" customFormat="1" x14ac:dyDescent="0.25">
      <c r="A28" s="76">
        <f t="shared" si="2"/>
        <v>46692</v>
      </c>
      <c r="B28" s="77">
        <v>17</v>
      </c>
      <c r="C28" s="78">
        <f t="shared" si="0"/>
        <v>37500000</v>
      </c>
      <c r="D28" s="78">
        <f t="shared" si="1"/>
        <v>1312500</v>
      </c>
      <c r="E28" s="79">
        <f t="shared" si="3"/>
        <v>38812500</v>
      </c>
      <c r="F28" s="80">
        <f t="shared" si="4"/>
        <v>37500000</v>
      </c>
      <c r="G28" s="81"/>
      <c r="H28" s="82"/>
    </row>
    <row r="29" spans="1:8" s="75" customFormat="1" x14ac:dyDescent="0.25">
      <c r="A29" s="76">
        <f t="shared" si="2"/>
        <v>46722</v>
      </c>
      <c r="B29" s="77">
        <v>18</v>
      </c>
      <c r="C29" s="78">
        <f t="shared" si="0"/>
        <v>37500000</v>
      </c>
      <c r="D29" s="78">
        <f t="shared" si="1"/>
        <v>656250</v>
      </c>
      <c r="E29" s="79">
        <f t="shared" si="3"/>
        <v>38156250</v>
      </c>
      <c r="F29" s="80">
        <f t="shared" si="4"/>
        <v>0</v>
      </c>
      <c r="G29" s="81"/>
      <c r="H29" s="82"/>
    </row>
    <row r="30" spans="1:8" s="75" customFormat="1" x14ac:dyDescent="0.25">
      <c r="A30" s="76">
        <f t="shared" si="2"/>
        <v>0</v>
      </c>
      <c r="B30" s="77">
        <v>19</v>
      </c>
      <c r="C30" s="78">
        <f t="shared" si="0"/>
        <v>0</v>
      </c>
      <c r="D30" s="78">
        <f t="shared" si="1"/>
        <v>0</v>
      </c>
      <c r="E30" s="79">
        <f t="shared" si="3"/>
        <v>0</v>
      </c>
      <c r="F30" s="80">
        <f t="shared" si="4"/>
        <v>0</v>
      </c>
      <c r="G30" s="81"/>
      <c r="H30" s="82"/>
    </row>
    <row r="31" spans="1:8" s="75" customFormat="1" x14ac:dyDescent="0.25">
      <c r="A31" s="76">
        <f t="shared" si="2"/>
        <v>0</v>
      </c>
      <c r="B31" s="77">
        <v>20</v>
      </c>
      <c r="C31" s="78">
        <f t="shared" si="0"/>
        <v>0</v>
      </c>
      <c r="D31" s="78">
        <f t="shared" si="1"/>
        <v>0</v>
      </c>
      <c r="E31" s="79">
        <f t="shared" si="3"/>
        <v>0</v>
      </c>
      <c r="F31" s="80">
        <f t="shared" si="4"/>
        <v>0</v>
      </c>
      <c r="G31" s="81"/>
      <c r="H31" s="82"/>
    </row>
    <row r="32" spans="1:8" s="75" customFormat="1" x14ac:dyDescent="0.25">
      <c r="A32" s="76">
        <f t="shared" si="2"/>
        <v>0</v>
      </c>
      <c r="B32" s="77">
        <v>21</v>
      </c>
      <c r="C32" s="78">
        <f t="shared" si="0"/>
        <v>0</v>
      </c>
      <c r="D32" s="78">
        <f t="shared" si="1"/>
        <v>0</v>
      </c>
      <c r="E32" s="79">
        <f t="shared" si="3"/>
        <v>0</v>
      </c>
      <c r="F32" s="80">
        <f t="shared" si="4"/>
        <v>0</v>
      </c>
      <c r="G32" s="81"/>
      <c r="H32" s="82"/>
    </row>
    <row r="33" spans="1:8" s="75" customFormat="1" x14ac:dyDescent="0.25">
      <c r="A33" s="76">
        <f t="shared" si="2"/>
        <v>0</v>
      </c>
      <c r="B33" s="77">
        <v>22</v>
      </c>
      <c r="C33" s="78">
        <f t="shared" si="0"/>
        <v>0</v>
      </c>
      <c r="D33" s="78">
        <f t="shared" si="1"/>
        <v>0</v>
      </c>
      <c r="E33" s="79">
        <f t="shared" si="3"/>
        <v>0</v>
      </c>
      <c r="F33" s="80">
        <f t="shared" si="4"/>
        <v>0</v>
      </c>
      <c r="G33" s="81"/>
      <c r="H33" s="82"/>
    </row>
    <row r="34" spans="1:8" s="75" customFormat="1" x14ac:dyDescent="0.25">
      <c r="A34" s="76">
        <f t="shared" si="2"/>
        <v>0</v>
      </c>
      <c r="B34" s="77">
        <v>23</v>
      </c>
      <c r="C34" s="78">
        <f t="shared" si="0"/>
        <v>0</v>
      </c>
      <c r="D34" s="78">
        <f t="shared" si="1"/>
        <v>0</v>
      </c>
      <c r="E34" s="79">
        <f t="shared" si="3"/>
        <v>0</v>
      </c>
      <c r="F34" s="80">
        <f t="shared" si="4"/>
        <v>0</v>
      </c>
      <c r="G34" s="81"/>
      <c r="H34" s="82"/>
    </row>
    <row r="35" spans="1:8" s="75" customFormat="1" x14ac:dyDescent="0.25">
      <c r="A35" s="83">
        <f t="shared" si="2"/>
        <v>0</v>
      </c>
      <c r="B35" s="84">
        <v>24</v>
      </c>
      <c r="C35" s="85">
        <f t="shared" si="0"/>
        <v>0</v>
      </c>
      <c r="D35" s="85">
        <f t="shared" si="1"/>
        <v>0</v>
      </c>
      <c r="E35" s="85">
        <f t="shared" si="3"/>
        <v>0</v>
      </c>
      <c r="F35" s="86">
        <f t="shared" si="4"/>
        <v>0</v>
      </c>
      <c r="G35" s="81"/>
      <c r="H35" s="82"/>
    </row>
    <row r="36" spans="1:8" s="93" customFormat="1" x14ac:dyDescent="0.25">
      <c r="A36" s="87">
        <f t="shared" si="2"/>
        <v>0</v>
      </c>
      <c r="B36" s="88">
        <v>25</v>
      </c>
      <c r="C36" s="89">
        <f t="shared" si="0"/>
        <v>0</v>
      </c>
      <c r="D36" s="89">
        <f t="shared" si="1"/>
        <v>0</v>
      </c>
      <c r="E36" s="90">
        <f t="shared" si="3"/>
        <v>0</v>
      </c>
      <c r="F36" s="91">
        <f t="shared" si="4"/>
        <v>0</v>
      </c>
      <c r="G36" s="81"/>
      <c r="H36" s="92"/>
    </row>
    <row r="37" spans="1:8" s="75" customFormat="1" x14ac:dyDescent="0.25">
      <c r="A37" s="76">
        <f t="shared" si="2"/>
        <v>0</v>
      </c>
      <c r="B37" s="77">
        <v>26</v>
      </c>
      <c r="C37" s="78">
        <f t="shared" si="0"/>
        <v>0</v>
      </c>
      <c r="D37" s="78">
        <f t="shared" si="1"/>
        <v>0</v>
      </c>
      <c r="E37" s="79">
        <f t="shared" si="3"/>
        <v>0</v>
      </c>
      <c r="F37" s="80">
        <f t="shared" si="4"/>
        <v>0</v>
      </c>
      <c r="G37" s="81"/>
      <c r="H37" s="82"/>
    </row>
    <row r="38" spans="1:8" s="75" customFormat="1" x14ac:dyDescent="0.25">
      <c r="A38" s="76">
        <f t="shared" si="2"/>
        <v>0</v>
      </c>
      <c r="B38" s="77">
        <v>27</v>
      </c>
      <c r="C38" s="78">
        <f t="shared" si="0"/>
        <v>0</v>
      </c>
      <c r="D38" s="78">
        <f t="shared" si="1"/>
        <v>0</v>
      </c>
      <c r="E38" s="79">
        <f t="shared" si="3"/>
        <v>0</v>
      </c>
      <c r="F38" s="80">
        <f t="shared" si="4"/>
        <v>0</v>
      </c>
      <c r="G38" s="81"/>
      <c r="H38" s="82"/>
    </row>
    <row r="39" spans="1:8" s="75" customFormat="1" x14ac:dyDescent="0.25">
      <c r="A39" s="76">
        <f t="shared" si="2"/>
        <v>0</v>
      </c>
      <c r="B39" s="77">
        <v>28</v>
      </c>
      <c r="C39" s="78">
        <f t="shared" si="0"/>
        <v>0</v>
      </c>
      <c r="D39" s="78">
        <f t="shared" si="1"/>
        <v>0</v>
      </c>
      <c r="E39" s="79">
        <f t="shared" si="3"/>
        <v>0</v>
      </c>
      <c r="F39" s="80">
        <f t="shared" si="4"/>
        <v>0</v>
      </c>
      <c r="G39" s="81"/>
      <c r="H39" s="82"/>
    </row>
    <row r="40" spans="1:8" s="75" customFormat="1" x14ac:dyDescent="0.25">
      <c r="A40" s="76">
        <f t="shared" si="2"/>
        <v>0</v>
      </c>
      <c r="B40" s="77">
        <v>29</v>
      </c>
      <c r="C40" s="78">
        <f t="shared" si="0"/>
        <v>0</v>
      </c>
      <c r="D40" s="78">
        <f t="shared" si="1"/>
        <v>0</v>
      </c>
      <c r="E40" s="79">
        <f t="shared" si="3"/>
        <v>0</v>
      </c>
      <c r="F40" s="80">
        <f t="shared" si="4"/>
        <v>0</v>
      </c>
      <c r="G40" s="81"/>
      <c r="H40" s="82"/>
    </row>
    <row r="41" spans="1:8" s="75" customFormat="1" x14ac:dyDescent="0.25">
      <c r="A41" s="76">
        <f t="shared" si="2"/>
        <v>0</v>
      </c>
      <c r="B41" s="77">
        <v>30</v>
      </c>
      <c r="C41" s="78">
        <f t="shared" si="0"/>
        <v>0</v>
      </c>
      <c r="D41" s="78">
        <f t="shared" si="1"/>
        <v>0</v>
      </c>
      <c r="E41" s="79">
        <f t="shared" si="3"/>
        <v>0</v>
      </c>
      <c r="F41" s="80">
        <f t="shared" si="4"/>
        <v>0</v>
      </c>
      <c r="G41" s="81"/>
      <c r="H41" s="82"/>
    </row>
    <row r="42" spans="1:8" s="75" customFormat="1" x14ac:dyDescent="0.25">
      <c r="A42" s="76">
        <f t="shared" si="2"/>
        <v>0</v>
      </c>
      <c r="B42" s="77">
        <v>31</v>
      </c>
      <c r="C42" s="78">
        <f t="shared" si="0"/>
        <v>0</v>
      </c>
      <c r="D42" s="78">
        <f t="shared" si="1"/>
        <v>0</v>
      </c>
      <c r="E42" s="79">
        <f t="shared" si="3"/>
        <v>0</v>
      </c>
      <c r="F42" s="80">
        <f t="shared" si="4"/>
        <v>0</v>
      </c>
      <c r="G42" s="81"/>
      <c r="H42" s="82"/>
    </row>
    <row r="43" spans="1:8" s="75" customFormat="1" x14ac:dyDescent="0.25">
      <c r="A43" s="76">
        <f t="shared" si="2"/>
        <v>0</v>
      </c>
      <c r="B43" s="77">
        <v>32</v>
      </c>
      <c r="C43" s="78">
        <f t="shared" si="0"/>
        <v>0</v>
      </c>
      <c r="D43" s="78">
        <f t="shared" si="1"/>
        <v>0</v>
      </c>
      <c r="E43" s="79">
        <f t="shared" si="3"/>
        <v>0</v>
      </c>
      <c r="F43" s="80">
        <f t="shared" si="4"/>
        <v>0</v>
      </c>
      <c r="G43" s="81"/>
      <c r="H43" s="82"/>
    </row>
    <row r="44" spans="1:8" s="75" customFormat="1" x14ac:dyDescent="0.25">
      <c r="A44" s="76">
        <f t="shared" si="2"/>
        <v>0</v>
      </c>
      <c r="B44" s="77">
        <v>33</v>
      </c>
      <c r="C44" s="78">
        <f t="shared" si="0"/>
        <v>0</v>
      </c>
      <c r="D44" s="78">
        <f t="shared" si="1"/>
        <v>0</v>
      </c>
      <c r="E44" s="79">
        <f t="shared" si="3"/>
        <v>0</v>
      </c>
      <c r="F44" s="80">
        <f t="shared" si="4"/>
        <v>0</v>
      </c>
      <c r="G44" s="81"/>
      <c r="H44" s="82"/>
    </row>
    <row r="45" spans="1:8" s="75" customFormat="1" x14ac:dyDescent="0.25">
      <c r="A45" s="76">
        <f t="shared" si="2"/>
        <v>0</v>
      </c>
      <c r="B45" s="77">
        <v>34</v>
      </c>
      <c r="C45" s="78">
        <f t="shared" si="0"/>
        <v>0</v>
      </c>
      <c r="D45" s="78">
        <f t="shared" si="1"/>
        <v>0</v>
      </c>
      <c r="E45" s="79">
        <f t="shared" si="3"/>
        <v>0</v>
      </c>
      <c r="F45" s="80">
        <f t="shared" si="4"/>
        <v>0</v>
      </c>
      <c r="G45" s="81"/>
      <c r="H45" s="82"/>
    </row>
    <row r="46" spans="1:8" s="75" customFormat="1" x14ac:dyDescent="0.25">
      <c r="A46" s="76">
        <f>IF($D$3&gt;=B46,DATE(YEAR($D$6),MONTH($D$6)+B46-1,DAY($D$6)),0)</f>
        <v>0</v>
      </c>
      <c r="B46" s="77">
        <v>35</v>
      </c>
      <c r="C46" s="78">
        <f t="shared" si="0"/>
        <v>0</v>
      </c>
      <c r="D46" s="78">
        <f t="shared" si="1"/>
        <v>0</v>
      </c>
      <c r="E46" s="79">
        <f t="shared" si="3"/>
        <v>0</v>
      </c>
      <c r="F46" s="80">
        <f t="shared" si="4"/>
        <v>0</v>
      </c>
      <c r="G46" s="81"/>
      <c r="H46" s="82"/>
    </row>
    <row r="47" spans="1:8" s="75" customFormat="1" x14ac:dyDescent="0.25">
      <c r="A47" s="83">
        <f t="shared" si="2"/>
        <v>0</v>
      </c>
      <c r="B47" s="84">
        <v>36</v>
      </c>
      <c r="C47" s="85">
        <f t="shared" si="0"/>
        <v>0</v>
      </c>
      <c r="D47" s="85">
        <f t="shared" si="1"/>
        <v>0</v>
      </c>
      <c r="E47" s="85">
        <f t="shared" si="3"/>
        <v>0</v>
      </c>
      <c r="F47" s="86">
        <f t="shared" si="4"/>
        <v>0</v>
      </c>
      <c r="G47" s="81"/>
      <c r="H47" s="82"/>
    </row>
    <row r="48" spans="1:8" s="75" customFormat="1" x14ac:dyDescent="0.25">
      <c r="A48" s="76">
        <f>IF($D$3&gt;=B48,DATE(YEAR($D$6),MONTH($D$6)+B48-1,DAY($D$6)),0)</f>
        <v>0</v>
      </c>
      <c r="B48" s="77">
        <v>37</v>
      </c>
      <c r="C48" s="78">
        <f t="shared" si="0"/>
        <v>0</v>
      </c>
      <c r="D48" s="78">
        <f t="shared" si="1"/>
        <v>0</v>
      </c>
      <c r="E48" s="79">
        <f t="shared" si="3"/>
        <v>0</v>
      </c>
      <c r="F48" s="80">
        <f t="shared" si="4"/>
        <v>0</v>
      </c>
      <c r="G48" s="81"/>
      <c r="H48" s="82"/>
    </row>
    <row r="49" spans="1:8" s="75" customFormat="1" x14ac:dyDescent="0.25">
      <c r="A49" s="76">
        <f t="shared" si="2"/>
        <v>0</v>
      </c>
      <c r="B49" s="77">
        <v>38</v>
      </c>
      <c r="C49" s="78">
        <f t="shared" si="0"/>
        <v>0</v>
      </c>
      <c r="D49" s="78">
        <f t="shared" si="1"/>
        <v>0</v>
      </c>
      <c r="E49" s="79">
        <f t="shared" si="3"/>
        <v>0</v>
      </c>
      <c r="F49" s="80">
        <f t="shared" si="4"/>
        <v>0</v>
      </c>
      <c r="G49" s="81"/>
      <c r="H49" s="82"/>
    </row>
    <row r="50" spans="1:8" s="75" customFormat="1" x14ac:dyDescent="0.25">
      <c r="A50" s="76">
        <f t="shared" si="2"/>
        <v>0</v>
      </c>
      <c r="B50" s="77">
        <v>39</v>
      </c>
      <c r="C50" s="78">
        <f t="shared" si="0"/>
        <v>0</v>
      </c>
      <c r="D50" s="78">
        <f t="shared" si="1"/>
        <v>0</v>
      </c>
      <c r="E50" s="79">
        <f t="shared" si="3"/>
        <v>0</v>
      </c>
      <c r="F50" s="80">
        <f t="shared" si="4"/>
        <v>0</v>
      </c>
      <c r="G50" s="81"/>
      <c r="H50" s="82"/>
    </row>
    <row r="51" spans="1:8" s="75" customFormat="1" x14ac:dyDescent="0.25">
      <c r="A51" s="76">
        <f t="shared" si="2"/>
        <v>0</v>
      </c>
      <c r="B51" s="77">
        <v>40</v>
      </c>
      <c r="C51" s="78">
        <f t="shared" si="0"/>
        <v>0</v>
      </c>
      <c r="D51" s="78">
        <f t="shared" si="1"/>
        <v>0</v>
      </c>
      <c r="E51" s="79">
        <f t="shared" si="3"/>
        <v>0</v>
      </c>
      <c r="F51" s="80">
        <f t="shared" si="4"/>
        <v>0</v>
      </c>
      <c r="G51" s="81"/>
      <c r="H51" s="82"/>
    </row>
    <row r="52" spans="1:8" s="75" customFormat="1" x14ac:dyDescent="0.25">
      <c r="A52" s="76">
        <f t="shared" si="2"/>
        <v>0</v>
      </c>
      <c r="B52" s="77">
        <v>41</v>
      </c>
      <c r="C52" s="78">
        <f t="shared" si="0"/>
        <v>0</v>
      </c>
      <c r="D52" s="78">
        <f t="shared" si="1"/>
        <v>0</v>
      </c>
      <c r="E52" s="79">
        <f t="shared" si="3"/>
        <v>0</v>
      </c>
      <c r="F52" s="80">
        <f t="shared" si="4"/>
        <v>0</v>
      </c>
      <c r="G52" s="81"/>
      <c r="H52" s="82"/>
    </row>
    <row r="53" spans="1:8" s="75" customFormat="1" x14ac:dyDescent="0.25">
      <c r="A53" s="76">
        <f t="shared" si="2"/>
        <v>0</v>
      </c>
      <c r="B53" s="77">
        <v>42</v>
      </c>
      <c r="C53" s="78">
        <f t="shared" si="0"/>
        <v>0</v>
      </c>
      <c r="D53" s="78">
        <f t="shared" si="1"/>
        <v>0</v>
      </c>
      <c r="E53" s="79">
        <f t="shared" si="3"/>
        <v>0</v>
      </c>
      <c r="F53" s="80">
        <f t="shared" si="4"/>
        <v>0</v>
      </c>
      <c r="G53" s="81"/>
      <c r="H53" s="82"/>
    </row>
    <row r="54" spans="1:8" s="75" customFormat="1" x14ac:dyDescent="0.25">
      <c r="A54" s="76">
        <f t="shared" si="2"/>
        <v>0</v>
      </c>
      <c r="B54" s="77">
        <v>43</v>
      </c>
      <c r="C54" s="78">
        <f t="shared" si="0"/>
        <v>0</v>
      </c>
      <c r="D54" s="78">
        <f t="shared" si="1"/>
        <v>0</v>
      </c>
      <c r="E54" s="79">
        <f t="shared" si="3"/>
        <v>0</v>
      </c>
      <c r="F54" s="80">
        <f t="shared" si="4"/>
        <v>0</v>
      </c>
      <c r="G54" s="81"/>
      <c r="H54" s="82"/>
    </row>
    <row r="55" spans="1:8" s="75" customFormat="1" x14ac:dyDescent="0.25">
      <c r="A55" s="76">
        <f t="shared" si="2"/>
        <v>0</v>
      </c>
      <c r="B55" s="77">
        <v>44</v>
      </c>
      <c r="C55" s="78">
        <f t="shared" si="0"/>
        <v>0</v>
      </c>
      <c r="D55" s="78">
        <f t="shared" si="1"/>
        <v>0</v>
      </c>
      <c r="E55" s="79">
        <f t="shared" si="3"/>
        <v>0</v>
      </c>
      <c r="F55" s="80">
        <f t="shared" si="4"/>
        <v>0</v>
      </c>
      <c r="G55" s="81"/>
      <c r="H55" s="82"/>
    </row>
    <row r="56" spans="1:8" s="75" customFormat="1" x14ac:dyDescent="0.25">
      <c r="A56" s="76">
        <f t="shared" si="2"/>
        <v>0</v>
      </c>
      <c r="B56" s="77">
        <v>45</v>
      </c>
      <c r="C56" s="78">
        <f t="shared" si="0"/>
        <v>0</v>
      </c>
      <c r="D56" s="78">
        <f t="shared" si="1"/>
        <v>0</v>
      </c>
      <c r="E56" s="79">
        <f t="shared" si="3"/>
        <v>0</v>
      </c>
      <c r="F56" s="80">
        <f t="shared" si="4"/>
        <v>0</v>
      </c>
      <c r="G56" s="81"/>
      <c r="H56" s="82"/>
    </row>
    <row r="57" spans="1:8" s="75" customFormat="1" x14ac:dyDescent="0.25">
      <c r="A57" s="76">
        <f t="shared" si="2"/>
        <v>0</v>
      </c>
      <c r="B57" s="77">
        <v>46</v>
      </c>
      <c r="C57" s="78">
        <f t="shared" si="0"/>
        <v>0</v>
      </c>
      <c r="D57" s="78">
        <f t="shared" si="1"/>
        <v>0</v>
      </c>
      <c r="E57" s="79">
        <f t="shared" si="3"/>
        <v>0</v>
      </c>
      <c r="F57" s="80">
        <f t="shared" si="4"/>
        <v>0</v>
      </c>
      <c r="G57" s="81"/>
      <c r="H57" s="82"/>
    </row>
    <row r="58" spans="1:8" s="75" customFormat="1" x14ac:dyDescent="0.25">
      <c r="A58" s="76">
        <f t="shared" si="2"/>
        <v>0</v>
      </c>
      <c r="B58" s="77">
        <v>47</v>
      </c>
      <c r="C58" s="78">
        <f t="shared" si="0"/>
        <v>0</v>
      </c>
      <c r="D58" s="78">
        <f t="shared" si="1"/>
        <v>0</v>
      </c>
      <c r="E58" s="79">
        <f t="shared" si="3"/>
        <v>0</v>
      </c>
      <c r="F58" s="80">
        <f t="shared" si="4"/>
        <v>0</v>
      </c>
      <c r="G58" s="81"/>
      <c r="H58" s="82"/>
    </row>
    <row r="59" spans="1:8" s="75" customFormat="1" x14ac:dyDescent="0.25">
      <c r="A59" s="83">
        <f t="shared" si="2"/>
        <v>0</v>
      </c>
      <c r="B59" s="84">
        <v>48</v>
      </c>
      <c r="C59" s="85">
        <f t="shared" si="0"/>
        <v>0</v>
      </c>
      <c r="D59" s="85">
        <f t="shared" si="1"/>
        <v>0</v>
      </c>
      <c r="E59" s="85">
        <f t="shared" si="3"/>
        <v>0</v>
      </c>
      <c r="F59" s="86">
        <f t="shared" si="4"/>
        <v>0</v>
      </c>
      <c r="G59" s="81"/>
      <c r="H59" s="82"/>
    </row>
    <row r="60" spans="1:8" s="75" customFormat="1" x14ac:dyDescent="0.25">
      <c r="A60" s="76">
        <f t="shared" si="2"/>
        <v>0</v>
      </c>
      <c r="B60" s="77">
        <v>49</v>
      </c>
      <c r="C60" s="78">
        <f t="shared" si="0"/>
        <v>0</v>
      </c>
      <c r="D60" s="78">
        <f t="shared" si="1"/>
        <v>0</v>
      </c>
      <c r="E60" s="79">
        <f t="shared" si="3"/>
        <v>0</v>
      </c>
      <c r="F60" s="80">
        <f t="shared" si="4"/>
        <v>0</v>
      </c>
      <c r="G60" s="81"/>
      <c r="H60" s="82"/>
    </row>
    <row r="61" spans="1:8" s="75" customFormat="1" x14ac:dyDescent="0.25">
      <c r="A61" s="76">
        <f t="shared" si="2"/>
        <v>0</v>
      </c>
      <c r="B61" s="77">
        <v>50</v>
      </c>
      <c r="C61" s="78">
        <f t="shared" si="0"/>
        <v>0</v>
      </c>
      <c r="D61" s="78">
        <f t="shared" si="1"/>
        <v>0</v>
      </c>
      <c r="E61" s="79">
        <f t="shared" si="3"/>
        <v>0</v>
      </c>
      <c r="F61" s="80">
        <f t="shared" si="4"/>
        <v>0</v>
      </c>
      <c r="G61" s="81"/>
      <c r="H61" s="82"/>
    </row>
    <row r="62" spans="1:8" s="75" customFormat="1" x14ac:dyDescent="0.25">
      <c r="A62" s="76">
        <f t="shared" si="2"/>
        <v>0</v>
      </c>
      <c r="B62" s="77">
        <v>51</v>
      </c>
      <c r="C62" s="78">
        <f t="shared" si="0"/>
        <v>0</v>
      </c>
      <c r="D62" s="78">
        <f t="shared" si="1"/>
        <v>0</v>
      </c>
      <c r="E62" s="79">
        <f t="shared" si="3"/>
        <v>0</v>
      </c>
      <c r="F62" s="80">
        <f t="shared" si="4"/>
        <v>0</v>
      </c>
      <c r="G62" s="81"/>
      <c r="H62" s="82"/>
    </row>
    <row r="63" spans="1:8" s="75" customFormat="1" x14ac:dyDescent="0.25">
      <c r="A63" s="76">
        <f t="shared" si="2"/>
        <v>0</v>
      </c>
      <c r="B63" s="77">
        <v>52</v>
      </c>
      <c r="C63" s="78">
        <f t="shared" si="0"/>
        <v>0</v>
      </c>
      <c r="D63" s="78">
        <f t="shared" si="1"/>
        <v>0</v>
      </c>
      <c r="E63" s="79">
        <f t="shared" si="3"/>
        <v>0</v>
      </c>
      <c r="F63" s="80">
        <f t="shared" si="4"/>
        <v>0</v>
      </c>
      <c r="G63" s="81"/>
      <c r="H63" s="82"/>
    </row>
    <row r="64" spans="1:8" s="75" customFormat="1" x14ac:dyDescent="0.25">
      <c r="A64" s="76">
        <f t="shared" si="2"/>
        <v>0</v>
      </c>
      <c r="B64" s="77">
        <v>53</v>
      </c>
      <c r="C64" s="78">
        <f t="shared" si="0"/>
        <v>0</v>
      </c>
      <c r="D64" s="78">
        <f t="shared" si="1"/>
        <v>0</v>
      </c>
      <c r="E64" s="79">
        <f t="shared" si="3"/>
        <v>0</v>
      </c>
      <c r="F64" s="80">
        <f t="shared" si="4"/>
        <v>0</v>
      </c>
      <c r="G64" s="81"/>
      <c r="H64" s="82"/>
    </row>
    <row r="65" spans="1:8" s="75" customFormat="1" x14ac:dyDescent="0.25">
      <c r="A65" s="76">
        <f t="shared" si="2"/>
        <v>0</v>
      </c>
      <c r="B65" s="77">
        <v>54</v>
      </c>
      <c r="C65" s="78">
        <f t="shared" si="0"/>
        <v>0</v>
      </c>
      <c r="D65" s="78">
        <f t="shared" si="1"/>
        <v>0</v>
      </c>
      <c r="E65" s="79">
        <f t="shared" si="3"/>
        <v>0</v>
      </c>
      <c r="F65" s="80">
        <f t="shared" si="4"/>
        <v>0</v>
      </c>
      <c r="G65" s="81"/>
      <c r="H65" s="82"/>
    </row>
    <row r="66" spans="1:8" s="75" customFormat="1" x14ac:dyDescent="0.25">
      <c r="A66" s="76">
        <f t="shared" si="2"/>
        <v>0</v>
      </c>
      <c r="B66" s="77">
        <v>55</v>
      </c>
      <c r="C66" s="78">
        <f t="shared" si="0"/>
        <v>0</v>
      </c>
      <c r="D66" s="78">
        <f t="shared" si="1"/>
        <v>0</v>
      </c>
      <c r="E66" s="79">
        <f t="shared" si="3"/>
        <v>0</v>
      </c>
      <c r="F66" s="80">
        <f t="shared" si="4"/>
        <v>0</v>
      </c>
      <c r="G66" s="81"/>
      <c r="H66" s="82"/>
    </row>
    <row r="67" spans="1:8" s="75" customFormat="1" x14ac:dyDescent="0.25">
      <c r="A67" s="76">
        <f t="shared" si="2"/>
        <v>0</v>
      </c>
      <c r="B67" s="77">
        <v>56</v>
      </c>
      <c r="C67" s="78">
        <f t="shared" si="0"/>
        <v>0</v>
      </c>
      <c r="D67" s="78">
        <f t="shared" si="1"/>
        <v>0</v>
      </c>
      <c r="E67" s="79">
        <f t="shared" si="3"/>
        <v>0</v>
      </c>
      <c r="F67" s="80">
        <f t="shared" si="4"/>
        <v>0</v>
      </c>
      <c r="G67" s="81"/>
      <c r="H67" s="82"/>
    </row>
    <row r="68" spans="1:8" s="75" customFormat="1" x14ac:dyDescent="0.25">
      <c r="A68" s="76">
        <f t="shared" si="2"/>
        <v>0</v>
      </c>
      <c r="B68" s="77">
        <v>57</v>
      </c>
      <c r="C68" s="78">
        <f t="shared" si="0"/>
        <v>0</v>
      </c>
      <c r="D68" s="78">
        <f t="shared" si="1"/>
        <v>0</v>
      </c>
      <c r="E68" s="79">
        <f t="shared" si="3"/>
        <v>0</v>
      </c>
      <c r="F68" s="80">
        <f t="shared" si="4"/>
        <v>0</v>
      </c>
      <c r="G68" s="81"/>
      <c r="H68" s="82"/>
    </row>
    <row r="69" spans="1:8" s="75" customFormat="1" x14ac:dyDescent="0.25">
      <c r="A69" s="76">
        <f t="shared" si="2"/>
        <v>0</v>
      </c>
      <c r="B69" s="77">
        <v>58</v>
      </c>
      <c r="C69" s="78">
        <f t="shared" si="0"/>
        <v>0</v>
      </c>
      <c r="D69" s="78">
        <f t="shared" si="1"/>
        <v>0</v>
      </c>
      <c r="E69" s="79">
        <f t="shared" si="3"/>
        <v>0</v>
      </c>
      <c r="F69" s="80">
        <f t="shared" si="4"/>
        <v>0</v>
      </c>
      <c r="G69" s="81"/>
      <c r="H69" s="82"/>
    </row>
    <row r="70" spans="1:8" s="75" customFormat="1" x14ac:dyDescent="0.25">
      <c r="A70" s="76">
        <f t="shared" si="2"/>
        <v>0</v>
      </c>
      <c r="B70" s="77">
        <v>59</v>
      </c>
      <c r="C70" s="78">
        <f t="shared" si="0"/>
        <v>0</v>
      </c>
      <c r="D70" s="78">
        <f t="shared" si="1"/>
        <v>0</v>
      </c>
      <c r="E70" s="79">
        <f t="shared" si="3"/>
        <v>0</v>
      </c>
      <c r="F70" s="80">
        <f t="shared" si="4"/>
        <v>0</v>
      </c>
      <c r="G70" s="81"/>
      <c r="H70" s="82"/>
    </row>
    <row r="71" spans="1:8" s="75" customFormat="1" x14ac:dyDescent="0.25">
      <c r="A71" s="83">
        <f t="shared" si="2"/>
        <v>0</v>
      </c>
      <c r="B71" s="84">
        <v>60</v>
      </c>
      <c r="C71" s="85">
        <f t="shared" si="0"/>
        <v>0</v>
      </c>
      <c r="D71" s="85">
        <f t="shared" si="1"/>
        <v>0</v>
      </c>
      <c r="E71" s="85">
        <f t="shared" si="3"/>
        <v>0</v>
      </c>
      <c r="F71" s="86">
        <f t="shared" si="4"/>
        <v>0</v>
      </c>
      <c r="G71" s="81"/>
      <c r="H71" s="82"/>
    </row>
    <row r="72" spans="1:8" s="75" customFormat="1" x14ac:dyDescent="0.25">
      <c r="A72" s="76">
        <f t="shared" si="2"/>
        <v>0</v>
      </c>
      <c r="B72" s="77">
        <v>61</v>
      </c>
      <c r="C72" s="78">
        <f t="shared" si="0"/>
        <v>0</v>
      </c>
      <c r="D72" s="78">
        <f t="shared" si="1"/>
        <v>0</v>
      </c>
      <c r="E72" s="79">
        <f t="shared" si="3"/>
        <v>0</v>
      </c>
      <c r="F72" s="80">
        <f t="shared" si="4"/>
        <v>0</v>
      </c>
      <c r="G72" s="66"/>
      <c r="H72" s="82"/>
    </row>
    <row r="73" spans="1:8" s="75" customFormat="1" x14ac:dyDescent="0.25">
      <c r="A73" s="76">
        <f t="shared" si="2"/>
        <v>0</v>
      </c>
      <c r="B73" s="77">
        <v>62</v>
      </c>
      <c r="C73" s="78">
        <f t="shared" si="0"/>
        <v>0</v>
      </c>
      <c r="D73" s="78">
        <f t="shared" si="1"/>
        <v>0</v>
      </c>
      <c r="E73" s="79">
        <f t="shared" si="3"/>
        <v>0</v>
      </c>
      <c r="F73" s="80">
        <f t="shared" si="4"/>
        <v>0</v>
      </c>
      <c r="G73" s="66"/>
      <c r="H73" s="82"/>
    </row>
    <row r="74" spans="1:8" s="75" customFormat="1" x14ac:dyDescent="0.25">
      <c r="A74" s="76">
        <f t="shared" si="2"/>
        <v>0</v>
      </c>
      <c r="B74" s="77">
        <v>63</v>
      </c>
      <c r="C74" s="78">
        <f t="shared" si="0"/>
        <v>0</v>
      </c>
      <c r="D74" s="78">
        <f t="shared" si="1"/>
        <v>0</v>
      </c>
      <c r="E74" s="79">
        <f t="shared" si="3"/>
        <v>0</v>
      </c>
      <c r="F74" s="80">
        <f t="shared" si="4"/>
        <v>0</v>
      </c>
      <c r="G74" s="66"/>
      <c r="H74" s="82"/>
    </row>
    <row r="75" spans="1:8" s="75" customFormat="1" x14ac:dyDescent="0.25">
      <c r="A75" s="76">
        <f t="shared" si="2"/>
        <v>0</v>
      </c>
      <c r="B75" s="77">
        <v>64</v>
      </c>
      <c r="C75" s="78">
        <f t="shared" si="0"/>
        <v>0</v>
      </c>
      <c r="D75" s="78">
        <f t="shared" si="1"/>
        <v>0</v>
      </c>
      <c r="E75" s="79">
        <f t="shared" si="3"/>
        <v>0</v>
      </c>
      <c r="F75" s="80">
        <f t="shared" si="4"/>
        <v>0</v>
      </c>
      <c r="G75" s="66"/>
      <c r="H75" s="82"/>
    </row>
    <row r="76" spans="1:8" s="75" customFormat="1" x14ac:dyDescent="0.25">
      <c r="A76" s="76">
        <f t="shared" si="2"/>
        <v>0</v>
      </c>
      <c r="B76" s="77">
        <v>65</v>
      </c>
      <c r="C76" s="78">
        <f t="shared" ref="C76:C139" si="5">IF(F75&lt;0.01,0,IF($H$5=TRUE,IF(B76&lt;=$D$5,0,IF($A$1="АННУИТЕТ",$D$7-D76,$D$2/($D$3-$D$5))),IF($A$1="АННУИТЕТ",$D$7-D76,$D$2/$D$3)))</f>
        <v>0</v>
      </c>
      <c r="D76" s="78">
        <f t="shared" ref="D76:D139" si="6">F75*($D$4/12)/100</f>
        <v>0</v>
      </c>
      <c r="E76" s="79">
        <f t="shared" si="3"/>
        <v>0</v>
      </c>
      <c r="F76" s="80">
        <f t="shared" si="4"/>
        <v>0</v>
      </c>
      <c r="G76" s="66"/>
      <c r="H76" s="82"/>
    </row>
    <row r="77" spans="1:8" s="75" customFormat="1" x14ac:dyDescent="0.25">
      <c r="A77" s="76">
        <f t="shared" ref="A77:A140" si="7">IF($D$3&gt;=B77,DATE(YEAR($D$6),MONTH($D$6)+B77-1,DAY($D$6)),0)</f>
        <v>0</v>
      </c>
      <c r="B77" s="77">
        <v>66</v>
      </c>
      <c r="C77" s="78">
        <f t="shared" si="5"/>
        <v>0</v>
      </c>
      <c r="D77" s="78">
        <f t="shared" si="6"/>
        <v>0</v>
      </c>
      <c r="E77" s="79">
        <f t="shared" ref="E77:E140" si="8">IF($A$1="АННУИТЕТ",IF(F76&gt;0,C77+D77,0),C77+D77)</f>
        <v>0</v>
      </c>
      <c r="F77" s="80">
        <f t="shared" ref="F77:F140" si="9">F76-C77</f>
        <v>0</v>
      </c>
      <c r="G77" s="66"/>
      <c r="H77" s="82"/>
    </row>
    <row r="78" spans="1:8" s="75" customFormat="1" x14ac:dyDescent="0.25">
      <c r="A78" s="76">
        <f t="shared" si="7"/>
        <v>0</v>
      </c>
      <c r="B78" s="77">
        <v>67</v>
      </c>
      <c r="C78" s="78">
        <f t="shared" si="5"/>
        <v>0</v>
      </c>
      <c r="D78" s="78">
        <f t="shared" si="6"/>
        <v>0</v>
      </c>
      <c r="E78" s="79">
        <f t="shared" si="8"/>
        <v>0</v>
      </c>
      <c r="F78" s="80">
        <f t="shared" si="9"/>
        <v>0</v>
      </c>
      <c r="G78" s="66"/>
      <c r="H78" s="82"/>
    </row>
    <row r="79" spans="1:8" s="75" customFormat="1" x14ac:dyDescent="0.25">
      <c r="A79" s="76">
        <f t="shared" si="7"/>
        <v>0</v>
      </c>
      <c r="B79" s="77">
        <v>68</v>
      </c>
      <c r="C79" s="78">
        <f t="shared" si="5"/>
        <v>0</v>
      </c>
      <c r="D79" s="78">
        <f t="shared" si="6"/>
        <v>0</v>
      </c>
      <c r="E79" s="79">
        <f t="shared" si="8"/>
        <v>0</v>
      </c>
      <c r="F79" s="80">
        <f t="shared" si="9"/>
        <v>0</v>
      </c>
      <c r="G79" s="66"/>
      <c r="H79" s="82"/>
    </row>
    <row r="80" spans="1:8" s="75" customFormat="1" x14ac:dyDescent="0.25">
      <c r="A80" s="76">
        <f t="shared" si="7"/>
        <v>0</v>
      </c>
      <c r="B80" s="77">
        <v>69</v>
      </c>
      <c r="C80" s="78">
        <f t="shared" si="5"/>
        <v>0</v>
      </c>
      <c r="D80" s="78">
        <f t="shared" si="6"/>
        <v>0</v>
      </c>
      <c r="E80" s="79">
        <f t="shared" si="8"/>
        <v>0</v>
      </c>
      <c r="F80" s="80">
        <f t="shared" si="9"/>
        <v>0</v>
      </c>
      <c r="G80" s="66"/>
      <c r="H80" s="82"/>
    </row>
    <row r="81" spans="1:8" s="75" customFormat="1" x14ac:dyDescent="0.25">
      <c r="A81" s="76">
        <f t="shared" si="7"/>
        <v>0</v>
      </c>
      <c r="B81" s="77">
        <v>70</v>
      </c>
      <c r="C81" s="78">
        <f t="shared" si="5"/>
        <v>0</v>
      </c>
      <c r="D81" s="78">
        <f t="shared" si="6"/>
        <v>0</v>
      </c>
      <c r="E81" s="79">
        <f t="shared" si="8"/>
        <v>0</v>
      </c>
      <c r="F81" s="80">
        <f t="shared" si="9"/>
        <v>0</v>
      </c>
      <c r="G81" s="66"/>
      <c r="H81" s="82"/>
    </row>
    <row r="82" spans="1:8" s="75" customFormat="1" x14ac:dyDescent="0.25">
      <c r="A82" s="76">
        <f t="shared" si="7"/>
        <v>0</v>
      </c>
      <c r="B82" s="77">
        <v>71</v>
      </c>
      <c r="C82" s="78">
        <f t="shared" si="5"/>
        <v>0</v>
      </c>
      <c r="D82" s="78">
        <f t="shared" si="6"/>
        <v>0</v>
      </c>
      <c r="E82" s="79">
        <f t="shared" si="8"/>
        <v>0</v>
      </c>
      <c r="F82" s="80">
        <f t="shared" si="9"/>
        <v>0</v>
      </c>
      <c r="G82" s="66"/>
      <c r="H82" s="82"/>
    </row>
    <row r="83" spans="1:8" s="75" customFormat="1" x14ac:dyDescent="0.25">
      <c r="A83" s="83">
        <f t="shared" si="7"/>
        <v>0</v>
      </c>
      <c r="B83" s="84">
        <v>72</v>
      </c>
      <c r="C83" s="85">
        <f t="shared" si="5"/>
        <v>0</v>
      </c>
      <c r="D83" s="85">
        <f t="shared" si="6"/>
        <v>0</v>
      </c>
      <c r="E83" s="85">
        <f t="shared" si="8"/>
        <v>0</v>
      </c>
      <c r="F83" s="86">
        <f t="shared" si="9"/>
        <v>0</v>
      </c>
      <c r="G83" s="66"/>
      <c r="H83" s="82"/>
    </row>
    <row r="84" spans="1:8" s="75" customFormat="1" x14ac:dyDescent="0.25">
      <c r="A84" s="76">
        <f t="shared" si="7"/>
        <v>0</v>
      </c>
      <c r="B84" s="77">
        <v>73</v>
      </c>
      <c r="C84" s="78">
        <f t="shared" si="5"/>
        <v>0</v>
      </c>
      <c r="D84" s="78">
        <f t="shared" si="6"/>
        <v>0</v>
      </c>
      <c r="E84" s="79">
        <f t="shared" si="8"/>
        <v>0</v>
      </c>
      <c r="F84" s="80">
        <f t="shared" si="9"/>
        <v>0</v>
      </c>
      <c r="G84" s="66"/>
      <c r="H84" s="82"/>
    </row>
    <row r="85" spans="1:8" s="75" customFormat="1" x14ac:dyDescent="0.25">
      <c r="A85" s="76">
        <f t="shared" si="7"/>
        <v>0</v>
      </c>
      <c r="B85" s="77">
        <v>74</v>
      </c>
      <c r="C85" s="78">
        <f t="shared" si="5"/>
        <v>0</v>
      </c>
      <c r="D85" s="78">
        <f t="shared" si="6"/>
        <v>0</v>
      </c>
      <c r="E85" s="79">
        <f t="shared" si="8"/>
        <v>0</v>
      </c>
      <c r="F85" s="80">
        <f t="shared" si="9"/>
        <v>0</v>
      </c>
      <c r="G85" s="66"/>
      <c r="H85" s="82"/>
    </row>
    <row r="86" spans="1:8" s="75" customFormat="1" x14ac:dyDescent="0.25">
      <c r="A86" s="76">
        <f t="shared" si="7"/>
        <v>0</v>
      </c>
      <c r="B86" s="77">
        <v>75</v>
      </c>
      <c r="C86" s="78">
        <f t="shared" si="5"/>
        <v>0</v>
      </c>
      <c r="D86" s="78">
        <f t="shared" si="6"/>
        <v>0</v>
      </c>
      <c r="E86" s="79">
        <f t="shared" si="8"/>
        <v>0</v>
      </c>
      <c r="F86" s="80">
        <f t="shared" si="9"/>
        <v>0</v>
      </c>
      <c r="G86" s="66"/>
      <c r="H86" s="82"/>
    </row>
    <row r="87" spans="1:8" s="75" customFormat="1" x14ac:dyDescent="0.25">
      <c r="A87" s="76">
        <f t="shared" si="7"/>
        <v>0</v>
      </c>
      <c r="B87" s="77">
        <v>76</v>
      </c>
      <c r="C87" s="78">
        <f t="shared" si="5"/>
        <v>0</v>
      </c>
      <c r="D87" s="78">
        <f t="shared" si="6"/>
        <v>0</v>
      </c>
      <c r="E87" s="79">
        <f t="shared" si="8"/>
        <v>0</v>
      </c>
      <c r="F87" s="80">
        <f t="shared" si="9"/>
        <v>0</v>
      </c>
      <c r="G87" s="66"/>
      <c r="H87" s="82"/>
    </row>
    <row r="88" spans="1:8" s="75" customFormat="1" x14ac:dyDescent="0.25">
      <c r="A88" s="76">
        <f t="shared" si="7"/>
        <v>0</v>
      </c>
      <c r="B88" s="77">
        <v>77</v>
      </c>
      <c r="C88" s="78">
        <f t="shared" si="5"/>
        <v>0</v>
      </c>
      <c r="D88" s="78">
        <f t="shared" si="6"/>
        <v>0</v>
      </c>
      <c r="E88" s="79">
        <f t="shared" si="8"/>
        <v>0</v>
      </c>
      <c r="F88" s="80">
        <f t="shared" si="9"/>
        <v>0</v>
      </c>
      <c r="G88" s="66"/>
      <c r="H88" s="82"/>
    </row>
    <row r="89" spans="1:8" s="75" customFormat="1" x14ac:dyDescent="0.25">
      <c r="A89" s="76">
        <f t="shared" si="7"/>
        <v>0</v>
      </c>
      <c r="B89" s="77">
        <v>78</v>
      </c>
      <c r="C89" s="78">
        <f t="shared" si="5"/>
        <v>0</v>
      </c>
      <c r="D89" s="78">
        <f t="shared" si="6"/>
        <v>0</v>
      </c>
      <c r="E89" s="79">
        <f t="shared" si="8"/>
        <v>0</v>
      </c>
      <c r="F89" s="80">
        <f t="shared" si="9"/>
        <v>0</v>
      </c>
      <c r="G89" s="66"/>
      <c r="H89" s="82"/>
    </row>
    <row r="90" spans="1:8" s="75" customFormat="1" x14ac:dyDescent="0.25">
      <c r="A90" s="76">
        <f t="shared" si="7"/>
        <v>0</v>
      </c>
      <c r="B90" s="77">
        <v>79</v>
      </c>
      <c r="C90" s="78">
        <f t="shared" si="5"/>
        <v>0</v>
      </c>
      <c r="D90" s="78">
        <f t="shared" si="6"/>
        <v>0</v>
      </c>
      <c r="E90" s="79">
        <f t="shared" si="8"/>
        <v>0</v>
      </c>
      <c r="F90" s="80">
        <f t="shared" si="9"/>
        <v>0</v>
      </c>
      <c r="G90" s="66"/>
      <c r="H90" s="82"/>
    </row>
    <row r="91" spans="1:8" s="75" customFormat="1" x14ac:dyDescent="0.25">
      <c r="A91" s="76">
        <f t="shared" si="7"/>
        <v>0</v>
      </c>
      <c r="B91" s="77">
        <v>80</v>
      </c>
      <c r="C91" s="78">
        <f t="shared" si="5"/>
        <v>0</v>
      </c>
      <c r="D91" s="78">
        <f t="shared" si="6"/>
        <v>0</v>
      </c>
      <c r="E91" s="79">
        <f t="shared" si="8"/>
        <v>0</v>
      </c>
      <c r="F91" s="80">
        <f t="shared" si="9"/>
        <v>0</v>
      </c>
      <c r="G91" s="66"/>
      <c r="H91" s="82"/>
    </row>
    <row r="92" spans="1:8" s="75" customFormat="1" x14ac:dyDescent="0.25">
      <c r="A92" s="76">
        <f t="shared" si="7"/>
        <v>0</v>
      </c>
      <c r="B92" s="77">
        <v>81</v>
      </c>
      <c r="C92" s="78">
        <f t="shared" si="5"/>
        <v>0</v>
      </c>
      <c r="D92" s="78">
        <f t="shared" si="6"/>
        <v>0</v>
      </c>
      <c r="E92" s="79">
        <f t="shared" si="8"/>
        <v>0</v>
      </c>
      <c r="F92" s="80">
        <f t="shared" si="9"/>
        <v>0</v>
      </c>
      <c r="G92" s="66"/>
      <c r="H92" s="82"/>
    </row>
    <row r="93" spans="1:8" s="75" customFormat="1" x14ac:dyDescent="0.25">
      <c r="A93" s="76">
        <f t="shared" si="7"/>
        <v>0</v>
      </c>
      <c r="B93" s="77">
        <v>82</v>
      </c>
      <c r="C93" s="78">
        <f t="shared" si="5"/>
        <v>0</v>
      </c>
      <c r="D93" s="78">
        <f t="shared" si="6"/>
        <v>0</v>
      </c>
      <c r="E93" s="79">
        <f t="shared" si="8"/>
        <v>0</v>
      </c>
      <c r="F93" s="80">
        <f t="shared" si="9"/>
        <v>0</v>
      </c>
      <c r="G93" s="66"/>
      <c r="H93" s="82"/>
    </row>
    <row r="94" spans="1:8" s="75" customFormat="1" x14ac:dyDescent="0.25">
      <c r="A94" s="76">
        <f t="shared" si="7"/>
        <v>0</v>
      </c>
      <c r="B94" s="77">
        <v>83</v>
      </c>
      <c r="C94" s="78">
        <f t="shared" si="5"/>
        <v>0</v>
      </c>
      <c r="D94" s="78">
        <f t="shared" si="6"/>
        <v>0</v>
      </c>
      <c r="E94" s="79">
        <f t="shared" si="8"/>
        <v>0</v>
      </c>
      <c r="F94" s="80">
        <f t="shared" si="9"/>
        <v>0</v>
      </c>
      <c r="G94" s="66"/>
      <c r="H94" s="82"/>
    </row>
    <row r="95" spans="1:8" s="75" customFormat="1" x14ac:dyDescent="0.25">
      <c r="A95" s="83">
        <f t="shared" si="7"/>
        <v>0</v>
      </c>
      <c r="B95" s="84">
        <v>84</v>
      </c>
      <c r="C95" s="85">
        <f t="shared" si="5"/>
        <v>0</v>
      </c>
      <c r="D95" s="85">
        <f t="shared" si="6"/>
        <v>0</v>
      </c>
      <c r="E95" s="85">
        <f t="shared" si="8"/>
        <v>0</v>
      </c>
      <c r="F95" s="86">
        <f t="shared" si="9"/>
        <v>0</v>
      </c>
      <c r="G95" s="66"/>
      <c r="H95" s="82"/>
    </row>
    <row r="96" spans="1:8" s="75" customFormat="1" x14ac:dyDescent="0.25">
      <c r="A96" s="76">
        <f t="shared" si="7"/>
        <v>0</v>
      </c>
      <c r="B96" s="77">
        <v>85</v>
      </c>
      <c r="C96" s="78">
        <f t="shared" si="5"/>
        <v>0</v>
      </c>
      <c r="D96" s="78">
        <f t="shared" si="6"/>
        <v>0</v>
      </c>
      <c r="E96" s="79">
        <f t="shared" si="8"/>
        <v>0</v>
      </c>
      <c r="F96" s="80">
        <f t="shared" si="9"/>
        <v>0</v>
      </c>
      <c r="G96" s="66"/>
      <c r="H96" s="82"/>
    </row>
    <row r="97" spans="1:8" s="75" customFormat="1" x14ac:dyDescent="0.25">
      <c r="A97" s="76">
        <f t="shared" si="7"/>
        <v>0</v>
      </c>
      <c r="B97" s="77">
        <v>86</v>
      </c>
      <c r="C97" s="78">
        <f t="shared" si="5"/>
        <v>0</v>
      </c>
      <c r="D97" s="78">
        <f t="shared" si="6"/>
        <v>0</v>
      </c>
      <c r="E97" s="79">
        <f t="shared" si="8"/>
        <v>0</v>
      </c>
      <c r="F97" s="80">
        <f t="shared" si="9"/>
        <v>0</v>
      </c>
      <c r="G97" s="66"/>
      <c r="H97" s="82"/>
    </row>
    <row r="98" spans="1:8" s="75" customFormat="1" x14ac:dyDescent="0.25">
      <c r="A98" s="76">
        <f t="shared" si="7"/>
        <v>0</v>
      </c>
      <c r="B98" s="77">
        <v>87</v>
      </c>
      <c r="C98" s="78">
        <f t="shared" si="5"/>
        <v>0</v>
      </c>
      <c r="D98" s="78">
        <f t="shared" si="6"/>
        <v>0</v>
      </c>
      <c r="E98" s="79">
        <f t="shared" si="8"/>
        <v>0</v>
      </c>
      <c r="F98" s="80">
        <f t="shared" si="9"/>
        <v>0</v>
      </c>
      <c r="G98" s="66"/>
      <c r="H98" s="82"/>
    </row>
    <row r="99" spans="1:8" s="75" customFormat="1" x14ac:dyDescent="0.25">
      <c r="A99" s="76">
        <f t="shared" si="7"/>
        <v>0</v>
      </c>
      <c r="B99" s="77">
        <v>88</v>
      </c>
      <c r="C99" s="78">
        <f t="shared" si="5"/>
        <v>0</v>
      </c>
      <c r="D99" s="78">
        <f t="shared" si="6"/>
        <v>0</v>
      </c>
      <c r="E99" s="79">
        <f t="shared" si="8"/>
        <v>0</v>
      </c>
      <c r="F99" s="80">
        <f t="shared" si="9"/>
        <v>0</v>
      </c>
      <c r="G99" s="66"/>
      <c r="H99" s="82"/>
    </row>
    <row r="100" spans="1:8" s="75" customFormat="1" x14ac:dyDescent="0.25">
      <c r="A100" s="76">
        <f t="shared" si="7"/>
        <v>0</v>
      </c>
      <c r="B100" s="77">
        <v>89</v>
      </c>
      <c r="C100" s="78">
        <f t="shared" si="5"/>
        <v>0</v>
      </c>
      <c r="D100" s="78">
        <f t="shared" si="6"/>
        <v>0</v>
      </c>
      <c r="E100" s="79">
        <f t="shared" si="8"/>
        <v>0</v>
      </c>
      <c r="F100" s="80">
        <f t="shared" si="9"/>
        <v>0</v>
      </c>
      <c r="G100" s="66"/>
      <c r="H100" s="82"/>
    </row>
    <row r="101" spans="1:8" s="75" customFormat="1" x14ac:dyDescent="0.25">
      <c r="A101" s="76">
        <f t="shared" si="7"/>
        <v>0</v>
      </c>
      <c r="B101" s="77">
        <v>90</v>
      </c>
      <c r="C101" s="78">
        <f t="shared" si="5"/>
        <v>0</v>
      </c>
      <c r="D101" s="78">
        <f t="shared" si="6"/>
        <v>0</v>
      </c>
      <c r="E101" s="79">
        <f t="shared" si="8"/>
        <v>0</v>
      </c>
      <c r="F101" s="80">
        <f t="shared" si="9"/>
        <v>0</v>
      </c>
      <c r="G101" s="66"/>
      <c r="H101" s="82"/>
    </row>
    <row r="102" spans="1:8" s="75" customFormat="1" x14ac:dyDescent="0.25">
      <c r="A102" s="76">
        <f t="shared" si="7"/>
        <v>0</v>
      </c>
      <c r="B102" s="77">
        <v>91</v>
      </c>
      <c r="C102" s="78">
        <f t="shared" si="5"/>
        <v>0</v>
      </c>
      <c r="D102" s="78">
        <f t="shared" si="6"/>
        <v>0</v>
      </c>
      <c r="E102" s="79">
        <f t="shared" si="8"/>
        <v>0</v>
      </c>
      <c r="F102" s="80">
        <f t="shared" si="9"/>
        <v>0</v>
      </c>
      <c r="G102" s="66"/>
      <c r="H102" s="82"/>
    </row>
    <row r="103" spans="1:8" s="75" customFormat="1" x14ac:dyDescent="0.25">
      <c r="A103" s="76">
        <f t="shared" si="7"/>
        <v>0</v>
      </c>
      <c r="B103" s="77">
        <v>92</v>
      </c>
      <c r="C103" s="78">
        <f t="shared" si="5"/>
        <v>0</v>
      </c>
      <c r="D103" s="78">
        <f t="shared" si="6"/>
        <v>0</v>
      </c>
      <c r="E103" s="79">
        <f t="shared" si="8"/>
        <v>0</v>
      </c>
      <c r="F103" s="80">
        <f t="shared" si="9"/>
        <v>0</v>
      </c>
      <c r="G103" s="66"/>
      <c r="H103" s="82"/>
    </row>
    <row r="104" spans="1:8" s="75" customFormat="1" x14ac:dyDescent="0.25">
      <c r="A104" s="76">
        <f t="shared" si="7"/>
        <v>0</v>
      </c>
      <c r="B104" s="77">
        <v>93</v>
      </c>
      <c r="C104" s="78">
        <f t="shared" si="5"/>
        <v>0</v>
      </c>
      <c r="D104" s="78">
        <f t="shared" si="6"/>
        <v>0</v>
      </c>
      <c r="E104" s="79">
        <f t="shared" si="8"/>
        <v>0</v>
      </c>
      <c r="F104" s="80">
        <f t="shared" si="9"/>
        <v>0</v>
      </c>
      <c r="G104" s="66"/>
      <c r="H104" s="82"/>
    </row>
    <row r="105" spans="1:8" s="75" customFormat="1" x14ac:dyDescent="0.25">
      <c r="A105" s="76">
        <f t="shared" si="7"/>
        <v>0</v>
      </c>
      <c r="B105" s="77">
        <v>94</v>
      </c>
      <c r="C105" s="78">
        <f t="shared" si="5"/>
        <v>0</v>
      </c>
      <c r="D105" s="78">
        <f t="shared" si="6"/>
        <v>0</v>
      </c>
      <c r="E105" s="79">
        <f t="shared" si="8"/>
        <v>0</v>
      </c>
      <c r="F105" s="80">
        <f t="shared" si="9"/>
        <v>0</v>
      </c>
      <c r="G105" s="66"/>
      <c r="H105" s="82"/>
    </row>
    <row r="106" spans="1:8" s="75" customFormat="1" x14ac:dyDescent="0.25">
      <c r="A106" s="76">
        <f t="shared" si="7"/>
        <v>0</v>
      </c>
      <c r="B106" s="77">
        <v>95</v>
      </c>
      <c r="C106" s="78">
        <f t="shared" si="5"/>
        <v>0</v>
      </c>
      <c r="D106" s="78">
        <f t="shared" si="6"/>
        <v>0</v>
      </c>
      <c r="E106" s="79">
        <f t="shared" si="8"/>
        <v>0</v>
      </c>
      <c r="F106" s="80">
        <f t="shared" si="9"/>
        <v>0</v>
      </c>
      <c r="G106" s="66"/>
      <c r="H106" s="82"/>
    </row>
    <row r="107" spans="1:8" s="75" customFormat="1" x14ac:dyDescent="0.25">
      <c r="A107" s="83">
        <f t="shared" si="7"/>
        <v>0</v>
      </c>
      <c r="B107" s="84">
        <v>96</v>
      </c>
      <c r="C107" s="85">
        <f t="shared" si="5"/>
        <v>0</v>
      </c>
      <c r="D107" s="85">
        <f t="shared" si="6"/>
        <v>0</v>
      </c>
      <c r="E107" s="85">
        <f t="shared" si="8"/>
        <v>0</v>
      </c>
      <c r="F107" s="86">
        <f t="shared" si="9"/>
        <v>0</v>
      </c>
      <c r="G107" s="66"/>
      <c r="H107" s="82"/>
    </row>
    <row r="108" spans="1:8" s="75" customFormat="1" x14ac:dyDescent="0.25">
      <c r="A108" s="76">
        <f t="shared" si="7"/>
        <v>0</v>
      </c>
      <c r="B108" s="77">
        <v>97</v>
      </c>
      <c r="C108" s="78">
        <f t="shared" si="5"/>
        <v>0</v>
      </c>
      <c r="D108" s="78">
        <f t="shared" si="6"/>
        <v>0</v>
      </c>
      <c r="E108" s="79">
        <f t="shared" si="8"/>
        <v>0</v>
      </c>
      <c r="F108" s="80">
        <f t="shared" si="9"/>
        <v>0</v>
      </c>
      <c r="G108" s="66"/>
      <c r="H108" s="82"/>
    </row>
    <row r="109" spans="1:8" s="75" customFormat="1" x14ac:dyDescent="0.25">
      <c r="A109" s="76">
        <f t="shared" si="7"/>
        <v>0</v>
      </c>
      <c r="B109" s="77">
        <v>98</v>
      </c>
      <c r="C109" s="78">
        <f t="shared" si="5"/>
        <v>0</v>
      </c>
      <c r="D109" s="78">
        <f t="shared" si="6"/>
        <v>0</v>
      </c>
      <c r="E109" s="79">
        <f t="shared" si="8"/>
        <v>0</v>
      </c>
      <c r="F109" s="80">
        <f t="shared" si="9"/>
        <v>0</v>
      </c>
      <c r="G109" s="66"/>
      <c r="H109" s="82"/>
    </row>
    <row r="110" spans="1:8" s="75" customFormat="1" x14ac:dyDescent="0.25">
      <c r="A110" s="76">
        <f t="shared" si="7"/>
        <v>0</v>
      </c>
      <c r="B110" s="77">
        <v>99</v>
      </c>
      <c r="C110" s="78">
        <f t="shared" si="5"/>
        <v>0</v>
      </c>
      <c r="D110" s="78">
        <f t="shared" si="6"/>
        <v>0</v>
      </c>
      <c r="E110" s="79">
        <f t="shared" si="8"/>
        <v>0</v>
      </c>
      <c r="F110" s="80">
        <f t="shared" si="9"/>
        <v>0</v>
      </c>
      <c r="G110" s="66"/>
      <c r="H110" s="82"/>
    </row>
    <row r="111" spans="1:8" s="75" customFormat="1" x14ac:dyDescent="0.25">
      <c r="A111" s="76">
        <f t="shared" si="7"/>
        <v>0</v>
      </c>
      <c r="B111" s="77">
        <v>100</v>
      </c>
      <c r="C111" s="78">
        <f t="shared" si="5"/>
        <v>0</v>
      </c>
      <c r="D111" s="78">
        <f t="shared" si="6"/>
        <v>0</v>
      </c>
      <c r="E111" s="79">
        <f t="shared" si="8"/>
        <v>0</v>
      </c>
      <c r="F111" s="80">
        <f t="shared" si="9"/>
        <v>0</v>
      </c>
      <c r="G111" s="66"/>
      <c r="H111" s="82"/>
    </row>
    <row r="112" spans="1:8" s="75" customFormat="1" x14ac:dyDescent="0.25">
      <c r="A112" s="76">
        <f t="shared" si="7"/>
        <v>0</v>
      </c>
      <c r="B112" s="77">
        <v>101</v>
      </c>
      <c r="C112" s="78">
        <f t="shared" si="5"/>
        <v>0</v>
      </c>
      <c r="D112" s="78">
        <f t="shared" si="6"/>
        <v>0</v>
      </c>
      <c r="E112" s="79">
        <f t="shared" si="8"/>
        <v>0</v>
      </c>
      <c r="F112" s="80">
        <f t="shared" si="9"/>
        <v>0</v>
      </c>
      <c r="G112" s="66"/>
      <c r="H112" s="82"/>
    </row>
    <row r="113" spans="1:8" s="75" customFormat="1" x14ac:dyDescent="0.25">
      <c r="A113" s="76">
        <f t="shared" si="7"/>
        <v>0</v>
      </c>
      <c r="B113" s="77">
        <v>102</v>
      </c>
      <c r="C113" s="78">
        <f t="shared" si="5"/>
        <v>0</v>
      </c>
      <c r="D113" s="78">
        <f t="shared" si="6"/>
        <v>0</v>
      </c>
      <c r="E113" s="79">
        <f t="shared" si="8"/>
        <v>0</v>
      </c>
      <c r="F113" s="80">
        <f t="shared" si="9"/>
        <v>0</v>
      </c>
      <c r="G113" s="66"/>
      <c r="H113" s="82"/>
    </row>
    <row r="114" spans="1:8" s="75" customFormat="1" x14ac:dyDescent="0.25">
      <c r="A114" s="76">
        <f t="shared" si="7"/>
        <v>0</v>
      </c>
      <c r="B114" s="77">
        <v>103</v>
      </c>
      <c r="C114" s="78">
        <f t="shared" si="5"/>
        <v>0</v>
      </c>
      <c r="D114" s="78">
        <f t="shared" si="6"/>
        <v>0</v>
      </c>
      <c r="E114" s="79">
        <f t="shared" si="8"/>
        <v>0</v>
      </c>
      <c r="F114" s="80">
        <f t="shared" si="9"/>
        <v>0</v>
      </c>
      <c r="G114" s="66"/>
      <c r="H114" s="82"/>
    </row>
    <row r="115" spans="1:8" s="75" customFormat="1" x14ac:dyDescent="0.25">
      <c r="A115" s="76">
        <f t="shared" si="7"/>
        <v>0</v>
      </c>
      <c r="B115" s="77">
        <v>104</v>
      </c>
      <c r="C115" s="78">
        <f t="shared" si="5"/>
        <v>0</v>
      </c>
      <c r="D115" s="78">
        <f t="shared" si="6"/>
        <v>0</v>
      </c>
      <c r="E115" s="79">
        <f t="shared" si="8"/>
        <v>0</v>
      </c>
      <c r="F115" s="80">
        <f t="shared" si="9"/>
        <v>0</v>
      </c>
      <c r="G115" s="66"/>
      <c r="H115" s="82"/>
    </row>
    <row r="116" spans="1:8" s="75" customFormat="1" x14ac:dyDescent="0.25">
      <c r="A116" s="76">
        <f t="shared" si="7"/>
        <v>0</v>
      </c>
      <c r="B116" s="77">
        <v>105</v>
      </c>
      <c r="C116" s="78">
        <f t="shared" si="5"/>
        <v>0</v>
      </c>
      <c r="D116" s="78">
        <f t="shared" si="6"/>
        <v>0</v>
      </c>
      <c r="E116" s="79">
        <f t="shared" si="8"/>
        <v>0</v>
      </c>
      <c r="F116" s="80">
        <f t="shared" si="9"/>
        <v>0</v>
      </c>
      <c r="G116" s="66"/>
      <c r="H116" s="82"/>
    </row>
    <row r="117" spans="1:8" s="75" customFormat="1" x14ac:dyDescent="0.25">
      <c r="A117" s="76">
        <f t="shared" si="7"/>
        <v>0</v>
      </c>
      <c r="B117" s="77">
        <v>106</v>
      </c>
      <c r="C117" s="78">
        <f t="shared" si="5"/>
        <v>0</v>
      </c>
      <c r="D117" s="78">
        <f t="shared" si="6"/>
        <v>0</v>
      </c>
      <c r="E117" s="79">
        <f t="shared" si="8"/>
        <v>0</v>
      </c>
      <c r="F117" s="80">
        <f t="shared" si="9"/>
        <v>0</v>
      </c>
      <c r="G117" s="66"/>
      <c r="H117" s="82"/>
    </row>
    <row r="118" spans="1:8" s="75" customFormat="1" x14ac:dyDescent="0.25">
      <c r="A118" s="76">
        <f t="shared" si="7"/>
        <v>0</v>
      </c>
      <c r="B118" s="77">
        <v>107</v>
      </c>
      <c r="C118" s="78">
        <f t="shared" si="5"/>
        <v>0</v>
      </c>
      <c r="D118" s="78">
        <f t="shared" si="6"/>
        <v>0</v>
      </c>
      <c r="E118" s="79">
        <f t="shared" si="8"/>
        <v>0</v>
      </c>
      <c r="F118" s="80">
        <f t="shared" si="9"/>
        <v>0</v>
      </c>
      <c r="G118" s="66"/>
      <c r="H118" s="82"/>
    </row>
    <row r="119" spans="1:8" s="75" customFormat="1" x14ac:dyDescent="0.25">
      <c r="A119" s="83">
        <f t="shared" si="7"/>
        <v>0</v>
      </c>
      <c r="B119" s="84">
        <v>108</v>
      </c>
      <c r="C119" s="85">
        <f t="shared" si="5"/>
        <v>0</v>
      </c>
      <c r="D119" s="85">
        <f t="shared" si="6"/>
        <v>0</v>
      </c>
      <c r="E119" s="85">
        <f t="shared" si="8"/>
        <v>0</v>
      </c>
      <c r="F119" s="86">
        <f t="shared" si="9"/>
        <v>0</v>
      </c>
      <c r="G119" s="66"/>
      <c r="H119" s="82"/>
    </row>
    <row r="120" spans="1:8" s="75" customFormat="1" x14ac:dyDescent="0.25">
      <c r="A120" s="76">
        <f t="shared" si="7"/>
        <v>0</v>
      </c>
      <c r="B120" s="77">
        <v>109</v>
      </c>
      <c r="C120" s="78">
        <f t="shared" si="5"/>
        <v>0</v>
      </c>
      <c r="D120" s="78">
        <f t="shared" si="6"/>
        <v>0</v>
      </c>
      <c r="E120" s="79">
        <f t="shared" si="8"/>
        <v>0</v>
      </c>
      <c r="F120" s="80">
        <f t="shared" si="9"/>
        <v>0</v>
      </c>
      <c r="G120" s="66"/>
      <c r="H120" s="82"/>
    </row>
    <row r="121" spans="1:8" s="75" customFormat="1" x14ac:dyDescent="0.25">
      <c r="A121" s="76">
        <f t="shared" si="7"/>
        <v>0</v>
      </c>
      <c r="B121" s="77">
        <v>110</v>
      </c>
      <c r="C121" s="78">
        <f t="shared" si="5"/>
        <v>0</v>
      </c>
      <c r="D121" s="78">
        <f t="shared" si="6"/>
        <v>0</v>
      </c>
      <c r="E121" s="79">
        <f t="shared" si="8"/>
        <v>0</v>
      </c>
      <c r="F121" s="80">
        <f t="shared" si="9"/>
        <v>0</v>
      </c>
      <c r="G121" s="66"/>
      <c r="H121" s="82"/>
    </row>
    <row r="122" spans="1:8" s="75" customFormat="1" x14ac:dyDescent="0.25">
      <c r="A122" s="76">
        <f t="shared" si="7"/>
        <v>0</v>
      </c>
      <c r="B122" s="77">
        <v>111</v>
      </c>
      <c r="C122" s="78">
        <f t="shared" si="5"/>
        <v>0</v>
      </c>
      <c r="D122" s="78">
        <f t="shared" si="6"/>
        <v>0</v>
      </c>
      <c r="E122" s="79">
        <f t="shared" si="8"/>
        <v>0</v>
      </c>
      <c r="F122" s="80">
        <f t="shared" si="9"/>
        <v>0</v>
      </c>
      <c r="G122" s="66"/>
      <c r="H122" s="82"/>
    </row>
    <row r="123" spans="1:8" s="75" customFormat="1" x14ac:dyDescent="0.25">
      <c r="A123" s="76">
        <f t="shared" si="7"/>
        <v>0</v>
      </c>
      <c r="B123" s="77">
        <v>112</v>
      </c>
      <c r="C123" s="78">
        <f t="shared" si="5"/>
        <v>0</v>
      </c>
      <c r="D123" s="78">
        <f t="shared" si="6"/>
        <v>0</v>
      </c>
      <c r="E123" s="79">
        <f t="shared" si="8"/>
        <v>0</v>
      </c>
      <c r="F123" s="80">
        <f t="shared" si="9"/>
        <v>0</v>
      </c>
      <c r="G123" s="66"/>
      <c r="H123" s="82"/>
    </row>
    <row r="124" spans="1:8" s="75" customFormat="1" x14ac:dyDescent="0.25">
      <c r="A124" s="76">
        <f t="shared" si="7"/>
        <v>0</v>
      </c>
      <c r="B124" s="77">
        <v>113</v>
      </c>
      <c r="C124" s="78">
        <f t="shared" si="5"/>
        <v>0</v>
      </c>
      <c r="D124" s="78">
        <f t="shared" si="6"/>
        <v>0</v>
      </c>
      <c r="E124" s="79">
        <f t="shared" si="8"/>
        <v>0</v>
      </c>
      <c r="F124" s="80">
        <f t="shared" si="9"/>
        <v>0</v>
      </c>
      <c r="G124" s="66"/>
      <c r="H124" s="82"/>
    </row>
    <row r="125" spans="1:8" s="75" customFormat="1" x14ac:dyDescent="0.25">
      <c r="A125" s="76">
        <f t="shared" si="7"/>
        <v>0</v>
      </c>
      <c r="B125" s="77">
        <v>114</v>
      </c>
      <c r="C125" s="78">
        <f t="shared" si="5"/>
        <v>0</v>
      </c>
      <c r="D125" s="78">
        <f t="shared" si="6"/>
        <v>0</v>
      </c>
      <c r="E125" s="79">
        <f t="shared" si="8"/>
        <v>0</v>
      </c>
      <c r="F125" s="80">
        <f t="shared" si="9"/>
        <v>0</v>
      </c>
      <c r="G125" s="66"/>
      <c r="H125" s="82"/>
    </row>
    <row r="126" spans="1:8" s="75" customFormat="1" x14ac:dyDescent="0.25">
      <c r="A126" s="76">
        <f t="shared" si="7"/>
        <v>0</v>
      </c>
      <c r="B126" s="77">
        <v>115</v>
      </c>
      <c r="C126" s="78">
        <f t="shared" si="5"/>
        <v>0</v>
      </c>
      <c r="D126" s="78">
        <f t="shared" si="6"/>
        <v>0</v>
      </c>
      <c r="E126" s="79">
        <f t="shared" si="8"/>
        <v>0</v>
      </c>
      <c r="F126" s="80">
        <f t="shared" si="9"/>
        <v>0</v>
      </c>
      <c r="G126" s="66"/>
      <c r="H126" s="82"/>
    </row>
    <row r="127" spans="1:8" s="75" customFormat="1" x14ac:dyDescent="0.25">
      <c r="A127" s="76">
        <f t="shared" si="7"/>
        <v>0</v>
      </c>
      <c r="B127" s="77">
        <v>116</v>
      </c>
      <c r="C127" s="78">
        <f t="shared" si="5"/>
        <v>0</v>
      </c>
      <c r="D127" s="78">
        <f t="shared" si="6"/>
        <v>0</v>
      </c>
      <c r="E127" s="79">
        <f t="shared" si="8"/>
        <v>0</v>
      </c>
      <c r="F127" s="80">
        <f t="shared" si="9"/>
        <v>0</v>
      </c>
      <c r="G127" s="66"/>
      <c r="H127" s="82"/>
    </row>
    <row r="128" spans="1:8" s="75" customFormat="1" x14ac:dyDescent="0.25">
      <c r="A128" s="76">
        <f t="shared" si="7"/>
        <v>0</v>
      </c>
      <c r="B128" s="77">
        <v>117</v>
      </c>
      <c r="C128" s="78">
        <f t="shared" si="5"/>
        <v>0</v>
      </c>
      <c r="D128" s="78">
        <f t="shared" si="6"/>
        <v>0</v>
      </c>
      <c r="E128" s="79">
        <f t="shared" si="8"/>
        <v>0</v>
      </c>
      <c r="F128" s="80">
        <f t="shared" si="9"/>
        <v>0</v>
      </c>
      <c r="G128" s="66"/>
      <c r="H128" s="82"/>
    </row>
    <row r="129" spans="1:8" s="75" customFormat="1" x14ac:dyDescent="0.25">
      <c r="A129" s="76">
        <f t="shared" si="7"/>
        <v>0</v>
      </c>
      <c r="B129" s="77">
        <v>118</v>
      </c>
      <c r="C129" s="78">
        <f t="shared" si="5"/>
        <v>0</v>
      </c>
      <c r="D129" s="78">
        <f t="shared" si="6"/>
        <v>0</v>
      </c>
      <c r="E129" s="79">
        <f t="shared" si="8"/>
        <v>0</v>
      </c>
      <c r="F129" s="80">
        <f t="shared" si="9"/>
        <v>0</v>
      </c>
      <c r="G129" s="66"/>
      <c r="H129" s="82"/>
    </row>
    <row r="130" spans="1:8" s="75" customFormat="1" x14ac:dyDescent="0.25">
      <c r="A130" s="76">
        <f t="shared" si="7"/>
        <v>0</v>
      </c>
      <c r="B130" s="77">
        <v>119</v>
      </c>
      <c r="C130" s="78">
        <f t="shared" si="5"/>
        <v>0</v>
      </c>
      <c r="D130" s="78">
        <f t="shared" si="6"/>
        <v>0</v>
      </c>
      <c r="E130" s="79">
        <f t="shared" si="8"/>
        <v>0</v>
      </c>
      <c r="F130" s="80">
        <f t="shared" si="9"/>
        <v>0</v>
      </c>
      <c r="G130" s="66"/>
      <c r="H130" s="82"/>
    </row>
    <row r="131" spans="1:8" s="75" customFormat="1" x14ac:dyDescent="0.25">
      <c r="A131" s="83">
        <f t="shared" si="7"/>
        <v>0</v>
      </c>
      <c r="B131" s="84">
        <v>120</v>
      </c>
      <c r="C131" s="85">
        <f t="shared" si="5"/>
        <v>0</v>
      </c>
      <c r="D131" s="85">
        <f t="shared" si="6"/>
        <v>0</v>
      </c>
      <c r="E131" s="85">
        <f t="shared" si="8"/>
        <v>0</v>
      </c>
      <c r="F131" s="86">
        <f t="shared" si="9"/>
        <v>0</v>
      </c>
      <c r="G131" s="66"/>
      <c r="H131" s="82"/>
    </row>
    <row r="132" spans="1:8" s="75" customFormat="1" x14ac:dyDescent="0.25">
      <c r="A132" s="76">
        <f t="shared" si="7"/>
        <v>0</v>
      </c>
      <c r="B132" s="77">
        <v>121</v>
      </c>
      <c r="C132" s="78">
        <f t="shared" si="5"/>
        <v>0</v>
      </c>
      <c r="D132" s="78">
        <f t="shared" si="6"/>
        <v>0</v>
      </c>
      <c r="E132" s="79">
        <f t="shared" si="8"/>
        <v>0</v>
      </c>
      <c r="F132" s="80">
        <f t="shared" si="9"/>
        <v>0</v>
      </c>
      <c r="G132" s="66"/>
      <c r="H132" s="82"/>
    </row>
    <row r="133" spans="1:8" s="75" customFormat="1" x14ac:dyDescent="0.25">
      <c r="A133" s="76">
        <f t="shared" si="7"/>
        <v>0</v>
      </c>
      <c r="B133" s="77">
        <v>122</v>
      </c>
      <c r="C133" s="78">
        <f t="shared" si="5"/>
        <v>0</v>
      </c>
      <c r="D133" s="78">
        <f t="shared" si="6"/>
        <v>0</v>
      </c>
      <c r="E133" s="79">
        <f t="shared" si="8"/>
        <v>0</v>
      </c>
      <c r="F133" s="80">
        <f t="shared" si="9"/>
        <v>0</v>
      </c>
      <c r="G133" s="66"/>
      <c r="H133" s="82"/>
    </row>
    <row r="134" spans="1:8" s="75" customFormat="1" x14ac:dyDescent="0.25">
      <c r="A134" s="76">
        <f t="shared" si="7"/>
        <v>0</v>
      </c>
      <c r="B134" s="77">
        <v>123</v>
      </c>
      <c r="C134" s="78">
        <f t="shared" si="5"/>
        <v>0</v>
      </c>
      <c r="D134" s="78">
        <f t="shared" si="6"/>
        <v>0</v>
      </c>
      <c r="E134" s="79">
        <f t="shared" si="8"/>
        <v>0</v>
      </c>
      <c r="F134" s="80">
        <f t="shared" si="9"/>
        <v>0</v>
      </c>
      <c r="G134" s="66"/>
      <c r="H134" s="82"/>
    </row>
    <row r="135" spans="1:8" s="75" customFormat="1" x14ac:dyDescent="0.25">
      <c r="A135" s="76">
        <f t="shared" si="7"/>
        <v>0</v>
      </c>
      <c r="B135" s="77">
        <v>124</v>
      </c>
      <c r="C135" s="78">
        <f t="shared" si="5"/>
        <v>0</v>
      </c>
      <c r="D135" s="78">
        <f t="shared" si="6"/>
        <v>0</v>
      </c>
      <c r="E135" s="79">
        <f t="shared" si="8"/>
        <v>0</v>
      </c>
      <c r="F135" s="80">
        <f t="shared" si="9"/>
        <v>0</v>
      </c>
      <c r="G135" s="66"/>
      <c r="H135" s="82"/>
    </row>
    <row r="136" spans="1:8" s="75" customFormat="1" x14ac:dyDescent="0.25">
      <c r="A136" s="76">
        <f t="shared" si="7"/>
        <v>0</v>
      </c>
      <c r="B136" s="77">
        <v>125</v>
      </c>
      <c r="C136" s="78">
        <f t="shared" si="5"/>
        <v>0</v>
      </c>
      <c r="D136" s="78">
        <f t="shared" si="6"/>
        <v>0</v>
      </c>
      <c r="E136" s="79">
        <f t="shared" si="8"/>
        <v>0</v>
      </c>
      <c r="F136" s="80">
        <f t="shared" si="9"/>
        <v>0</v>
      </c>
      <c r="G136" s="66"/>
      <c r="H136" s="82"/>
    </row>
    <row r="137" spans="1:8" s="75" customFormat="1" x14ac:dyDescent="0.25">
      <c r="A137" s="76">
        <f t="shared" si="7"/>
        <v>0</v>
      </c>
      <c r="B137" s="77">
        <v>126</v>
      </c>
      <c r="C137" s="78">
        <f t="shared" si="5"/>
        <v>0</v>
      </c>
      <c r="D137" s="78">
        <f t="shared" si="6"/>
        <v>0</v>
      </c>
      <c r="E137" s="79">
        <f t="shared" si="8"/>
        <v>0</v>
      </c>
      <c r="F137" s="80">
        <f t="shared" si="9"/>
        <v>0</v>
      </c>
      <c r="G137" s="66"/>
      <c r="H137" s="82"/>
    </row>
    <row r="138" spans="1:8" s="75" customFormat="1" x14ac:dyDescent="0.25">
      <c r="A138" s="76">
        <f t="shared" si="7"/>
        <v>0</v>
      </c>
      <c r="B138" s="77">
        <v>127</v>
      </c>
      <c r="C138" s="78">
        <f t="shared" si="5"/>
        <v>0</v>
      </c>
      <c r="D138" s="78">
        <f t="shared" si="6"/>
        <v>0</v>
      </c>
      <c r="E138" s="79">
        <f t="shared" si="8"/>
        <v>0</v>
      </c>
      <c r="F138" s="80">
        <f t="shared" si="9"/>
        <v>0</v>
      </c>
      <c r="G138" s="66"/>
      <c r="H138" s="82"/>
    </row>
    <row r="139" spans="1:8" s="75" customFormat="1" x14ac:dyDescent="0.25">
      <c r="A139" s="76">
        <f t="shared" si="7"/>
        <v>0</v>
      </c>
      <c r="B139" s="77">
        <v>128</v>
      </c>
      <c r="C139" s="78">
        <f t="shared" si="5"/>
        <v>0</v>
      </c>
      <c r="D139" s="78">
        <f t="shared" si="6"/>
        <v>0</v>
      </c>
      <c r="E139" s="79">
        <f t="shared" si="8"/>
        <v>0</v>
      </c>
      <c r="F139" s="80">
        <f t="shared" si="9"/>
        <v>0</v>
      </c>
      <c r="G139" s="66"/>
      <c r="H139" s="82"/>
    </row>
    <row r="140" spans="1:8" s="75" customFormat="1" x14ac:dyDescent="0.25">
      <c r="A140" s="76">
        <f t="shared" si="7"/>
        <v>0</v>
      </c>
      <c r="B140" s="77">
        <v>129</v>
      </c>
      <c r="C140" s="78">
        <f t="shared" ref="C140:C203" si="10">IF(F139&lt;0.01,0,IF($H$5=TRUE,IF(B140&lt;=$D$5,0,IF($A$1="АННУИТЕТ",$D$7-D140,$D$2/($D$3-$D$5))),IF($A$1="АННУИТЕТ",$D$7-D140,$D$2/$D$3)))</f>
        <v>0</v>
      </c>
      <c r="D140" s="78">
        <f t="shared" ref="D140:D203" si="11">F139*($D$4/12)/100</f>
        <v>0</v>
      </c>
      <c r="E140" s="79">
        <f t="shared" si="8"/>
        <v>0</v>
      </c>
      <c r="F140" s="80">
        <f t="shared" si="9"/>
        <v>0</v>
      </c>
      <c r="G140" s="66"/>
      <c r="H140" s="82"/>
    </row>
    <row r="141" spans="1:8" s="75" customFormat="1" x14ac:dyDescent="0.25">
      <c r="A141" s="76">
        <f t="shared" ref="A141:A204" si="12">IF($D$3&gt;=B141,DATE(YEAR($D$6),MONTH($D$6)+B141-1,DAY($D$6)),0)</f>
        <v>0</v>
      </c>
      <c r="B141" s="77">
        <v>130</v>
      </c>
      <c r="C141" s="78">
        <f t="shared" si="10"/>
        <v>0</v>
      </c>
      <c r="D141" s="78">
        <f t="shared" si="11"/>
        <v>0</v>
      </c>
      <c r="E141" s="79">
        <f t="shared" ref="E141:E204" si="13">IF($A$1="АННУИТЕТ",IF(F140&gt;0,C141+D141,0),C141+D141)</f>
        <v>0</v>
      </c>
      <c r="F141" s="80">
        <f t="shared" ref="F141:F204" si="14">F140-C141</f>
        <v>0</v>
      </c>
      <c r="G141" s="66"/>
      <c r="H141" s="82"/>
    </row>
    <row r="142" spans="1:8" s="75" customFormat="1" x14ac:dyDescent="0.25">
      <c r="A142" s="76">
        <f t="shared" si="12"/>
        <v>0</v>
      </c>
      <c r="B142" s="77">
        <v>131</v>
      </c>
      <c r="C142" s="78">
        <f t="shared" si="10"/>
        <v>0</v>
      </c>
      <c r="D142" s="78">
        <f t="shared" si="11"/>
        <v>0</v>
      </c>
      <c r="E142" s="79">
        <f t="shared" si="13"/>
        <v>0</v>
      </c>
      <c r="F142" s="80">
        <f t="shared" si="14"/>
        <v>0</v>
      </c>
      <c r="G142" s="66"/>
      <c r="H142" s="82"/>
    </row>
    <row r="143" spans="1:8" s="75" customFormat="1" x14ac:dyDescent="0.25">
      <c r="A143" s="83">
        <f t="shared" si="12"/>
        <v>0</v>
      </c>
      <c r="B143" s="84">
        <v>132</v>
      </c>
      <c r="C143" s="85">
        <f t="shared" si="10"/>
        <v>0</v>
      </c>
      <c r="D143" s="85">
        <f t="shared" si="11"/>
        <v>0</v>
      </c>
      <c r="E143" s="85">
        <f t="shared" si="13"/>
        <v>0</v>
      </c>
      <c r="F143" s="86">
        <f t="shared" si="14"/>
        <v>0</v>
      </c>
      <c r="G143" s="66"/>
      <c r="H143" s="82"/>
    </row>
    <row r="144" spans="1:8" s="75" customFormat="1" x14ac:dyDescent="0.25">
      <c r="A144" s="76">
        <f t="shared" si="12"/>
        <v>0</v>
      </c>
      <c r="B144" s="77">
        <v>133</v>
      </c>
      <c r="C144" s="78">
        <f t="shared" si="10"/>
        <v>0</v>
      </c>
      <c r="D144" s="78">
        <f t="shared" si="11"/>
        <v>0</v>
      </c>
      <c r="E144" s="79">
        <f t="shared" si="13"/>
        <v>0</v>
      </c>
      <c r="F144" s="80">
        <f t="shared" si="14"/>
        <v>0</v>
      </c>
      <c r="G144" s="66"/>
      <c r="H144" s="82"/>
    </row>
    <row r="145" spans="1:8" s="75" customFormat="1" x14ac:dyDescent="0.25">
      <c r="A145" s="76">
        <f t="shared" si="12"/>
        <v>0</v>
      </c>
      <c r="B145" s="77">
        <v>134</v>
      </c>
      <c r="C145" s="78">
        <f t="shared" si="10"/>
        <v>0</v>
      </c>
      <c r="D145" s="78">
        <f t="shared" si="11"/>
        <v>0</v>
      </c>
      <c r="E145" s="79">
        <f t="shared" si="13"/>
        <v>0</v>
      </c>
      <c r="F145" s="80">
        <f t="shared" si="14"/>
        <v>0</v>
      </c>
      <c r="G145" s="66"/>
      <c r="H145" s="82"/>
    </row>
    <row r="146" spans="1:8" s="75" customFormat="1" x14ac:dyDescent="0.25">
      <c r="A146" s="76">
        <f t="shared" si="12"/>
        <v>0</v>
      </c>
      <c r="B146" s="77">
        <v>135</v>
      </c>
      <c r="C146" s="78">
        <f t="shared" si="10"/>
        <v>0</v>
      </c>
      <c r="D146" s="78">
        <f t="shared" si="11"/>
        <v>0</v>
      </c>
      <c r="E146" s="79">
        <f t="shared" si="13"/>
        <v>0</v>
      </c>
      <c r="F146" s="80">
        <f t="shared" si="14"/>
        <v>0</v>
      </c>
      <c r="G146" s="66"/>
      <c r="H146" s="82"/>
    </row>
    <row r="147" spans="1:8" s="75" customFormat="1" x14ac:dyDescent="0.25">
      <c r="A147" s="76">
        <f t="shared" si="12"/>
        <v>0</v>
      </c>
      <c r="B147" s="77">
        <v>136</v>
      </c>
      <c r="C147" s="78">
        <f t="shared" si="10"/>
        <v>0</v>
      </c>
      <c r="D147" s="78">
        <f t="shared" si="11"/>
        <v>0</v>
      </c>
      <c r="E147" s="79">
        <f t="shared" si="13"/>
        <v>0</v>
      </c>
      <c r="F147" s="80">
        <f t="shared" si="14"/>
        <v>0</v>
      </c>
      <c r="G147" s="66"/>
      <c r="H147" s="82"/>
    </row>
    <row r="148" spans="1:8" s="75" customFormat="1" x14ac:dyDescent="0.25">
      <c r="A148" s="76">
        <f t="shared" si="12"/>
        <v>0</v>
      </c>
      <c r="B148" s="77">
        <v>137</v>
      </c>
      <c r="C148" s="78">
        <f t="shared" si="10"/>
        <v>0</v>
      </c>
      <c r="D148" s="78">
        <f t="shared" si="11"/>
        <v>0</v>
      </c>
      <c r="E148" s="79">
        <f t="shared" si="13"/>
        <v>0</v>
      </c>
      <c r="F148" s="80">
        <f t="shared" si="14"/>
        <v>0</v>
      </c>
      <c r="G148" s="66"/>
      <c r="H148" s="82"/>
    </row>
    <row r="149" spans="1:8" s="75" customFormat="1" x14ac:dyDescent="0.25">
      <c r="A149" s="76">
        <f t="shared" si="12"/>
        <v>0</v>
      </c>
      <c r="B149" s="77">
        <v>138</v>
      </c>
      <c r="C149" s="78">
        <f t="shared" si="10"/>
        <v>0</v>
      </c>
      <c r="D149" s="78">
        <f t="shared" si="11"/>
        <v>0</v>
      </c>
      <c r="E149" s="79">
        <f t="shared" si="13"/>
        <v>0</v>
      </c>
      <c r="F149" s="80">
        <f t="shared" si="14"/>
        <v>0</v>
      </c>
      <c r="G149" s="66"/>
      <c r="H149" s="82"/>
    </row>
    <row r="150" spans="1:8" s="75" customFormat="1" x14ac:dyDescent="0.25">
      <c r="A150" s="76">
        <f t="shared" si="12"/>
        <v>0</v>
      </c>
      <c r="B150" s="77">
        <v>139</v>
      </c>
      <c r="C150" s="78">
        <f t="shared" si="10"/>
        <v>0</v>
      </c>
      <c r="D150" s="78">
        <f t="shared" si="11"/>
        <v>0</v>
      </c>
      <c r="E150" s="79">
        <f t="shared" si="13"/>
        <v>0</v>
      </c>
      <c r="F150" s="80">
        <f t="shared" si="14"/>
        <v>0</v>
      </c>
      <c r="G150" s="66"/>
      <c r="H150" s="82"/>
    </row>
    <row r="151" spans="1:8" s="75" customFormat="1" x14ac:dyDescent="0.25">
      <c r="A151" s="76">
        <f t="shared" si="12"/>
        <v>0</v>
      </c>
      <c r="B151" s="77">
        <v>140</v>
      </c>
      <c r="C151" s="78">
        <f t="shared" si="10"/>
        <v>0</v>
      </c>
      <c r="D151" s="78">
        <f t="shared" si="11"/>
        <v>0</v>
      </c>
      <c r="E151" s="79">
        <f t="shared" si="13"/>
        <v>0</v>
      </c>
      <c r="F151" s="80">
        <f t="shared" si="14"/>
        <v>0</v>
      </c>
      <c r="G151" s="66"/>
      <c r="H151" s="82"/>
    </row>
    <row r="152" spans="1:8" s="75" customFormat="1" x14ac:dyDescent="0.25">
      <c r="A152" s="76">
        <f t="shared" si="12"/>
        <v>0</v>
      </c>
      <c r="B152" s="77">
        <v>141</v>
      </c>
      <c r="C152" s="78">
        <f t="shared" si="10"/>
        <v>0</v>
      </c>
      <c r="D152" s="78">
        <f t="shared" si="11"/>
        <v>0</v>
      </c>
      <c r="E152" s="79">
        <f t="shared" si="13"/>
        <v>0</v>
      </c>
      <c r="F152" s="80">
        <f t="shared" si="14"/>
        <v>0</v>
      </c>
      <c r="G152" s="66"/>
      <c r="H152" s="82"/>
    </row>
    <row r="153" spans="1:8" s="75" customFormat="1" x14ac:dyDescent="0.25">
      <c r="A153" s="76">
        <f t="shared" si="12"/>
        <v>0</v>
      </c>
      <c r="B153" s="77">
        <v>142</v>
      </c>
      <c r="C153" s="78">
        <f t="shared" si="10"/>
        <v>0</v>
      </c>
      <c r="D153" s="78">
        <f t="shared" si="11"/>
        <v>0</v>
      </c>
      <c r="E153" s="79">
        <f t="shared" si="13"/>
        <v>0</v>
      </c>
      <c r="F153" s="80">
        <f t="shared" si="14"/>
        <v>0</v>
      </c>
      <c r="G153" s="66"/>
      <c r="H153" s="82"/>
    </row>
    <row r="154" spans="1:8" s="75" customFormat="1" x14ac:dyDescent="0.25">
      <c r="A154" s="76">
        <f t="shared" si="12"/>
        <v>0</v>
      </c>
      <c r="B154" s="77">
        <v>143</v>
      </c>
      <c r="C154" s="78">
        <f t="shared" si="10"/>
        <v>0</v>
      </c>
      <c r="D154" s="78">
        <f t="shared" si="11"/>
        <v>0</v>
      </c>
      <c r="E154" s="79">
        <f t="shared" si="13"/>
        <v>0</v>
      </c>
      <c r="F154" s="80">
        <f t="shared" si="14"/>
        <v>0</v>
      </c>
      <c r="G154" s="66"/>
      <c r="H154" s="82"/>
    </row>
    <row r="155" spans="1:8" s="75" customFormat="1" x14ac:dyDescent="0.25">
      <c r="A155" s="83">
        <f t="shared" si="12"/>
        <v>0</v>
      </c>
      <c r="B155" s="84">
        <v>144</v>
      </c>
      <c r="C155" s="85">
        <f t="shared" si="10"/>
        <v>0</v>
      </c>
      <c r="D155" s="85">
        <f t="shared" si="11"/>
        <v>0</v>
      </c>
      <c r="E155" s="85">
        <f t="shared" si="13"/>
        <v>0</v>
      </c>
      <c r="F155" s="86">
        <f t="shared" si="14"/>
        <v>0</v>
      </c>
      <c r="G155" s="66"/>
      <c r="H155" s="82"/>
    </row>
    <row r="156" spans="1:8" s="75" customFormat="1" x14ac:dyDescent="0.25">
      <c r="A156" s="76">
        <f t="shared" si="12"/>
        <v>0</v>
      </c>
      <c r="B156" s="77">
        <v>145</v>
      </c>
      <c r="C156" s="78">
        <f t="shared" si="10"/>
        <v>0</v>
      </c>
      <c r="D156" s="78">
        <f t="shared" si="11"/>
        <v>0</v>
      </c>
      <c r="E156" s="79">
        <f t="shared" si="13"/>
        <v>0</v>
      </c>
      <c r="F156" s="80">
        <f t="shared" si="14"/>
        <v>0</v>
      </c>
      <c r="G156" s="66"/>
      <c r="H156" s="82"/>
    </row>
    <row r="157" spans="1:8" s="75" customFormat="1" x14ac:dyDescent="0.25">
      <c r="A157" s="76">
        <f t="shared" si="12"/>
        <v>0</v>
      </c>
      <c r="B157" s="77">
        <v>146</v>
      </c>
      <c r="C157" s="78">
        <f t="shared" si="10"/>
        <v>0</v>
      </c>
      <c r="D157" s="78">
        <f t="shared" si="11"/>
        <v>0</v>
      </c>
      <c r="E157" s="79">
        <f t="shared" si="13"/>
        <v>0</v>
      </c>
      <c r="F157" s="80">
        <f t="shared" si="14"/>
        <v>0</v>
      </c>
      <c r="G157" s="66"/>
      <c r="H157" s="82"/>
    </row>
    <row r="158" spans="1:8" s="75" customFormat="1" x14ac:dyDescent="0.25">
      <c r="A158" s="76">
        <f t="shared" si="12"/>
        <v>0</v>
      </c>
      <c r="B158" s="77">
        <v>147</v>
      </c>
      <c r="C158" s="78">
        <f t="shared" si="10"/>
        <v>0</v>
      </c>
      <c r="D158" s="78">
        <f t="shared" si="11"/>
        <v>0</v>
      </c>
      <c r="E158" s="79">
        <f t="shared" si="13"/>
        <v>0</v>
      </c>
      <c r="F158" s="80">
        <f t="shared" si="14"/>
        <v>0</v>
      </c>
      <c r="G158" s="66"/>
      <c r="H158" s="82"/>
    </row>
    <row r="159" spans="1:8" s="75" customFormat="1" x14ac:dyDescent="0.25">
      <c r="A159" s="76">
        <f t="shared" si="12"/>
        <v>0</v>
      </c>
      <c r="B159" s="77">
        <v>148</v>
      </c>
      <c r="C159" s="78">
        <f t="shared" si="10"/>
        <v>0</v>
      </c>
      <c r="D159" s="78">
        <f t="shared" si="11"/>
        <v>0</v>
      </c>
      <c r="E159" s="79">
        <f t="shared" si="13"/>
        <v>0</v>
      </c>
      <c r="F159" s="80">
        <f t="shared" si="14"/>
        <v>0</v>
      </c>
      <c r="G159" s="66"/>
      <c r="H159" s="82"/>
    </row>
    <row r="160" spans="1:8" s="75" customFormat="1" x14ac:dyDescent="0.25">
      <c r="A160" s="76">
        <f t="shared" si="12"/>
        <v>0</v>
      </c>
      <c r="B160" s="77">
        <v>149</v>
      </c>
      <c r="C160" s="78">
        <f t="shared" si="10"/>
        <v>0</v>
      </c>
      <c r="D160" s="78">
        <f t="shared" si="11"/>
        <v>0</v>
      </c>
      <c r="E160" s="79">
        <f t="shared" si="13"/>
        <v>0</v>
      </c>
      <c r="F160" s="80">
        <f t="shared" si="14"/>
        <v>0</v>
      </c>
      <c r="G160" s="66"/>
      <c r="H160" s="82"/>
    </row>
    <row r="161" spans="1:8" s="75" customFormat="1" x14ac:dyDescent="0.25">
      <c r="A161" s="76">
        <f t="shared" si="12"/>
        <v>0</v>
      </c>
      <c r="B161" s="77">
        <v>150</v>
      </c>
      <c r="C161" s="78">
        <f t="shared" si="10"/>
        <v>0</v>
      </c>
      <c r="D161" s="78">
        <f t="shared" si="11"/>
        <v>0</v>
      </c>
      <c r="E161" s="79">
        <f t="shared" si="13"/>
        <v>0</v>
      </c>
      <c r="F161" s="80">
        <f t="shared" si="14"/>
        <v>0</v>
      </c>
      <c r="G161" s="66"/>
      <c r="H161" s="82"/>
    </row>
    <row r="162" spans="1:8" s="75" customFormat="1" x14ac:dyDescent="0.25">
      <c r="A162" s="76">
        <f t="shared" si="12"/>
        <v>0</v>
      </c>
      <c r="B162" s="77">
        <v>151</v>
      </c>
      <c r="C162" s="78">
        <f t="shared" si="10"/>
        <v>0</v>
      </c>
      <c r="D162" s="78">
        <f t="shared" si="11"/>
        <v>0</v>
      </c>
      <c r="E162" s="79">
        <f t="shared" si="13"/>
        <v>0</v>
      </c>
      <c r="F162" s="80">
        <f t="shared" si="14"/>
        <v>0</v>
      </c>
      <c r="G162" s="66"/>
      <c r="H162" s="82"/>
    </row>
    <row r="163" spans="1:8" s="75" customFormat="1" x14ac:dyDescent="0.25">
      <c r="A163" s="76">
        <f t="shared" si="12"/>
        <v>0</v>
      </c>
      <c r="B163" s="77">
        <v>152</v>
      </c>
      <c r="C163" s="78">
        <f t="shared" si="10"/>
        <v>0</v>
      </c>
      <c r="D163" s="78">
        <f t="shared" si="11"/>
        <v>0</v>
      </c>
      <c r="E163" s="79">
        <f t="shared" si="13"/>
        <v>0</v>
      </c>
      <c r="F163" s="80">
        <f t="shared" si="14"/>
        <v>0</v>
      </c>
      <c r="G163" s="66"/>
      <c r="H163" s="82"/>
    </row>
    <row r="164" spans="1:8" s="75" customFormat="1" x14ac:dyDescent="0.25">
      <c r="A164" s="76">
        <f t="shared" si="12"/>
        <v>0</v>
      </c>
      <c r="B164" s="77">
        <v>153</v>
      </c>
      <c r="C164" s="78">
        <f t="shared" si="10"/>
        <v>0</v>
      </c>
      <c r="D164" s="78">
        <f t="shared" si="11"/>
        <v>0</v>
      </c>
      <c r="E164" s="79">
        <f t="shared" si="13"/>
        <v>0</v>
      </c>
      <c r="F164" s="80">
        <f t="shared" si="14"/>
        <v>0</v>
      </c>
      <c r="G164" s="66"/>
      <c r="H164" s="82"/>
    </row>
    <row r="165" spans="1:8" s="75" customFormat="1" x14ac:dyDescent="0.25">
      <c r="A165" s="76">
        <f t="shared" si="12"/>
        <v>0</v>
      </c>
      <c r="B165" s="77">
        <v>154</v>
      </c>
      <c r="C165" s="78">
        <f t="shared" si="10"/>
        <v>0</v>
      </c>
      <c r="D165" s="78">
        <f t="shared" si="11"/>
        <v>0</v>
      </c>
      <c r="E165" s="79">
        <f t="shared" si="13"/>
        <v>0</v>
      </c>
      <c r="F165" s="80">
        <f t="shared" si="14"/>
        <v>0</v>
      </c>
      <c r="G165" s="66"/>
      <c r="H165" s="82"/>
    </row>
    <row r="166" spans="1:8" s="75" customFormat="1" x14ac:dyDescent="0.25">
      <c r="A166" s="76">
        <f t="shared" si="12"/>
        <v>0</v>
      </c>
      <c r="B166" s="77">
        <v>155</v>
      </c>
      <c r="C166" s="78">
        <f t="shared" si="10"/>
        <v>0</v>
      </c>
      <c r="D166" s="78">
        <f t="shared" si="11"/>
        <v>0</v>
      </c>
      <c r="E166" s="79">
        <f t="shared" si="13"/>
        <v>0</v>
      </c>
      <c r="F166" s="80">
        <f t="shared" si="14"/>
        <v>0</v>
      </c>
      <c r="G166" s="66"/>
      <c r="H166" s="82"/>
    </row>
    <row r="167" spans="1:8" s="75" customFormat="1" x14ac:dyDescent="0.25">
      <c r="A167" s="83">
        <f t="shared" si="12"/>
        <v>0</v>
      </c>
      <c r="B167" s="84">
        <v>156</v>
      </c>
      <c r="C167" s="85">
        <f t="shared" si="10"/>
        <v>0</v>
      </c>
      <c r="D167" s="85">
        <f t="shared" si="11"/>
        <v>0</v>
      </c>
      <c r="E167" s="85">
        <f t="shared" si="13"/>
        <v>0</v>
      </c>
      <c r="F167" s="86">
        <f t="shared" si="14"/>
        <v>0</v>
      </c>
      <c r="G167" s="66"/>
      <c r="H167" s="82"/>
    </row>
    <row r="168" spans="1:8" s="75" customFormat="1" x14ac:dyDescent="0.25">
      <c r="A168" s="76">
        <f t="shared" si="12"/>
        <v>0</v>
      </c>
      <c r="B168" s="77">
        <v>157</v>
      </c>
      <c r="C168" s="78">
        <f t="shared" si="10"/>
        <v>0</v>
      </c>
      <c r="D168" s="78">
        <f t="shared" si="11"/>
        <v>0</v>
      </c>
      <c r="E168" s="79">
        <f t="shared" si="13"/>
        <v>0</v>
      </c>
      <c r="F168" s="80">
        <f t="shared" si="14"/>
        <v>0</v>
      </c>
      <c r="G168" s="66"/>
      <c r="H168" s="82"/>
    </row>
    <row r="169" spans="1:8" s="75" customFormat="1" x14ac:dyDescent="0.25">
      <c r="A169" s="76">
        <f t="shared" si="12"/>
        <v>0</v>
      </c>
      <c r="B169" s="77">
        <v>158</v>
      </c>
      <c r="C169" s="78">
        <f t="shared" si="10"/>
        <v>0</v>
      </c>
      <c r="D169" s="78">
        <f t="shared" si="11"/>
        <v>0</v>
      </c>
      <c r="E169" s="79">
        <f t="shared" si="13"/>
        <v>0</v>
      </c>
      <c r="F169" s="80">
        <f t="shared" si="14"/>
        <v>0</v>
      </c>
      <c r="G169" s="66"/>
      <c r="H169" s="82"/>
    </row>
    <row r="170" spans="1:8" s="75" customFormat="1" x14ac:dyDescent="0.25">
      <c r="A170" s="76">
        <f t="shared" si="12"/>
        <v>0</v>
      </c>
      <c r="B170" s="77">
        <v>159</v>
      </c>
      <c r="C170" s="78">
        <f t="shared" si="10"/>
        <v>0</v>
      </c>
      <c r="D170" s="78">
        <f t="shared" si="11"/>
        <v>0</v>
      </c>
      <c r="E170" s="79">
        <f t="shared" si="13"/>
        <v>0</v>
      </c>
      <c r="F170" s="80">
        <f t="shared" si="14"/>
        <v>0</v>
      </c>
      <c r="G170" s="66"/>
      <c r="H170" s="82"/>
    </row>
    <row r="171" spans="1:8" s="75" customFormat="1" x14ac:dyDescent="0.25">
      <c r="A171" s="76">
        <f t="shared" si="12"/>
        <v>0</v>
      </c>
      <c r="B171" s="77">
        <v>160</v>
      </c>
      <c r="C171" s="78">
        <f t="shared" si="10"/>
        <v>0</v>
      </c>
      <c r="D171" s="78">
        <f t="shared" si="11"/>
        <v>0</v>
      </c>
      <c r="E171" s="79">
        <f t="shared" si="13"/>
        <v>0</v>
      </c>
      <c r="F171" s="80">
        <f t="shared" si="14"/>
        <v>0</v>
      </c>
      <c r="G171" s="66"/>
      <c r="H171" s="82"/>
    </row>
    <row r="172" spans="1:8" s="75" customFormat="1" x14ac:dyDescent="0.25">
      <c r="A172" s="76">
        <f t="shared" si="12"/>
        <v>0</v>
      </c>
      <c r="B172" s="77">
        <v>161</v>
      </c>
      <c r="C172" s="78">
        <f t="shared" si="10"/>
        <v>0</v>
      </c>
      <c r="D172" s="78">
        <f t="shared" si="11"/>
        <v>0</v>
      </c>
      <c r="E172" s="79">
        <f t="shared" si="13"/>
        <v>0</v>
      </c>
      <c r="F172" s="80">
        <f t="shared" si="14"/>
        <v>0</v>
      </c>
      <c r="G172" s="66"/>
      <c r="H172" s="82"/>
    </row>
    <row r="173" spans="1:8" s="75" customFormat="1" x14ac:dyDescent="0.25">
      <c r="A173" s="76">
        <f t="shared" si="12"/>
        <v>0</v>
      </c>
      <c r="B173" s="77">
        <v>162</v>
      </c>
      <c r="C173" s="78">
        <f t="shared" si="10"/>
        <v>0</v>
      </c>
      <c r="D173" s="78">
        <f t="shared" si="11"/>
        <v>0</v>
      </c>
      <c r="E173" s="79">
        <f t="shared" si="13"/>
        <v>0</v>
      </c>
      <c r="F173" s="80">
        <f t="shared" si="14"/>
        <v>0</v>
      </c>
      <c r="G173" s="66"/>
      <c r="H173" s="82"/>
    </row>
    <row r="174" spans="1:8" s="75" customFormat="1" x14ac:dyDescent="0.25">
      <c r="A174" s="76">
        <f t="shared" si="12"/>
        <v>0</v>
      </c>
      <c r="B174" s="77">
        <v>163</v>
      </c>
      <c r="C174" s="78">
        <f t="shared" si="10"/>
        <v>0</v>
      </c>
      <c r="D174" s="78">
        <f t="shared" si="11"/>
        <v>0</v>
      </c>
      <c r="E174" s="79">
        <f t="shared" si="13"/>
        <v>0</v>
      </c>
      <c r="F174" s="80">
        <f t="shared" si="14"/>
        <v>0</v>
      </c>
      <c r="G174" s="66"/>
      <c r="H174" s="82"/>
    </row>
    <row r="175" spans="1:8" s="75" customFormat="1" x14ac:dyDescent="0.25">
      <c r="A175" s="76">
        <f t="shared" si="12"/>
        <v>0</v>
      </c>
      <c r="B175" s="77">
        <v>164</v>
      </c>
      <c r="C175" s="78">
        <f t="shared" si="10"/>
        <v>0</v>
      </c>
      <c r="D175" s="78">
        <f t="shared" si="11"/>
        <v>0</v>
      </c>
      <c r="E175" s="79">
        <f t="shared" si="13"/>
        <v>0</v>
      </c>
      <c r="F175" s="80">
        <f t="shared" si="14"/>
        <v>0</v>
      </c>
      <c r="G175" s="66"/>
      <c r="H175" s="82"/>
    </row>
    <row r="176" spans="1:8" s="75" customFormat="1" x14ac:dyDescent="0.25">
      <c r="A176" s="76">
        <f t="shared" si="12"/>
        <v>0</v>
      </c>
      <c r="B176" s="77">
        <v>165</v>
      </c>
      <c r="C176" s="78">
        <f t="shared" si="10"/>
        <v>0</v>
      </c>
      <c r="D176" s="78">
        <f t="shared" si="11"/>
        <v>0</v>
      </c>
      <c r="E176" s="79">
        <f t="shared" si="13"/>
        <v>0</v>
      </c>
      <c r="F176" s="80">
        <f t="shared" si="14"/>
        <v>0</v>
      </c>
      <c r="G176" s="66"/>
      <c r="H176" s="82"/>
    </row>
    <row r="177" spans="1:8" s="75" customFormat="1" x14ac:dyDescent="0.25">
      <c r="A177" s="76">
        <f t="shared" si="12"/>
        <v>0</v>
      </c>
      <c r="B177" s="77">
        <v>166</v>
      </c>
      <c r="C177" s="78">
        <f t="shared" si="10"/>
        <v>0</v>
      </c>
      <c r="D177" s="78">
        <f t="shared" si="11"/>
        <v>0</v>
      </c>
      <c r="E177" s="79">
        <f t="shared" si="13"/>
        <v>0</v>
      </c>
      <c r="F177" s="80">
        <f t="shared" si="14"/>
        <v>0</v>
      </c>
      <c r="G177" s="66"/>
      <c r="H177" s="82"/>
    </row>
    <row r="178" spans="1:8" s="75" customFormat="1" x14ac:dyDescent="0.25">
      <c r="A178" s="76">
        <f t="shared" si="12"/>
        <v>0</v>
      </c>
      <c r="B178" s="77">
        <v>167</v>
      </c>
      <c r="C178" s="78">
        <f t="shared" si="10"/>
        <v>0</v>
      </c>
      <c r="D178" s="78">
        <f t="shared" si="11"/>
        <v>0</v>
      </c>
      <c r="E178" s="79">
        <f t="shared" si="13"/>
        <v>0</v>
      </c>
      <c r="F178" s="80">
        <f t="shared" si="14"/>
        <v>0</v>
      </c>
      <c r="G178" s="66"/>
      <c r="H178" s="82"/>
    </row>
    <row r="179" spans="1:8" s="75" customFormat="1" x14ac:dyDescent="0.25">
      <c r="A179" s="83">
        <f t="shared" si="12"/>
        <v>0</v>
      </c>
      <c r="B179" s="84">
        <v>168</v>
      </c>
      <c r="C179" s="85">
        <f t="shared" si="10"/>
        <v>0</v>
      </c>
      <c r="D179" s="85">
        <f t="shared" si="11"/>
        <v>0</v>
      </c>
      <c r="E179" s="85">
        <f t="shared" si="13"/>
        <v>0</v>
      </c>
      <c r="F179" s="86">
        <f t="shared" si="14"/>
        <v>0</v>
      </c>
      <c r="G179" s="66"/>
      <c r="H179" s="82"/>
    </row>
    <row r="180" spans="1:8" s="75" customFormat="1" x14ac:dyDescent="0.25">
      <c r="A180" s="76">
        <f t="shared" si="12"/>
        <v>0</v>
      </c>
      <c r="B180" s="77">
        <v>169</v>
      </c>
      <c r="C180" s="78">
        <f t="shared" si="10"/>
        <v>0</v>
      </c>
      <c r="D180" s="78">
        <f t="shared" si="11"/>
        <v>0</v>
      </c>
      <c r="E180" s="79">
        <f t="shared" si="13"/>
        <v>0</v>
      </c>
      <c r="F180" s="80">
        <f t="shared" si="14"/>
        <v>0</v>
      </c>
      <c r="G180" s="66"/>
      <c r="H180" s="82"/>
    </row>
    <row r="181" spans="1:8" s="75" customFormat="1" x14ac:dyDescent="0.25">
      <c r="A181" s="76">
        <f t="shared" si="12"/>
        <v>0</v>
      </c>
      <c r="B181" s="77">
        <v>170</v>
      </c>
      <c r="C181" s="78">
        <f t="shared" si="10"/>
        <v>0</v>
      </c>
      <c r="D181" s="78">
        <f t="shared" si="11"/>
        <v>0</v>
      </c>
      <c r="E181" s="79">
        <f t="shared" si="13"/>
        <v>0</v>
      </c>
      <c r="F181" s="80">
        <f t="shared" si="14"/>
        <v>0</v>
      </c>
      <c r="G181" s="66"/>
      <c r="H181" s="82"/>
    </row>
    <row r="182" spans="1:8" s="75" customFormat="1" x14ac:dyDescent="0.25">
      <c r="A182" s="76">
        <f t="shared" si="12"/>
        <v>0</v>
      </c>
      <c r="B182" s="77">
        <v>171</v>
      </c>
      <c r="C182" s="78">
        <f t="shared" si="10"/>
        <v>0</v>
      </c>
      <c r="D182" s="78">
        <f t="shared" si="11"/>
        <v>0</v>
      </c>
      <c r="E182" s="79">
        <f t="shared" si="13"/>
        <v>0</v>
      </c>
      <c r="F182" s="80">
        <f t="shared" si="14"/>
        <v>0</v>
      </c>
      <c r="G182" s="66"/>
      <c r="H182" s="82"/>
    </row>
    <row r="183" spans="1:8" s="75" customFormat="1" x14ac:dyDescent="0.25">
      <c r="A183" s="76">
        <f t="shared" si="12"/>
        <v>0</v>
      </c>
      <c r="B183" s="77">
        <v>172</v>
      </c>
      <c r="C183" s="78">
        <f t="shared" si="10"/>
        <v>0</v>
      </c>
      <c r="D183" s="78">
        <f t="shared" si="11"/>
        <v>0</v>
      </c>
      <c r="E183" s="79">
        <f t="shared" si="13"/>
        <v>0</v>
      </c>
      <c r="F183" s="80">
        <f t="shared" si="14"/>
        <v>0</v>
      </c>
      <c r="G183" s="66"/>
      <c r="H183" s="82"/>
    </row>
    <row r="184" spans="1:8" s="75" customFormat="1" x14ac:dyDescent="0.25">
      <c r="A184" s="76">
        <f t="shared" si="12"/>
        <v>0</v>
      </c>
      <c r="B184" s="77">
        <v>173</v>
      </c>
      <c r="C184" s="78">
        <f t="shared" si="10"/>
        <v>0</v>
      </c>
      <c r="D184" s="78">
        <f t="shared" si="11"/>
        <v>0</v>
      </c>
      <c r="E184" s="79">
        <f t="shared" si="13"/>
        <v>0</v>
      </c>
      <c r="F184" s="80">
        <f t="shared" si="14"/>
        <v>0</v>
      </c>
      <c r="G184" s="66"/>
      <c r="H184" s="82"/>
    </row>
    <row r="185" spans="1:8" s="75" customFormat="1" x14ac:dyDescent="0.25">
      <c r="A185" s="76">
        <f t="shared" si="12"/>
        <v>0</v>
      </c>
      <c r="B185" s="77">
        <v>174</v>
      </c>
      <c r="C185" s="78">
        <f t="shared" si="10"/>
        <v>0</v>
      </c>
      <c r="D185" s="78">
        <f t="shared" si="11"/>
        <v>0</v>
      </c>
      <c r="E185" s="79">
        <f t="shared" si="13"/>
        <v>0</v>
      </c>
      <c r="F185" s="80">
        <f t="shared" si="14"/>
        <v>0</v>
      </c>
      <c r="G185" s="66"/>
      <c r="H185" s="82"/>
    </row>
    <row r="186" spans="1:8" s="75" customFormat="1" x14ac:dyDescent="0.25">
      <c r="A186" s="76">
        <f t="shared" si="12"/>
        <v>0</v>
      </c>
      <c r="B186" s="77">
        <v>175</v>
      </c>
      <c r="C186" s="78">
        <f t="shared" si="10"/>
        <v>0</v>
      </c>
      <c r="D186" s="78">
        <f t="shared" si="11"/>
        <v>0</v>
      </c>
      <c r="E186" s="79">
        <f t="shared" si="13"/>
        <v>0</v>
      </c>
      <c r="F186" s="80">
        <f t="shared" si="14"/>
        <v>0</v>
      </c>
      <c r="G186" s="66"/>
      <c r="H186" s="82"/>
    </row>
    <row r="187" spans="1:8" s="75" customFormat="1" x14ac:dyDescent="0.25">
      <c r="A187" s="76">
        <f t="shared" si="12"/>
        <v>0</v>
      </c>
      <c r="B187" s="77">
        <v>176</v>
      </c>
      <c r="C187" s="78">
        <f t="shared" si="10"/>
        <v>0</v>
      </c>
      <c r="D187" s="78">
        <f t="shared" si="11"/>
        <v>0</v>
      </c>
      <c r="E187" s="79">
        <f t="shared" si="13"/>
        <v>0</v>
      </c>
      <c r="F187" s="80">
        <f t="shared" si="14"/>
        <v>0</v>
      </c>
      <c r="G187" s="66"/>
      <c r="H187" s="82"/>
    </row>
    <row r="188" spans="1:8" s="75" customFormat="1" x14ac:dyDescent="0.25">
      <c r="A188" s="76">
        <f t="shared" si="12"/>
        <v>0</v>
      </c>
      <c r="B188" s="77">
        <v>177</v>
      </c>
      <c r="C188" s="78">
        <f t="shared" si="10"/>
        <v>0</v>
      </c>
      <c r="D188" s="78">
        <f t="shared" si="11"/>
        <v>0</v>
      </c>
      <c r="E188" s="79">
        <f t="shared" si="13"/>
        <v>0</v>
      </c>
      <c r="F188" s="80">
        <f t="shared" si="14"/>
        <v>0</v>
      </c>
      <c r="G188" s="66"/>
      <c r="H188" s="82"/>
    </row>
    <row r="189" spans="1:8" s="75" customFormat="1" x14ac:dyDescent="0.25">
      <c r="A189" s="76">
        <f t="shared" si="12"/>
        <v>0</v>
      </c>
      <c r="B189" s="77">
        <v>178</v>
      </c>
      <c r="C189" s="78">
        <f t="shared" si="10"/>
        <v>0</v>
      </c>
      <c r="D189" s="78">
        <f t="shared" si="11"/>
        <v>0</v>
      </c>
      <c r="E189" s="79">
        <f t="shared" si="13"/>
        <v>0</v>
      </c>
      <c r="F189" s="80">
        <f t="shared" si="14"/>
        <v>0</v>
      </c>
      <c r="G189" s="66"/>
      <c r="H189" s="82"/>
    </row>
    <row r="190" spans="1:8" s="75" customFormat="1" x14ac:dyDescent="0.25">
      <c r="A190" s="76">
        <f t="shared" si="12"/>
        <v>0</v>
      </c>
      <c r="B190" s="77">
        <v>179</v>
      </c>
      <c r="C190" s="78">
        <f t="shared" si="10"/>
        <v>0</v>
      </c>
      <c r="D190" s="78">
        <f t="shared" si="11"/>
        <v>0</v>
      </c>
      <c r="E190" s="79">
        <f t="shared" si="13"/>
        <v>0</v>
      </c>
      <c r="F190" s="80">
        <f t="shared" si="14"/>
        <v>0</v>
      </c>
      <c r="G190" s="66"/>
      <c r="H190" s="82"/>
    </row>
    <row r="191" spans="1:8" s="75" customFormat="1" x14ac:dyDescent="0.25">
      <c r="A191" s="83">
        <f t="shared" si="12"/>
        <v>0</v>
      </c>
      <c r="B191" s="84">
        <v>180</v>
      </c>
      <c r="C191" s="85">
        <f t="shared" si="10"/>
        <v>0</v>
      </c>
      <c r="D191" s="85">
        <f t="shared" si="11"/>
        <v>0</v>
      </c>
      <c r="E191" s="85">
        <f t="shared" si="13"/>
        <v>0</v>
      </c>
      <c r="F191" s="86">
        <f t="shared" si="14"/>
        <v>0</v>
      </c>
      <c r="G191" s="66"/>
      <c r="H191" s="82"/>
    </row>
    <row r="192" spans="1:8" s="75" customFormat="1" x14ac:dyDescent="0.25">
      <c r="A192" s="76">
        <f t="shared" si="12"/>
        <v>0</v>
      </c>
      <c r="B192" s="77">
        <v>181</v>
      </c>
      <c r="C192" s="78">
        <f t="shared" si="10"/>
        <v>0</v>
      </c>
      <c r="D192" s="78">
        <f t="shared" si="11"/>
        <v>0</v>
      </c>
      <c r="E192" s="79">
        <f t="shared" si="13"/>
        <v>0</v>
      </c>
      <c r="F192" s="80">
        <f t="shared" si="14"/>
        <v>0</v>
      </c>
      <c r="G192" s="66"/>
      <c r="H192" s="82"/>
    </row>
    <row r="193" spans="1:8" s="75" customFormat="1" x14ac:dyDescent="0.25">
      <c r="A193" s="76">
        <f t="shared" si="12"/>
        <v>0</v>
      </c>
      <c r="B193" s="77">
        <v>182</v>
      </c>
      <c r="C193" s="78">
        <f t="shared" si="10"/>
        <v>0</v>
      </c>
      <c r="D193" s="78">
        <f t="shared" si="11"/>
        <v>0</v>
      </c>
      <c r="E193" s="79">
        <f t="shared" si="13"/>
        <v>0</v>
      </c>
      <c r="F193" s="80">
        <f t="shared" si="14"/>
        <v>0</v>
      </c>
      <c r="G193" s="66"/>
      <c r="H193" s="82"/>
    </row>
    <row r="194" spans="1:8" s="75" customFormat="1" x14ac:dyDescent="0.25">
      <c r="A194" s="76">
        <f t="shared" si="12"/>
        <v>0</v>
      </c>
      <c r="B194" s="77">
        <v>183</v>
      </c>
      <c r="C194" s="78">
        <f t="shared" si="10"/>
        <v>0</v>
      </c>
      <c r="D194" s="78">
        <f t="shared" si="11"/>
        <v>0</v>
      </c>
      <c r="E194" s="79">
        <f t="shared" si="13"/>
        <v>0</v>
      </c>
      <c r="F194" s="80">
        <f t="shared" si="14"/>
        <v>0</v>
      </c>
      <c r="G194" s="66"/>
      <c r="H194" s="82"/>
    </row>
    <row r="195" spans="1:8" s="75" customFormat="1" x14ac:dyDescent="0.25">
      <c r="A195" s="76">
        <f t="shared" si="12"/>
        <v>0</v>
      </c>
      <c r="B195" s="77">
        <v>184</v>
      </c>
      <c r="C195" s="78">
        <f t="shared" si="10"/>
        <v>0</v>
      </c>
      <c r="D195" s="78">
        <f t="shared" si="11"/>
        <v>0</v>
      </c>
      <c r="E195" s="79">
        <f t="shared" si="13"/>
        <v>0</v>
      </c>
      <c r="F195" s="80">
        <f t="shared" si="14"/>
        <v>0</v>
      </c>
      <c r="G195" s="66"/>
      <c r="H195" s="82"/>
    </row>
    <row r="196" spans="1:8" s="75" customFormat="1" x14ac:dyDescent="0.25">
      <c r="A196" s="76">
        <f t="shared" si="12"/>
        <v>0</v>
      </c>
      <c r="B196" s="77">
        <v>185</v>
      </c>
      <c r="C196" s="78">
        <f t="shared" si="10"/>
        <v>0</v>
      </c>
      <c r="D196" s="78">
        <f t="shared" si="11"/>
        <v>0</v>
      </c>
      <c r="E196" s="79">
        <f t="shared" si="13"/>
        <v>0</v>
      </c>
      <c r="F196" s="80">
        <f t="shared" si="14"/>
        <v>0</v>
      </c>
      <c r="G196" s="66"/>
      <c r="H196" s="82"/>
    </row>
    <row r="197" spans="1:8" s="75" customFormat="1" x14ac:dyDescent="0.25">
      <c r="A197" s="76">
        <f t="shared" si="12"/>
        <v>0</v>
      </c>
      <c r="B197" s="77">
        <v>186</v>
      </c>
      <c r="C197" s="78">
        <f t="shared" si="10"/>
        <v>0</v>
      </c>
      <c r="D197" s="78">
        <f t="shared" si="11"/>
        <v>0</v>
      </c>
      <c r="E197" s="79">
        <f t="shared" si="13"/>
        <v>0</v>
      </c>
      <c r="F197" s="80">
        <f t="shared" si="14"/>
        <v>0</v>
      </c>
      <c r="G197" s="66"/>
      <c r="H197" s="82"/>
    </row>
    <row r="198" spans="1:8" s="75" customFormat="1" x14ac:dyDescent="0.25">
      <c r="A198" s="76">
        <f t="shared" si="12"/>
        <v>0</v>
      </c>
      <c r="B198" s="77">
        <v>187</v>
      </c>
      <c r="C198" s="78">
        <f t="shared" si="10"/>
        <v>0</v>
      </c>
      <c r="D198" s="78">
        <f t="shared" si="11"/>
        <v>0</v>
      </c>
      <c r="E198" s="79">
        <f t="shared" si="13"/>
        <v>0</v>
      </c>
      <c r="F198" s="80">
        <f t="shared" si="14"/>
        <v>0</v>
      </c>
      <c r="G198" s="66"/>
      <c r="H198" s="82"/>
    </row>
    <row r="199" spans="1:8" s="75" customFormat="1" x14ac:dyDescent="0.25">
      <c r="A199" s="76">
        <f t="shared" si="12"/>
        <v>0</v>
      </c>
      <c r="B199" s="77">
        <v>188</v>
      </c>
      <c r="C199" s="78">
        <f t="shared" si="10"/>
        <v>0</v>
      </c>
      <c r="D199" s="78">
        <f t="shared" si="11"/>
        <v>0</v>
      </c>
      <c r="E199" s="79">
        <f t="shared" si="13"/>
        <v>0</v>
      </c>
      <c r="F199" s="80">
        <f t="shared" si="14"/>
        <v>0</v>
      </c>
      <c r="G199" s="66"/>
      <c r="H199" s="82"/>
    </row>
    <row r="200" spans="1:8" s="75" customFormat="1" x14ac:dyDescent="0.25">
      <c r="A200" s="76">
        <f t="shared" si="12"/>
        <v>0</v>
      </c>
      <c r="B200" s="77">
        <v>189</v>
      </c>
      <c r="C200" s="78">
        <f t="shared" si="10"/>
        <v>0</v>
      </c>
      <c r="D200" s="78">
        <f t="shared" si="11"/>
        <v>0</v>
      </c>
      <c r="E200" s="79">
        <f t="shared" si="13"/>
        <v>0</v>
      </c>
      <c r="F200" s="80">
        <f t="shared" si="14"/>
        <v>0</v>
      </c>
      <c r="G200" s="66"/>
      <c r="H200" s="82"/>
    </row>
    <row r="201" spans="1:8" s="75" customFormat="1" x14ac:dyDescent="0.25">
      <c r="A201" s="76">
        <f t="shared" si="12"/>
        <v>0</v>
      </c>
      <c r="B201" s="77">
        <v>190</v>
      </c>
      <c r="C201" s="78">
        <f t="shared" si="10"/>
        <v>0</v>
      </c>
      <c r="D201" s="78">
        <f t="shared" si="11"/>
        <v>0</v>
      </c>
      <c r="E201" s="79">
        <f t="shared" si="13"/>
        <v>0</v>
      </c>
      <c r="F201" s="80">
        <f t="shared" si="14"/>
        <v>0</v>
      </c>
      <c r="G201" s="66"/>
      <c r="H201" s="82"/>
    </row>
    <row r="202" spans="1:8" s="75" customFormat="1" x14ac:dyDescent="0.25">
      <c r="A202" s="76">
        <f t="shared" si="12"/>
        <v>0</v>
      </c>
      <c r="B202" s="77">
        <v>191</v>
      </c>
      <c r="C202" s="78">
        <f t="shared" si="10"/>
        <v>0</v>
      </c>
      <c r="D202" s="78">
        <f t="shared" si="11"/>
        <v>0</v>
      </c>
      <c r="E202" s="79">
        <f t="shared" si="13"/>
        <v>0</v>
      </c>
      <c r="F202" s="80">
        <f t="shared" si="14"/>
        <v>0</v>
      </c>
      <c r="G202" s="66"/>
      <c r="H202" s="82"/>
    </row>
    <row r="203" spans="1:8" s="75" customFormat="1" x14ac:dyDescent="0.25">
      <c r="A203" s="83">
        <f t="shared" si="12"/>
        <v>0</v>
      </c>
      <c r="B203" s="84">
        <v>192</v>
      </c>
      <c r="C203" s="85">
        <f t="shared" si="10"/>
        <v>0</v>
      </c>
      <c r="D203" s="85">
        <f t="shared" si="11"/>
        <v>0</v>
      </c>
      <c r="E203" s="85">
        <f t="shared" si="13"/>
        <v>0</v>
      </c>
      <c r="F203" s="86">
        <f t="shared" si="14"/>
        <v>0</v>
      </c>
      <c r="G203" s="66"/>
      <c r="H203" s="82"/>
    </row>
    <row r="204" spans="1:8" s="75" customFormat="1" x14ac:dyDescent="0.25">
      <c r="A204" s="76">
        <f t="shared" si="12"/>
        <v>0</v>
      </c>
      <c r="B204" s="77">
        <v>193</v>
      </c>
      <c r="C204" s="78">
        <f t="shared" ref="C204:C267" si="15">IF(F203&lt;0.01,0,IF($H$5=TRUE,IF(B204&lt;=$D$5,0,IF($A$1="АННУИТЕТ",$D$7-D204,$D$2/($D$3-$D$5))),IF($A$1="АННУИТЕТ",$D$7-D204,$D$2/$D$3)))</f>
        <v>0</v>
      </c>
      <c r="D204" s="78">
        <f t="shared" ref="D204:D267" si="16">F203*($D$4/12)/100</f>
        <v>0</v>
      </c>
      <c r="E204" s="79">
        <f t="shared" si="13"/>
        <v>0</v>
      </c>
      <c r="F204" s="80">
        <f t="shared" si="14"/>
        <v>0</v>
      </c>
      <c r="G204" s="66"/>
      <c r="H204" s="82"/>
    </row>
    <row r="205" spans="1:8" s="75" customFormat="1" x14ac:dyDescent="0.25">
      <c r="A205" s="76">
        <f t="shared" ref="A205:A268" si="17">IF($D$3&gt;=B205,DATE(YEAR($D$6),MONTH($D$6)+B205-1,DAY($D$6)),0)</f>
        <v>0</v>
      </c>
      <c r="B205" s="77">
        <v>194</v>
      </c>
      <c r="C205" s="78">
        <f t="shared" si="15"/>
        <v>0</v>
      </c>
      <c r="D205" s="78">
        <f t="shared" si="16"/>
        <v>0</v>
      </c>
      <c r="E205" s="79">
        <f t="shared" ref="E205:E268" si="18">IF($A$1="АННУИТЕТ",IF(F204&gt;0,C205+D205,0),C205+D205)</f>
        <v>0</v>
      </c>
      <c r="F205" s="80">
        <f t="shared" ref="F205:F268" si="19">F204-C205</f>
        <v>0</v>
      </c>
      <c r="G205" s="66"/>
      <c r="H205" s="82"/>
    </row>
    <row r="206" spans="1:8" s="75" customFormat="1" x14ac:dyDescent="0.25">
      <c r="A206" s="76">
        <f t="shared" si="17"/>
        <v>0</v>
      </c>
      <c r="B206" s="77">
        <v>195</v>
      </c>
      <c r="C206" s="78">
        <f t="shared" si="15"/>
        <v>0</v>
      </c>
      <c r="D206" s="78">
        <f t="shared" si="16"/>
        <v>0</v>
      </c>
      <c r="E206" s="79">
        <f t="shared" si="18"/>
        <v>0</v>
      </c>
      <c r="F206" s="80">
        <f t="shared" si="19"/>
        <v>0</v>
      </c>
      <c r="G206" s="66"/>
      <c r="H206" s="82"/>
    </row>
    <row r="207" spans="1:8" s="75" customFormat="1" x14ac:dyDescent="0.25">
      <c r="A207" s="76">
        <f t="shared" si="17"/>
        <v>0</v>
      </c>
      <c r="B207" s="77">
        <v>196</v>
      </c>
      <c r="C207" s="78">
        <f t="shared" si="15"/>
        <v>0</v>
      </c>
      <c r="D207" s="78">
        <f t="shared" si="16"/>
        <v>0</v>
      </c>
      <c r="E207" s="79">
        <f t="shared" si="18"/>
        <v>0</v>
      </c>
      <c r="F207" s="80">
        <f t="shared" si="19"/>
        <v>0</v>
      </c>
      <c r="G207" s="66"/>
      <c r="H207" s="82"/>
    </row>
    <row r="208" spans="1:8" s="75" customFormat="1" x14ac:dyDescent="0.25">
      <c r="A208" s="76">
        <f t="shared" si="17"/>
        <v>0</v>
      </c>
      <c r="B208" s="77">
        <v>197</v>
      </c>
      <c r="C208" s="78">
        <f t="shared" si="15"/>
        <v>0</v>
      </c>
      <c r="D208" s="78">
        <f t="shared" si="16"/>
        <v>0</v>
      </c>
      <c r="E208" s="79">
        <f t="shared" si="18"/>
        <v>0</v>
      </c>
      <c r="F208" s="80">
        <f t="shared" si="19"/>
        <v>0</v>
      </c>
      <c r="G208" s="66"/>
      <c r="H208" s="82"/>
    </row>
    <row r="209" spans="1:8" s="75" customFormat="1" x14ac:dyDescent="0.25">
      <c r="A209" s="76">
        <f t="shared" si="17"/>
        <v>0</v>
      </c>
      <c r="B209" s="77">
        <v>198</v>
      </c>
      <c r="C209" s="78">
        <f t="shared" si="15"/>
        <v>0</v>
      </c>
      <c r="D209" s="78">
        <f t="shared" si="16"/>
        <v>0</v>
      </c>
      <c r="E209" s="79">
        <f t="shared" si="18"/>
        <v>0</v>
      </c>
      <c r="F209" s="80">
        <f t="shared" si="19"/>
        <v>0</v>
      </c>
      <c r="G209" s="66"/>
      <c r="H209" s="82"/>
    </row>
    <row r="210" spans="1:8" s="75" customFormat="1" x14ac:dyDescent="0.25">
      <c r="A210" s="76">
        <f t="shared" si="17"/>
        <v>0</v>
      </c>
      <c r="B210" s="77">
        <v>199</v>
      </c>
      <c r="C210" s="78">
        <f t="shared" si="15"/>
        <v>0</v>
      </c>
      <c r="D210" s="78">
        <f t="shared" si="16"/>
        <v>0</v>
      </c>
      <c r="E210" s="79">
        <f t="shared" si="18"/>
        <v>0</v>
      </c>
      <c r="F210" s="80">
        <f t="shared" si="19"/>
        <v>0</v>
      </c>
      <c r="G210" s="66"/>
      <c r="H210" s="82"/>
    </row>
    <row r="211" spans="1:8" s="75" customFormat="1" x14ac:dyDescent="0.25">
      <c r="A211" s="76">
        <f t="shared" si="17"/>
        <v>0</v>
      </c>
      <c r="B211" s="77">
        <v>200</v>
      </c>
      <c r="C211" s="78">
        <f t="shared" si="15"/>
        <v>0</v>
      </c>
      <c r="D211" s="78">
        <f t="shared" si="16"/>
        <v>0</v>
      </c>
      <c r="E211" s="79">
        <f t="shared" si="18"/>
        <v>0</v>
      </c>
      <c r="F211" s="80">
        <f t="shared" si="19"/>
        <v>0</v>
      </c>
      <c r="G211" s="66"/>
      <c r="H211" s="82"/>
    </row>
    <row r="212" spans="1:8" s="75" customFormat="1" x14ac:dyDescent="0.25">
      <c r="A212" s="76">
        <f t="shared" si="17"/>
        <v>0</v>
      </c>
      <c r="B212" s="77">
        <v>201</v>
      </c>
      <c r="C212" s="78">
        <f t="shared" si="15"/>
        <v>0</v>
      </c>
      <c r="D212" s="78">
        <f t="shared" si="16"/>
        <v>0</v>
      </c>
      <c r="E212" s="79">
        <f t="shared" si="18"/>
        <v>0</v>
      </c>
      <c r="F212" s="80">
        <f t="shared" si="19"/>
        <v>0</v>
      </c>
      <c r="G212" s="66"/>
      <c r="H212" s="82"/>
    </row>
    <row r="213" spans="1:8" s="75" customFormat="1" x14ac:dyDescent="0.25">
      <c r="A213" s="76">
        <f t="shared" si="17"/>
        <v>0</v>
      </c>
      <c r="B213" s="77">
        <v>202</v>
      </c>
      <c r="C213" s="78">
        <f t="shared" si="15"/>
        <v>0</v>
      </c>
      <c r="D213" s="78">
        <f t="shared" si="16"/>
        <v>0</v>
      </c>
      <c r="E213" s="79">
        <f t="shared" si="18"/>
        <v>0</v>
      </c>
      <c r="F213" s="80">
        <f t="shared" si="19"/>
        <v>0</v>
      </c>
      <c r="G213" s="66"/>
      <c r="H213" s="82"/>
    </row>
    <row r="214" spans="1:8" s="75" customFormat="1" x14ac:dyDescent="0.25">
      <c r="A214" s="76">
        <f t="shared" si="17"/>
        <v>0</v>
      </c>
      <c r="B214" s="77">
        <v>203</v>
      </c>
      <c r="C214" s="78">
        <f t="shared" si="15"/>
        <v>0</v>
      </c>
      <c r="D214" s="78">
        <f t="shared" si="16"/>
        <v>0</v>
      </c>
      <c r="E214" s="79">
        <f t="shared" si="18"/>
        <v>0</v>
      </c>
      <c r="F214" s="80">
        <f t="shared" si="19"/>
        <v>0</v>
      </c>
      <c r="G214" s="66"/>
      <c r="H214" s="82"/>
    </row>
    <row r="215" spans="1:8" s="75" customFormat="1" x14ac:dyDescent="0.25">
      <c r="A215" s="83">
        <f t="shared" si="17"/>
        <v>0</v>
      </c>
      <c r="B215" s="84">
        <v>204</v>
      </c>
      <c r="C215" s="85">
        <f t="shared" si="15"/>
        <v>0</v>
      </c>
      <c r="D215" s="85">
        <f t="shared" si="16"/>
        <v>0</v>
      </c>
      <c r="E215" s="85">
        <f t="shared" si="18"/>
        <v>0</v>
      </c>
      <c r="F215" s="86">
        <f t="shared" si="19"/>
        <v>0</v>
      </c>
      <c r="G215" s="66"/>
      <c r="H215" s="82"/>
    </row>
    <row r="216" spans="1:8" s="75" customFormat="1" x14ac:dyDescent="0.25">
      <c r="A216" s="76">
        <f t="shared" si="17"/>
        <v>0</v>
      </c>
      <c r="B216" s="77">
        <v>205</v>
      </c>
      <c r="C216" s="78">
        <f t="shared" si="15"/>
        <v>0</v>
      </c>
      <c r="D216" s="78">
        <f t="shared" si="16"/>
        <v>0</v>
      </c>
      <c r="E216" s="79">
        <f t="shared" si="18"/>
        <v>0</v>
      </c>
      <c r="F216" s="80">
        <f t="shared" si="19"/>
        <v>0</v>
      </c>
      <c r="G216" s="66"/>
      <c r="H216" s="82"/>
    </row>
    <row r="217" spans="1:8" s="75" customFormat="1" x14ac:dyDescent="0.25">
      <c r="A217" s="76">
        <f t="shared" si="17"/>
        <v>0</v>
      </c>
      <c r="B217" s="77">
        <v>206</v>
      </c>
      <c r="C217" s="78">
        <f t="shared" si="15"/>
        <v>0</v>
      </c>
      <c r="D217" s="78">
        <f t="shared" si="16"/>
        <v>0</v>
      </c>
      <c r="E217" s="79">
        <f t="shared" si="18"/>
        <v>0</v>
      </c>
      <c r="F217" s="80">
        <f t="shared" si="19"/>
        <v>0</v>
      </c>
      <c r="G217" s="66"/>
      <c r="H217" s="82"/>
    </row>
    <row r="218" spans="1:8" s="75" customFormat="1" x14ac:dyDescent="0.25">
      <c r="A218" s="76">
        <f t="shared" si="17"/>
        <v>0</v>
      </c>
      <c r="B218" s="77">
        <v>207</v>
      </c>
      <c r="C218" s="78">
        <f t="shared" si="15"/>
        <v>0</v>
      </c>
      <c r="D218" s="78">
        <f t="shared" si="16"/>
        <v>0</v>
      </c>
      <c r="E218" s="79">
        <f t="shared" si="18"/>
        <v>0</v>
      </c>
      <c r="F218" s="80">
        <f t="shared" si="19"/>
        <v>0</v>
      </c>
      <c r="G218" s="66"/>
      <c r="H218" s="82"/>
    </row>
    <row r="219" spans="1:8" s="75" customFormat="1" x14ac:dyDescent="0.25">
      <c r="A219" s="76">
        <f t="shared" si="17"/>
        <v>0</v>
      </c>
      <c r="B219" s="77">
        <v>208</v>
      </c>
      <c r="C219" s="78">
        <f t="shared" si="15"/>
        <v>0</v>
      </c>
      <c r="D219" s="78">
        <f t="shared" si="16"/>
        <v>0</v>
      </c>
      <c r="E219" s="79">
        <f t="shared" si="18"/>
        <v>0</v>
      </c>
      <c r="F219" s="80">
        <f t="shared" si="19"/>
        <v>0</v>
      </c>
      <c r="G219" s="66"/>
      <c r="H219" s="82"/>
    </row>
    <row r="220" spans="1:8" s="75" customFormat="1" x14ac:dyDescent="0.25">
      <c r="A220" s="76">
        <f t="shared" si="17"/>
        <v>0</v>
      </c>
      <c r="B220" s="77">
        <v>209</v>
      </c>
      <c r="C220" s="78">
        <f t="shared" si="15"/>
        <v>0</v>
      </c>
      <c r="D220" s="78">
        <f t="shared" si="16"/>
        <v>0</v>
      </c>
      <c r="E220" s="79">
        <f t="shared" si="18"/>
        <v>0</v>
      </c>
      <c r="F220" s="80">
        <f t="shared" si="19"/>
        <v>0</v>
      </c>
      <c r="G220" s="66"/>
      <c r="H220" s="82"/>
    </row>
    <row r="221" spans="1:8" s="75" customFormat="1" x14ac:dyDescent="0.25">
      <c r="A221" s="76">
        <f t="shared" si="17"/>
        <v>0</v>
      </c>
      <c r="B221" s="77">
        <v>210</v>
      </c>
      <c r="C221" s="78">
        <f t="shared" si="15"/>
        <v>0</v>
      </c>
      <c r="D221" s="78">
        <f t="shared" si="16"/>
        <v>0</v>
      </c>
      <c r="E221" s="79">
        <f t="shared" si="18"/>
        <v>0</v>
      </c>
      <c r="F221" s="80">
        <f t="shared" si="19"/>
        <v>0</v>
      </c>
      <c r="G221" s="66"/>
      <c r="H221" s="82"/>
    </row>
    <row r="222" spans="1:8" s="75" customFormat="1" x14ac:dyDescent="0.25">
      <c r="A222" s="76">
        <f t="shared" si="17"/>
        <v>0</v>
      </c>
      <c r="B222" s="77">
        <v>211</v>
      </c>
      <c r="C222" s="78">
        <f t="shared" si="15"/>
        <v>0</v>
      </c>
      <c r="D222" s="78">
        <f t="shared" si="16"/>
        <v>0</v>
      </c>
      <c r="E222" s="79">
        <f t="shared" si="18"/>
        <v>0</v>
      </c>
      <c r="F222" s="80">
        <f t="shared" si="19"/>
        <v>0</v>
      </c>
      <c r="G222" s="66"/>
      <c r="H222" s="82"/>
    </row>
    <row r="223" spans="1:8" s="75" customFormat="1" x14ac:dyDescent="0.25">
      <c r="A223" s="76">
        <f t="shared" si="17"/>
        <v>0</v>
      </c>
      <c r="B223" s="77">
        <v>212</v>
      </c>
      <c r="C223" s="78">
        <f t="shared" si="15"/>
        <v>0</v>
      </c>
      <c r="D223" s="78">
        <f t="shared" si="16"/>
        <v>0</v>
      </c>
      <c r="E223" s="79">
        <f t="shared" si="18"/>
        <v>0</v>
      </c>
      <c r="F223" s="80">
        <f t="shared" si="19"/>
        <v>0</v>
      </c>
      <c r="G223" s="66"/>
      <c r="H223" s="82"/>
    </row>
    <row r="224" spans="1:8" s="75" customFormat="1" x14ac:dyDescent="0.25">
      <c r="A224" s="76">
        <f t="shared" si="17"/>
        <v>0</v>
      </c>
      <c r="B224" s="77">
        <v>213</v>
      </c>
      <c r="C224" s="78">
        <f t="shared" si="15"/>
        <v>0</v>
      </c>
      <c r="D224" s="78">
        <f t="shared" si="16"/>
        <v>0</v>
      </c>
      <c r="E224" s="79">
        <f t="shared" si="18"/>
        <v>0</v>
      </c>
      <c r="F224" s="80">
        <f t="shared" si="19"/>
        <v>0</v>
      </c>
      <c r="G224" s="66"/>
      <c r="H224" s="82"/>
    </row>
    <row r="225" spans="1:8" s="75" customFormat="1" x14ac:dyDescent="0.25">
      <c r="A225" s="76">
        <f t="shared" si="17"/>
        <v>0</v>
      </c>
      <c r="B225" s="77">
        <v>214</v>
      </c>
      <c r="C225" s="78">
        <f t="shared" si="15"/>
        <v>0</v>
      </c>
      <c r="D225" s="78">
        <f t="shared" si="16"/>
        <v>0</v>
      </c>
      <c r="E225" s="79">
        <f t="shared" si="18"/>
        <v>0</v>
      </c>
      <c r="F225" s="80">
        <f t="shared" si="19"/>
        <v>0</v>
      </c>
      <c r="G225" s="66"/>
      <c r="H225" s="82"/>
    </row>
    <row r="226" spans="1:8" s="75" customFormat="1" x14ac:dyDescent="0.25">
      <c r="A226" s="76">
        <f t="shared" si="17"/>
        <v>0</v>
      </c>
      <c r="B226" s="77">
        <v>215</v>
      </c>
      <c r="C226" s="78">
        <f t="shared" si="15"/>
        <v>0</v>
      </c>
      <c r="D226" s="78">
        <f t="shared" si="16"/>
        <v>0</v>
      </c>
      <c r="E226" s="79">
        <f t="shared" si="18"/>
        <v>0</v>
      </c>
      <c r="F226" s="80">
        <f t="shared" si="19"/>
        <v>0</v>
      </c>
      <c r="G226" s="66"/>
      <c r="H226" s="82"/>
    </row>
    <row r="227" spans="1:8" s="75" customFormat="1" x14ac:dyDescent="0.25">
      <c r="A227" s="83">
        <f t="shared" si="17"/>
        <v>0</v>
      </c>
      <c r="B227" s="84">
        <v>216</v>
      </c>
      <c r="C227" s="85">
        <f t="shared" si="15"/>
        <v>0</v>
      </c>
      <c r="D227" s="85">
        <f t="shared" si="16"/>
        <v>0</v>
      </c>
      <c r="E227" s="85">
        <f t="shared" si="18"/>
        <v>0</v>
      </c>
      <c r="F227" s="86">
        <f t="shared" si="19"/>
        <v>0</v>
      </c>
      <c r="G227" s="66"/>
      <c r="H227" s="82"/>
    </row>
    <row r="228" spans="1:8" s="75" customFormat="1" x14ac:dyDescent="0.25">
      <c r="A228" s="76">
        <f t="shared" si="17"/>
        <v>0</v>
      </c>
      <c r="B228" s="77">
        <v>217</v>
      </c>
      <c r="C228" s="78">
        <f t="shared" si="15"/>
        <v>0</v>
      </c>
      <c r="D228" s="78">
        <f t="shared" si="16"/>
        <v>0</v>
      </c>
      <c r="E228" s="79">
        <f t="shared" si="18"/>
        <v>0</v>
      </c>
      <c r="F228" s="80">
        <f t="shared" si="19"/>
        <v>0</v>
      </c>
      <c r="G228" s="66"/>
      <c r="H228" s="82"/>
    </row>
    <row r="229" spans="1:8" s="75" customFormat="1" x14ac:dyDescent="0.25">
      <c r="A229" s="76">
        <f t="shared" si="17"/>
        <v>0</v>
      </c>
      <c r="B229" s="77">
        <v>218</v>
      </c>
      <c r="C229" s="78">
        <f t="shared" si="15"/>
        <v>0</v>
      </c>
      <c r="D229" s="78">
        <f t="shared" si="16"/>
        <v>0</v>
      </c>
      <c r="E229" s="79">
        <f t="shared" si="18"/>
        <v>0</v>
      </c>
      <c r="F229" s="80">
        <f t="shared" si="19"/>
        <v>0</v>
      </c>
      <c r="G229" s="66"/>
      <c r="H229" s="82"/>
    </row>
    <row r="230" spans="1:8" s="75" customFormat="1" x14ac:dyDescent="0.25">
      <c r="A230" s="76">
        <f t="shared" si="17"/>
        <v>0</v>
      </c>
      <c r="B230" s="77">
        <v>219</v>
      </c>
      <c r="C230" s="78">
        <f t="shared" si="15"/>
        <v>0</v>
      </c>
      <c r="D230" s="78">
        <f t="shared" si="16"/>
        <v>0</v>
      </c>
      <c r="E230" s="79">
        <f t="shared" si="18"/>
        <v>0</v>
      </c>
      <c r="F230" s="80">
        <f t="shared" si="19"/>
        <v>0</v>
      </c>
      <c r="G230" s="66"/>
      <c r="H230" s="82"/>
    </row>
    <row r="231" spans="1:8" s="75" customFormat="1" x14ac:dyDescent="0.25">
      <c r="A231" s="76">
        <f t="shared" si="17"/>
        <v>0</v>
      </c>
      <c r="B231" s="77">
        <v>220</v>
      </c>
      <c r="C231" s="78">
        <f t="shared" si="15"/>
        <v>0</v>
      </c>
      <c r="D231" s="78">
        <f t="shared" si="16"/>
        <v>0</v>
      </c>
      <c r="E231" s="79">
        <f t="shared" si="18"/>
        <v>0</v>
      </c>
      <c r="F231" s="80">
        <f t="shared" si="19"/>
        <v>0</v>
      </c>
      <c r="G231" s="66"/>
      <c r="H231" s="82"/>
    </row>
    <row r="232" spans="1:8" s="75" customFormat="1" x14ac:dyDescent="0.25">
      <c r="A232" s="76">
        <f t="shared" si="17"/>
        <v>0</v>
      </c>
      <c r="B232" s="77">
        <v>221</v>
      </c>
      <c r="C232" s="78">
        <f t="shared" si="15"/>
        <v>0</v>
      </c>
      <c r="D232" s="78">
        <f t="shared" si="16"/>
        <v>0</v>
      </c>
      <c r="E232" s="79">
        <f t="shared" si="18"/>
        <v>0</v>
      </c>
      <c r="F232" s="80">
        <f t="shared" si="19"/>
        <v>0</v>
      </c>
      <c r="G232" s="66"/>
      <c r="H232" s="82"/>
    </row>
    <row r="233" spans="1:8" s="75" customFormat="1" x14ac:dyDescent="0.25">
      <c r="A233" s="76">
        <f t="shared" si="17"/>
        <v>0</v>
      </c>
      <c r="B233" s="77">
        <v>222</v>
      </c>
      <c r="C233" s="78">
        <f t="shared" si="15"/>
        <v>0</v>
      </c>
      <c r="D233" s="78">
        <f t="shared" si="16"/>
        <v>0</v>
      </c>
      <c r="E233" s="79">
        <f t="shared" si="18"/>
        <v>0</v>
      </c>
      <c r="F233" s="80">
        <f t="shared" si="19"/>
        <v>0</v>
      </c>
      <c r="G233" s="66"/>
      <c r="H233" s="82"/>
    </row>
    <row r="234" spans="1:8" s="75" customFormat="1" x14ac:dyDescent="0.25">
      <c r="A234" s="76">
        <f t="shared" si="17"/>
        <v>0</v>
      </c>
      <c r="B234" s="77">
        <v>223</v>
      </c>
      <c r="C234" s="78">
        <f t="shared" si="15"/>
        <v>0</v>
      </c>
      <c r="D234" s="78">
        <f t="shared" si="16"/>
        <v>0</v>
      </c>
      <c r="E234" s="79">
        <f t="shared" si="18"/>
        <v>0</v>
      </c>
      <c r="F234" s="80">
        <f t="shared" si="19"/>
        <v>0</v>
      </c>
      <c r="G234" s="66"/>
      <c r="H234" s="82"/>
    </row>
    <row r="235" spans="1:8" s="75" customFormat="1" x14ac:dyDescent="0.25">
      <c r="A235" s="76">
        <f t="shared" si="17"/>
        <v>0</v>
      </c>
      <c r="B235" s="77">
        <v>224</v>
      </c>
      <c r="C235" s="78">
        <f t="shared" si="15"/>
        <v>0</v>
      </c>
      <c r="D235" s="78">
        <f t="shared" si="16"/>
        <v>0</v>
      </c>
      <c r="E235" s="79">
        <f t="shared" si="18"/>
        <v>0</v>
      </c>
      <c r="F235" s="80">
        <f t="shared" si="19"/>
        <v>0</v>
      </c>
      <c r="G235" s="66"/>
      <c r="H235" s="82"/>
    </row>
    <row r="236" spans="1:8" s="75" customFormat="1" x14ac:dyDescent="0.25">
      <c r="A236" s="76">
        <f t="shared" si="17"/>
        <v>0</v>
      </c>
      <c r="B236" s="77">
        <v>225</v>
      </c>
      <c r="C236" s="78">
        <f t="shared" si="15"/>
        <v>0</v>
      </c>
      <c r="D236" s="78">
        <f t="shared" si="16"/>
        <v>0</v>
      </c>
      <c r="E236" s="79">
        <f t="shared" si="18"/>
        <v>0</v>
      </c>
      <c r="F236" s="80">
        <f t="shared" si="19"/>
        <v>0</v>
      </c>
      <c r="G236" s="66"/>
      <c r="H236" s="82"/>
    </row>
    <row r="237" spans="1:8" s="75" customFormat="1" x14ac:dyDescent="0.25">
      <c r="A237" s="76">
        <f t="shared" si="17"/>
        <v>0</v>
      </c>
      <c r="B237" s="77">
        <v>226</v>
      </c>
      <c r="C237" s="78">
        <f t="shared" si="15"/>
        <v>0</v>
      </c>
      <c r="D237" s="78">
        <f t="shared" si="16"/>
        <v>0</v>
      </c>
      <c r="E237" s="79">
        <f t="shared" si="18"/>
        <v>0</v>
      </c>
      <c r="F237" s="80">
        <f t="shared" si="19"/>
        <v>0</v>
      </c>
      <c r="G237" s="66"/>
      <c r="H237" s="82"/>
    </row>
    <row r="238" spans="1:8" s="75" customFormat="1" x14ac:dyDescent="0.25">
      <c r="A238" s="76">
        <f t="shared" si="17"/>
        <v>0</v>
      </c>
      <c r="B238" s="77">
        <v>227</v>
      </c>
      <c r="C238" s="78">
        <f t="shared" si="15"/>
        <v>0</v>
      </c>
      <c r="D238" s="78">
        <f t="shared" si="16"/>
        <v>0</v>
      </c>
      <c r="E238" s="79">
        <f t="shared" si="18"/>
        <v>0</v>
      </c>
      <c r="F238" s="80">
        <f t="shared" si="19"/>
        <v>0</v>
      </c>
      <c r="G238" s="66"/>
      <c r="H238" s="82"/>
    </row>
    <row r="239" spans="1:8" s="75" customFormat="1" x14ac:dyDescent="0.25">
      <c r="A239" s="83">
        <f t="shared" si="17"/>
        <v>0</v>
      </c>
      <c r="B239" s="84">
        <v>228</v>
      </c>
      <c r="C239" s="85">
        <f t="shared" si="15"/>
        <v>0</v>
      </c>
      <c r="D239" s="85">
        <f t="shared" si="16"/>
        <v>0</v>
      </c>
      <c r="E239" s="85">
        <f t="shared" si="18"/>
        <v>0</v>
      </c>
      <c r="F239" s="86">
        <f t="shared" si="19"/>
        <v>0</v>
      </c>
      <c r="G239" s="66"/>
      <c r="H239" s="82"/>
    </row>
    <row r="240" spans="1:8" s="75" customFormat="1" x14ac:dyDescent="0.25">
      <c r="A240" s="76">
        <f t="shared" si="17"/>
        <v>0</v>
      </c>
      <c r="B240" s="77">
        <v>229</v>
      </c>
      <c r="C240" s="78">
        <f t="shared" si="15"/>
        <v>0</v>
      </c>
      <c r="D240" s="78">
        <f t="shared" si="16"/>
        <v>0</v>
      </c>
      <c r="E240" s="79">
        <f t="shared" si="18"/>
        <v>0</v>
      </c>
      <c r="F240" s="80">
        <f t="shared" si="19"/>
        <v>0</v>
      </c>
      <c r="G240" s="66"/>
      <c r="H240" s="82"/>
    </row>
    <row r="241" spans="1:8" s="75" customFormat="1" x14ac:dyDescent="0.25">
      <c r="A241" s="76">
        <f t="shared" si="17"/>
        <v>0</v>
      </c>
      <c r="B241" s="77">
        <v>230</v>
      </c>
      <c r="C241" s="78">
        <f t="shared" si="15"/>
        <v>0</v>
      </c>
      <c r="D241" s="78">
        <f t="shared" si="16"/>
        <v>0</v>
      </c>
      <c r="E241" s="79">
        <f t="shared" si="18"/>
        <v>0</v>
      </c>
      <c r="F241" s="80">
        <f t="shared" si="19"/>
        <v>0</v>
      </c>
      <c r="G241" s="66"/>
      <c r="H241" s="82"/>
    </row>
    <row r="242" spans="1:8" s="75" customFormat="1" x14ac:dyDescent="0.25">
      <c r="A242" s="76">
        <f t="shared" si="17"/>
        <v>0</v>
      </c>
      <c r="B242" s="77">
        <v>231</v>
      </c>
      <c r="C242" s="78">
        <f t="shared" si="15"/>
        <v>0</v>
      </c>
      <c r="D242" s="78">
        <f t="shared" si="16"/>
        <v>0</v>
      </c>
      <c r="E242" s="79">
        <f t="shared" si="18"/>
        <v>0</v>
      </c>
      <c r="F242" s="80">
        <f t="shared" si="19"/>
        <v>0</v>
      </c>
      <c r="G242" s="66"/>
      <c r="H242" s="82"/>
    </row>
    <row r="243" spans="1:8" s="75" customFormat="1" x14ac:dyDescent="0.25">
      <c r="A243" s="76">
        <f t="shared" si="17"/>
        <v>0</v>
      </c>
      <c r="B243" s="77">
        <v>232</v>
      </c>
      <c r="C243" s="78">
        <f t="shared" si="15"/>
        <v>0</v>
      </c>
      <c r="D243" s="78">
        <f t="shared" si="16"/>
        <v>0</v>
      </c>
      <c r="E243" s="79">
        <f t="shared" si="18"/>
        <v>0</v>
      </c>
      <c r="F243" s="80">
        <f t="shared" si="19"/>
        <v>0</v>
      </c>
      <c r="G243" s="66"/>
      <c r="H243" s="82"/>
    </row>
    <row r="244" spans="1:8" s="75" customFormat="1" x14ac:dyDescent="0.25">
      <c r="A244" s="76">
        <f t="shared" si="17"/>
        <v>0</v>
      </c>
      <c r="B244" s="77">
        <v>233</v>
      </c>
      <c r="C244" s="78">
        <f t="shared" si="15"/>
        <v>0</v>
      </c>
      <c r="D244" s="78">
        <f t="shared" si="16"/>
        <v>0</v>
      </c>
      <c r="E244" s="79">
        <f t="shared" si="18"/>
        <v>0</v>
      </c>
      <c r="F244" s="80">
        <f t="shared" si="19"/>
        <v>0</v>
      </c>
      <c r="G244" s="66"/>
      <c r="H244" s="82"/>
    </row>
    <row r="245" spans="1:8" s="75" customFormat="1" x14ac:dyDescent="0.25">
      <c r="A245" s="76">
        <f t="shared" si="17"/>
        <v>0</v>
      </c>
      <c r="B245" s="77">
        <v>234</v>
      </c>
      <c r="C245" s="78">
        <f t="shared" si="15"/>
        <v>0</v>
      </c>
      <c r="D245" s="78">
        <f t="shared" si="16"/>
        <v>0</v>
      </c>
      <c r="E245" s="79">
        <f t="shared" si="18"/>
        <v>0</v>
      </c>
      <c r="F245" s="80">
        <f t="shared" si="19"/>
        <v>0</v>
      </c>
      <c r="G245" s="66"/>
      <c r="H245" s="82"/>
    </row>
    <row r="246" spans="1:8" s="75" customFormat="1" x14ac:dyDescent="0.25">
      <c r="A246" s="76">
        <f t="shared" si="17"/>
        <v>0</v>
      </c>
      <c r="B246" s="77">
        <v>235</v>
      </c>
      <c r="C246" s="78">
        <f t="shared" si="15"/>
        <v>0</v>
      </c>
      <c r="D246" s="78">
        <f t="shared" si="16"/>
        <v>0</v>
      </c>
      <c r="E246" s="79">
        <f t="shared" si="18"/>
        <v>0</v>
      </c>
      <c r="F246" s="80">
        <f t="shared" si="19"/>
        <v>0</v>
      </c>
      <c r="G246" s="66"/>
      <c r="H246" s="82"/>
    </row>
    <row r="247" spans="1:8" s="75" customFormat="1" x14ac:dyDescent="0.25">
      <c r="A247" s="76">
        <f t="shared" si="17"/>
        <v>0</v>
      </c>
      <c r="B247" s="77">
        <v>236</v>
      </c>
      <c r="C247" s="78">
        <f t="shared" si="15"/>
        <v>0</v>
      </c>
      <c r="D247" s="78">
        <f t="shared" si="16"/>
        <v>0</v>
      </c>
      <c r="E247" s="79">
        <f t="shared" si="18"/>
        <v>0</v>
      </c>
      <c r="F247" s="80">
        <f t="shared" si="19"/>
        <v>0</v>
      </c>
      <c r="G247" s="66"/>
      <c r="H247" s="82"/>
    </row>
    <row r="248" spans="1:8" s="75" customFormat="1" x14ac:dyDescent="0.25">
      <c r="A248" s="76">
        <f t="shared" si="17"/>
        <v>0</v>
      </c>
      <c r="B248" s="77">
        <v>237</v>
      </c>
      <c r="C248" s="78">
        <f t="shared" si="15"/>
        <v>0</v>
      </c>
      <c r="D248" s="78">
        <f t="shared" si="16"/>
        <v>0</v>
      </c>
      <c r="E248" s="79">
        <f t="shared" si="18"/>
        <v>0</v>
      </c>
      <c r="F248" s="80">
        <f t="shared" si="19"/>
        <v>0</v>
      </c>
      <c r="G248" s="66"/>
      <c r="H248" s="82"/>
    </row>
    <row r="249" spans="1:8" s="75" customFormat="1" x14ac:dyDescent="0.25">
      <c r="A249" s="76">
        <f t="shared" si="17"/>
        <v>0</v>
      </c>
      <c r="B249" s="77">
        <v>238</v>
      </c>
      <c r="C249" s="78">
        <f t="shared" si="15"/>
        <v>0</v>
      </c>
      <c r="D249" s="78">
        <f t="shared" si="16"/>
        <v>0</v>
      </c>
      <c r="E249" s="79">
        <f t="shared" si="18"/>
        <v>0</v>
      </c>
      <c r="F249" s="80">
        <f t="shared" si="19"/>
        <v>0</v>
      </c>
      <c r="G249" s="66"/>
      <c r="H249" s="82"/>
    </row>
    <row r="250" spans="1:8" s="75" customFormat="1" x14ac:dyDescent="0.25">
      <c r="A250" s="76">
        <f t="shared" si="17"/>
        <v>0</v>
      </c>
      <c r="B250" s="77">
        <v>239</v>
      </c>
      <c r="C250" s="78">
        <f t="shared" si="15"/>
        <v>0</v>
      </c>
      <c r="D250" s="78">
        <f t="shared" si="16"/>
        <v>0</v>
      </c>
      <c r="E250" s="79">
        <f t="shared" si="18"/>
        <v>0</v>
      </c>
      <c r="F250" s="80">
        <f t="shared" si="19"/>
        <v>0</v>
      </c>
      <c r="G250" s="66"/>
      <c r="H250" s="82"/>
    </row>
    <row r="251" spans="1:8" s="75" customFormat="1" x14ac:dyDescent="0.25">
      <c r="A251" s="83">
        <f t="shared" si="17"/>
        <v>0</v>
      </c>
      <c r="B251" s="84">
        <v>240</v>
      </c>
      <c r="C251" s="85">
        <f t="shared" si="15"/>
        <v>0</v>
      </c>
      <c r="D251" s="85">
        <f t="shared" si="16"/>
        <v>0</v>
      </c>
      <c r="E251" s="85">
        <f t="shared" si="18"/>
        <v>0</v>
      </c>
      <c r="F251" s="86">
        <f t="shared" si="19"/>
        <v>0</v>
      </c>
      <c r="G251" s="66"/>
      <c r="H251" s="82"/>
    </row>
    <row r="252" spans="1:8" x14ac:dyDescent="0.25">
      <c r="A252" s="76">
        <f t="shared" si="17"/>
        <v>0</v>
      </c>
      <c r="B252" s="77">
        <v>241</v>
      </c>
      <c r="C252" s="78">
        <f t="shared" si="15"/>
        <v>0</v>
      </c>
      <c r="D252" s="78">
        <f t="shared" si="16"/>
        <v>0</v>
      </c>
      <c r="E252" s="79">
        <f t="shared" si="18"/>
        <v>0</v>
      </c>
      <c r="F252" s="80">
        <f t="shared" si="19"/>
        <v>0</v>
      </c>
    </row>
    <row r="253" spans="1:8" x14ac:dyDescent="0.25">
      <c r="A253" s="76">
        <f t="shared" si="17"/>
        <v>0</v>
      </c>
      <c r="B253" s="77">
        <v>242</v>
      </c>
      <c r="C253" s="78">
        <f t="shared" si="15"/>
        <v>0</v>
      </c>
      <c r="D253" s="78">
        <f t="shared" si="16"/>
        <v>0</v>
      </c>
      <c r="E253" s="79">
        <f t="shared" si="18"/>
        <v>0</v>
      </c>
      <c r="F253" s="80">
        <f t="shared" si="19"/>
        <v>0</v>
      </c>
    </row>
    <row r="254" spans="1:8" x14ac:dyDescent="0.25">
      <c r="A254" s="76">
        <f t="shared" si="17"/>
        <v>0</v>
      </c>
      <c r="B254" s="77">
        <v>243</v>
      </c>
      <c r="C254" s="78">
        <f t="shared" si="15"/>
        <v>0</v>
      </c>
      <c r="D254" s="78">
        <f t="shared" si="16"/>
        <v>0</v>
      </c>
      <c r="E254" s="79">
        <f t="shared" si="18"/>
        <v>0</v>
      </c>
      <c r="F254" s="80">
        <f t="shared" si="19"/>
        <v>0</v>
      </c>
    </row>
    <row r="255" spans="1:8" x14ac:dyDescent="0.25">
      <c r="A255" s="76">
        <f t="shared" si="17"/>
        <v>0</v>
      </c>
      <c r="B255" s="77">
        <v>244</v>
      </c>
      <c r="C255" s="78">
        <f t="shared" si="15"/>
        <v>0</v>
      </c>
      <c r="D255" s="78">
        <f t="shared" si="16"/>
        <v>0</v>
      </c>
      <c r="E255" s="79">
        <f t="shared" si="18"/>
        <v>0</v>
      </c>
      <c r="F255" s="80">
        <f t="shared" si="19"/>
        <v>0</v>
      </c>
    </row>
    <row r="256" spans="1:8" x14ac:dyDescent="0.25">
      <c r="A256" s="76">
        <f t="shared" si="17"/>
        <v>0</v>
      </c>
      <c r="B256" s="77">
        <v>245</v>
      </c>
      <c r="C256" s="78">
        <f t="shared" si="15"/>
        <v>0</v>
      </c>
      <c r="D256" s="78">
        <f t="shared" si="16"/>
        <v>0</v>
      </c>
      <c r="E256" s="79">
        <f t="shared" si="18"/>
        <v>0</v>
      </c>
      <c r="F256" s="80">
        <f t="shared" si="19"/>
        <v>0</v>
      </c>
    </row>
    <row r="257" spans="1:6" s="94" customFormat="1" x14ac:dyDescent="0.25">
      <c r="A257" s="76">
        <f t="shared" si="17"/>
        <v>0</v>
      </c>
      <c r="B257" s="77">
        <v>246</v>
      </c>
      <c r="C257" s="78">
        <f t="shared" si="15"/>
        <v>0</v>
      </c>
      <c r="D257" s="78">
        <f t="shared" si="16"/>
        <v>0</v>
      </c>
      <c r="E257" s="79">
        <f t="shared" si="18"/>
        <v>0</v>
      </c>
      <c r="F257" s="80">
        <f t="shared" si="19"/>
        <v>0</v>
      </c>
    </row>
    <row r="258" spans="1:6" s="94" customFormat="1" x14ac:dyDescent="0.25">
      <c r="A258" s="76">
        <f t="shared" si="17"/>
        <v>0</v>
      </c>
      <c r="B258" s="77">
        <v>247</v>
      </c>
      <c r="C258" s="78">
        <f t="shared" si="15"/>
        <v>0</v>
      </c>
      <c r="D258" s="78">
        <f t="shared" si="16"/>
        <v>0</v>
      </c>
      <c r="E258" s="79">
        <f t="shared" si="18"/>
        <v>0</v>
      </c>
      <c r="F258" s="80">
        <f t="shared" si="19"/>
        <v>0</v>
      </c>
    </row>
    <row r="259" spans="1:6" s="94" customFormat="1" x14ac:dyDescent="0.25">
      <c r="A259" s="76">
        <f t="shared" si="17"/>
        <v>0</v>
      </c>
      <c r="B259" s="77">
        <v>248</v>
      </c>
      <c r="C259" s="78">
        <f t="shared" si="15"/>
        <v>0</v>
      </c>
      <c r="D259" s="78">
        <f t="shared" si="16"/>
        <v>0</v>
      </c>
      <c r="E259" s="79">
        <f t="shared" si="18"/>
        <v>0</v>
      </c>
      <c r="F259" s="80">
        <f t="shared" si="19"/>
        <v>0</v>
      </c>
    </row>
    <row r="260" spans="1:6" s="94" customFormat="1" x14ac:dyDescent="0.25">
      <c r="A260" s="76">
        <f t="shared" si="17"/>
        <v>0</v>
      </c>
      <c r="B260" s="77">
        <v>249</v>
      </c>
      <c r="C260" s="78">
        <f t="shared" si="15"/>
        <v>0</v>
      </c>
      <c r="D260" s="78">
        <f t="shared" si="16"/>
        <v>0</v>
      </c>
      <c r="E260" s="79">
        <f t="shared" si="18"/>
        <v>0</v>
      </c>
      <c r="F260" s="80">
        <f t="shared" si="19"/>
        <v>0</v>
      </c>
    </row>
    <row r="261" spans="1:6" s="94" customFormat="1" x14ac:dyDescent="0.25">
      <c r="A261" s="76">
        <f t="shared" si="17"/>
        <v>0</v>
      </c>
      <c r="B261" s="77">
        <v>250</v>
      </c>
      <c r="C261" s="78">
        <f t="shared" si="15"/>
        <v>0</v>
      </c>
      <c r="D261" s="78">
        <f t="shared" si="16"/>
        <v>0</v>
      </c>
      <c r="E261" s="79">
        <f t="shared" si="18"/>
        <v>0</v>
      </c>
      <c r="F261" s="80">
        <f t="shared" si="19"/>
        <v>0</v>
      </c>
    </row>
    <row r="262" spans="1:6" s="94" customFormat="1" x14ac:dyDescent="0.25">
      <c r="A262" s="76">
        <f t="shared" si="17"/>
        <v>0</v>
      </c>
      <c r="B262" s="77">
        <v>251</v>
      </c>
      <c r="C262" s="78">
        <f t="shared" si="15"/>
        <v>0</v>
      </c>
      <c r="D262" s="78">
        <f t="shared" si="16"/>
        <v>0</v>
      </c>
      <c r="E262" s="79">
        <f t="shared" si="18"/>
        <v>0</v>
      </c>
      <c r="F262" s="80">
        <f t="shared" si="19"/>
        <v>0</v>
      </c>
    </row>
    <row r="263" spans="1:6" s="94" customFormat="1" x14ac:dyDescent="0.25">
      <c r="A263" s="83">
        <f t="shared" si="17"/>
        <v>0</v>
      </c>
      <c r="B263" s="84">
        <v>252</v>
      </c>
      <c r="C263" s="85">
        <f t="shared" si="15"/>
        <v>0</v>
      </c>
      <c r="D263" s="85">
        <f t="shared" si="16"/>
        <v>0</v>
      </c>
      <c r="E263" s="85">
        <f t="shared" si="18"/>
        <v>0</v>
      </c>
      <c r="F263" s="86">
        <f t="shared" si="19"/>
        <v>0</v>
      </c>
    </row>
    <row r="264" spans="1:6" s="94" customFormat="1" x14ac:dyDescent="0.25">
      <c r="A264" s="76">
        <f t="shared" si="17"/>
        <v>0</v>
      </c>
      <c r="B264" s="77">
        <v>253</v>
      </c>
      <c r="C264" s="78">
        <f t="shared" si="15"/>
        <v>0</v>
      </c>
      <c r="D264" s="78">
        <f t="shared" si="16"/>
        <v>0</v>
      </c>
      <c r="E264" s="79">
        <f t="shared" si="18"/>
        <v>0</v>
      </c>
      <c r="F264" s="80">
        <f t="shared" si="19"/>
        <v>0</v>
      </c>
    </row>
    <row r="265" spans="1:6" s="94" customFormat="1" x14ac:dyDescent="0.25">
      <c r="A265" s="76">
        <f t="shared" si="17"/>
        <v>0</v>
      </c>
      <c r="B265" s="77">
        <v>254</v>
      </c>
      <c r="C265" s="78">
        <f t="shared" si="15"/>
        <v>0</v>
      </c>
      <c r="D265" s="78">
        <f t="shared" si="16"/>
        <v>0</v>
      </c>
      <c r="E265" s="79">
        <f t="shared" si="18"/>
        <v>0</v>
      </c>
      <c r="F265" s="80">
        <f t="shared" si="19"/>
        <v>0</v>
      </c>
    </row>
    <row r="266" spans="1:6" s="94" customFormat="1" x14ac:dyDescent="0.25">
      <c r="A266" s="76">
        <f t="shared" si="17"/>
        <v>0</v>
      </c>
      <c r="B266" s="77">
        <v>255</v>
      </c>
      <c r="C266" s="78">
        <f t="shared" si="15"/>
        <v>0</v>
      </c>
      <c r="D266" s="78">
        <f t="shared" si="16"/>
        <v>0</v>
      </c>
      <c r="E266" s="79">
        <f t="shared" si="18"/>
        <v>0</v>
      </c>
      <c r="F266" s="80">
        <f t="shared" si="19"/>
        <v>0</v>
      </c>
    </row>
    <row r="267" spans="1:6" s="94" customFormat="1" x14ac:dyDescent="0.25">
      <c r="A267" s="76">
        <f t="shared" si="17"/>
        <v>0</v>
      </c>
      <c r="B267" s="77">
        <v>256</v>
      </c>
      <c r="C267" s="78">
        <f t="shared" si="15"/>
        <v>0</v>
      </c>
      <c r="D267" s="78">
        <f t="shared" si="16"/>
        <v>0</v>
      </c>
      <c r="E267" s="79">
        <f t="shared" si="18"/>
        <v>0</v>
      </c>
      <c r="F267" s="80">
        <f t="shared" si="19"/>
        <v>0</v>
      </c>
    </row>
    <row r="268" spans="1:6" s="94" customFormat="1" x14ac:dyDescent="0.25">
      <c r="A268" s="76">
        <f t="shared" si="17"/>
        <v>0</v>
      </c>
      <c r="B268" s="77">
        <v>257</v>
      </c>
      <c r="C268" s="78">
        <f t="shared" ref="C268:C331" si="20">IF(F267&lt;0.01,0,IF($H$5=TRUE,IF(B268&lt;=$D$5,0,IF($A$1="АННУИТЕТ",$D$7-D268,$D$2/($D$3-$D$5))),IF($A$1="АННУИТЕТ",$D$7-D268,$D$2/$D$3)))</f>
        <v>0</v>
      </c>
      <c r="D268" s="78">
        <f t="shared" ref="D268:D331" si="21">F267*($D$4/12)/100</f>
        <v>0</v>
      </c>
      <c r="E268" s="79">
        <f t="shared" si="18"/>
        <v>0</v>
      </c>
      <c r="F268" s="80">
        <f t="shared" si="19"/>
        <v>0</v>
      </c>
    </row>
    <row r="269" spans="1:6" s="94" customFormat="1" x14ac:dyDescent="0.25">
      <c r="A269" s="76">
        <f t="shared" ref="A269:A332" si="22">IF($D$3&gt;=B269,DATE(YEAR($D$6),MONTH($D$6)+B269-1,DAY($D$6)),0)</f>
        <v>0</v>
      </c>
      <c r="B269" s="77">
        <v>258</v>
      </c>
      <c r="C269" s="78">
        <f t="shared" si="20"/>
        <v>0</v>
      </c>
      <c r="D269" s="78">
        <f t="shared" si="21"/>
        <v>0</v>
      </c>
      <c r="E269" s="79">
        <f t="shared" ref="E269:E332" si="23">IF($A$1="АННУИТЕТ",IF(F268&gt;0,C269+D269,0),C269+D269)</f>
        <v>0</v>
      </c>
      <c r="F269" s="80">
        <f t="shared" ref="F269:F332" si="24">F268-C269</f>
        <v>0</v>
      </c>
    </row>
    <row r="270" spans="1:6" s="94" customFormat="1" x14ac:dyDescent="0.25">
      <c r="A270" s="76">
        <f t="shared" si="22"/>
        <v>0</v>
      </c>
      <c r="B270" s="77">
        <v>259</v>
      </c>
      <c r="C270" s="78">
        <f t="shared" si="20"/>
        <v>0</v>
      </c>
      <c r="D270" s="78">
        <f t="shared" si="21"/>
        <v>0</v>
      </c>
      <c r="E270" s="79">
        <f t="shared" si="23"/>
        <v>0</v>
      </c>
      <c r="F270" s="80">
        <f t="shared" si="24"/>
        <v>0</v>
      </c>
    </row>
    <row r="271" spans="1:6" s="94" customFormat="1" x14ac:dyDescent="0.25">
      <c r="A271" s="76">
        <f t="shared" si="22"/>
        <v>0</v>
      </c>
      <c r="B271" s="77">
        <v>260</v>
      </c>
      <c r="C271" s="78">
        <f t="shared" si="20"/>
        <v>0</v>
      </c>
      <c r="D271" s="78">
        <f t="shared" si="21"/>
        <v>0</v>
      </c>
      <c r="E271" s="79">
        <f t="shared" si="23"/>
        <v>0</v>
      </c>
      <c r="F271" s="80">
        <f t="shared" si="24"/>
        <v>0</v>
      </c>
    </row>
    <row r="272" spans="1:6" s="94" customFormat="1" x14ac:dyDescent="0.25">
      <c r="A272" s="76">
        <f t="shared" si="22"/>
        <v>0</v>
      </c>
      <c r="B272" s="77">
        <v>261</v>
      </c>
      <c r="C272" s="78">
        <f t="shared" si="20"/>
        <v>0</v>
      </c>
      <c r="D272" s="78">
        <f t="shared" si="21"/>
        <v>0</v>
      </c>
      <c r="E272" s="79">
        <f t="shared" si="23"/>
        <v>0</v>
      </c>
      <c r="F272" s="80">
        <f t="shared" si="24"/>
        <v>0</v>
      </c>
    </row>
    <row r="273" spans="1:6" s="94" customFormat="1" x14ac:dyDescent="0.25">
      <c r="A273" s="76">
        <f t="shared" si="22"/>
        <v>0</v>
      </c>
      <c r="B273" s="77">
        <v>262</v>
      </c>
      <c r="C273" s="78">
        <f t="shared" si="20"/>
        <v>0</v>
      </c>
      <c r="D273" s="78">
        <f t="shared" si="21"/>
        <v>0</v>
      </c>
      <c r="E273" s="79">
        <f t="shared" si="23"/>
        <v>0</v>
      </c>
      <c r="F273" s="80">
        <f t="shared" si="24"/>
        <v>0</v>
      </c>
    </row>
    <row r="274" spans="1:6" s="94" customFormat="1" x14ac:dyDescent="0.25">
      <c r="A274" s="76">
        <f t="shared" si="22"/>
        <v>0</v>
      </c>
      <c r="B274" s="77">
        <v>263</v>
      </c>
      <c r="C274" s="78">
        <f t="shared" si="20"/>
        <v>0</v>
      </c>
      <c r="D274" s="78">
        <f t="shared" si="21"/>
        <v>0</v>
      </c>
      <c r="E274" s="79">
        <f t="shared" si="23"/>
        <v>0</v>
      </c>
      <c r="F274" s="80">
        <f t="shared" si="24"/>
        <v>0</v>
      </c>
    </row>
    <row r="275" spans="1:6" s="94" customFormat="1" x14ac:dyDescent="0.25">
      <c r="A275" s="83">
        <f t="shared" si="22"/>
        <v>0</v>
      </c>
      <c r="B275" s="84">
        <v>264</v>
      </c>
      <c r="C275" s="85">
        <f t="shared" si="20"/>
        <v>0</v>
      </c>
      <c r="D275" s="85">
        <f t="shared" si="21"/>
        <v>0</v>
      </c>
      <c r="E275" s="85">
        <f t="shared" si="23"/>
        <v>0</v>
      </c>
      <c r="F275" s="86">
        <f t="shared" si="24"/>
        <v>0</v>
      </c>
    </row>
    <row r="276" spans="1:6" s="94" customFormat="1" x14ac:dyDescent="0.25">
      <c r="A276" s="76">
        <f t="shared" si="22"/>
        <v>0</v>
      </c>
      <c r="B276" s="77">
        <v>265</v>
      </c>
      <c r="C276" s="78">
        <f t="shared" si="20"/>
        <v>0</v>
      </c>
      <c r="D276" s="78">
        <f t="shared" si="21"/>
        <v>0</v>
      </c>
      <c r="E276" s="79">
        <f t="shared" si="23"/>
        <v>0</v>
      </c>
      <c r="F276" s="80">
        <f t="shared" si="24"/>
        <v>0</v>
      </c>
    </row>
    <row r="277" spans="1:6" s="94" customFormat="1" x14ac:dyDescent="0.25">
      <c r="A277" s="76">
        <f t="shared" si="22"/>
        <v>0</v>
      </c>
      <c r="B277" s="77">
        <v>266</v>
      </c>
      <c r="C277" s="78">
        <f t="shared" si="20"/>
        <v>0</v>
      </c>
      <c r="D277" s="78">
        <f t="shared" si="21"/>
        <v>0</v>
      </c>
      <c r="E277" s="79">
        <f t="shared" si="23"/>
        <v>0</v>
      </c>
      <c r="F277" s="80">
        <f t="shared" si="24"/>
        <v>0</v>
      </c>
    </row>
    <row r="278" spans="1:6" s="94" customFormat="1" x14ac:dyDescent="0.25">
      <c r="A278" s="76">
        <f t="shared" si="22"/>
        <v>0</v>
      </c>
      <c r="B278" s="77">
        <v>267</v>
      </c>
      <c r="C278" s="78">
        <f t="shared" si="20"/>
        <v>0</v>
      </c>
      <c r="D278" s="78">
        <f t="shared" si="21"/>
        <v>0</v>
      </c>
      <c r="E278" s="79">
        <f t="shared" si="23"/>
        <v>0</v>
      </c>
      <c r="F278" s="80">
        <f t="shared" si="24"/>
        <v>0</v>
      </c>
    </row>
    <row r="279" spans="1:6" s="94" customFormat="1" x14ac:dyDescent="0.25">
      <c r="A279" s="76">
        <f t="shared" si="22"/>
        <v>0</v>
      </c>
      <c r="B279" s="77">
        <v>268</v>
      </c>
      <c r="C279" s="78">
        <f t="shared" si="20"/>
        <v>0</v>
      </c>
      <c r="D279" s="78">
        <f t="shared" si="21"/>
        <v>0</v>
      </c>
      <c r="E279" s="79">
        <f t="shared" si="23"/>
        <v>0</v>
      </c>
      <c r="F279" s="80">
        <f t="shared" si="24"/>
        <v>0</v>
      </c>
    </row>
    <row r="280" spans="1:6" s="94" customFormat="1" x14ac:dyDescent="0.25">
      <c r="A280" s="76">
        <f t="shared" si="22"/>
        <v>0</v>
      </c>
      <c r="B280" s="77">
        <v>269</v>
      </c>
      <c r="C280" s="78">
        <f t="shared" si="20"/>
        <v>0</v>
      </c>
      <c r="D280" s="78">
        <f t="shared" si="21"/>
        <v>0</v>
      </c>
      <c r="E280" s="79">
        <f t="shared" si="23"/>
        <v>0</v>
      </c>
      <c r="F280" s="80">
        <f t="shared" si="24"/>
        <v>0</v>
      </c>
    </row>
    <row r="281" spans="1:6" s="94" customFormat="1" x14ac:dyDescent="0.25">
      <c r="A281" s="76">
        <f t="shared" si="22"/>
        <v>0</v>
      </c>
      <c r="B281" s="77">
        <v>270</v>
      </c>
      <c r="C281" s="78">
        <f t="shared" si="20"/>
        <v>0</v>
      </c>
      <c r="D281" s="78">
        <f t="shared" si="21"/>
        <v>0</v>
      </c>
      <c r="E281" s="79">
        <f t="shared" si="23"/>
        <v>0</v>
      </c>
      <c r="F281" s="80">
        <f t="shared" si="24"/>
        <v>0</v>
      </c>
    </row>
    <row r="282" spans="1:6" s="94" customFormat="1" x14ac:dyDescent="0.25">
      <c r="A282" s="76">
        <f t="shared" si="22"/>
        <v>0</v>
      </c>
      <c r="B282" s="77">
        <v>271</v>
      </c>
      <c r="C282" s="78">
        <f t="shared" si="20"/>
        <v>0</v>
      </c>
      <c r="D282" s="78">
        <f t="shared" si="21"/>
        <v>0</v>
      </c>
      <c r="E282" s="79">
        <f t="shared" si="23"/>
        <v>0</v>
      </c>
      <c r="F282" s="80">
        <f t="shared" si="24"/>
        <v>0</v>
      </c>
    </row>
    <row r="283" spans="1:6" s="94" customFormat="1" x14ac:dyDescent="0.25">
      <c r="A283" s="76">
        <f t="shared" si="22"/>
        <v>0</v>
      </c>
      <c r="B283" s="77">
        <v>272</v>
      </c>
      <c r="C283" s="78">
        <f t="shared" si="20"/>
        <v>0</v>
      </c>
      <c r="D283" s="78">
        <f t="shared" si="21"/>
        <v>0</v>
      </c>
      <c r="E283" s="79">
        <f t="shared" si="23"/>
        <v>0</v>
      </c>
      <c r="F283" s="80">
        <f t="shared" si="24"/>
        <v>0</v>
      </c>
    </row>
    <row r="284" spans="1:6" s="94" customFormat="1" x14ac:dyDescent="0.25">
      <c r="A284" s="76">
        <f t="shared" si="22"/>
        <v>0</v>
      </c>
      <c r="B284" s="77">
        <v>273</v>
      </c>
      <c r="C284" s="78">
        <f t="shared" si="20"/>
        <v>0</v>
      </c>
      <c r="D284" s="78">
        <f t="shared" si="21"/>
        <v>0</v>
      </c>
      <c r="E284" s="79">
        <f t="shared" si="23"/>
        <v>0</v>
      </c>
      <c r="F284" s="80">
        <f t="shared" si="24"/>
        <v>0</v>
      </c>
    </row>
    <row r="285" spans="1:6" s="94" customFormat="1" x14ac:dyDescent="0.25">
      <c r="A285" s="76">
        <f t="shared" si="22"/>
        <v>0</v>
      </c>
      <c r="B285" s="77">
        <v>274</v>
      </c>
      <c r="C285" s="78">
        <f t="shared" si="20"/>
        <v>0</v>
      </c>
      <c r="D285" s="78">
        <f t="shared" si="21"/>
        <v>0</v>
      </c>
      <c r="E285" s="79">
        <f t="shared" si="23"/>
        <v>0</v>
      </c>
      <c r="F285" s="80">
        <f t="shared" si="24"/>
        <v>0</v>
      </c>
    </row>
    <row r="286" spans="1:6" s="94" customFormat="1" x14ac:dyDescent="0.25">
      <c r="A286" s="76">
        <f t="shared" si="22"/>
        <v>0</v>
      </c>
      <c r="B286" s="77">
        <v>275</v>
      </c>
      <c r="C286" s="78">
        <f t="shared" si="20"/>
        <v>0</v>
      </c>
      <c r="D286" s="78">
        <f t="shared" si="21"/>
        <v>0</v>
      </c>
      <c r="E286" s="79">
        <f t="shared" si="23"/>
        <v>0</v>
      </c>
      <c r="F286" s="80">
        <f t="shared" si="24"/>
        <v>0</v>
      </c>
    </row>
    <row r="287" spans="1:6" s="94" customFormat="1" x14ac:dyDescent="0.25">
      <c r="A287" s="83">
        <f t="shared" si="22"/>
        <v>0</v>
      </c>
      <c r="B287" s="84">
        <v>276</v>
      </c>
      <c r="C287" s="85">
        <f t="shared" si="20"/>
        <v>0</v>
      </c>
      <c r="D287" s="85">
        <f t="shared" si="21"/>
        <v>0</v>
      </c>
      <c r="E287" s="85">
        <f t="shared" si="23"/>
        <v>0</v>
      </c>
      <c r="F287" s="86">
        <f t="shared" si="24"/>
        <v>0</v>
      </c>
    </row>
    <row r="288" spans="1:6" s="94" customFormat="1" x14ac:dyDescent="0.25">
      <c r="A288" s="76">
        <f t="shared" si="22"/>
        <v>0</v>
      </c>
      <c r="B288" s="77">
        <v>277</v>
      </c>
      <c r="C288" s="78">
        <f t="shared" si="20"/>
        <v>0</v>
      </c>
      <c r="D288" s="78">
        <f t="shared" si="21"/>
        <v>0</v>
      </c>
      <c r="E288" s="79">
        <f t="shared" si="23"/>
        <v>0</v>
      </c>
      <c r="F288" s="80">
        <f t="shared" si="24"/>
        <v>0</v>
      </c>
    </row>
    <row r="289" spans="1:6" s="94" customFormat="1" x14ac:dyDescent="0.25">
      <c r="A289" s="76">
        <f t="shared" si="22"/>
        <v>0</v>
      </c>
      <c r="B289" s="77">
        <v>278</v>
      </c>
      <c r="C289" s="78">
        <f t="shared" si="20"/>
        <v>0</v>
      </c>
      <c r="D289" s="78">
        <f t="shared" si="21"/>
        <v>0</v>
      </c>
      <c r="E289" s="79">
        <f t="shared" si="23"/>
        <v>0</v>
      </c>
      <c r="F289" s="80">
        <f t="shared" si="24"/>
        <v>0</v>
      </c>
    </row>
    <row r="290" spans="1:6" s="94" customFormat="1" x14ac:dyDescent="0.25">
      <c r="A290" s="76">
        <f t="shared" si="22"/>
        <v>0</v>
      </c>
      <c r="B290" s="77">
        <v>279</v>
      </c>
      <c r="C290" s="78">
        <f t="shared" si="20"/>
        <v>0</v>
      </c>
      <c r="D290" s="78">
        <f t="shared" si="21"/>
        <v>0</v>
      </c>
      <c r="E290" s="79">
        <f t="shared" si="23"/>
        <v>0</v>
      </c>
      <c r="F290" s="80">
        <f t="shared" si="24"/>
        <v>0</v>
      </c>
    </row>
    <row r="291" spans="1:6" s="94" customFormat="1" x14ac:dyDescent="0.25">
      <c r="A291" s="76">
        <f t="shared" si="22"/>
        <v>0</v>
      </c>
      <c r="B291" s="77">
        <v>280</v>
      </c>
      <c r="C291" s="78">
        <f t="shared" si="20"/>
        <v>0</v>
      </c>
      <c r="D291" s="78">
        <f t="shared" si="21"/>
        <v>0</v>
      </c>
      <c r="E291" s="79">
        <f t="shared" si="23"/>
        <v>0</v>
      </c>
      <c r="F291" s="80">
        <f t="shared" si="24"/>
        <v>0</v>
      </c>
    </row>
    <row r="292" spans="1:6" s="94" customFormat="1" x14ac:dyDescent="0.25">
      <c r="A292" s="76">
        <f t="shared" si="22"/>
        <v>0</v>
      </c>
      <c r="B292" s="77">
        <v>281</v>
      </c>
      <c r="C292" s="78">
        <f t="shared" si="20"/>
        <v>0</v>
      </c>
      <c r="D292" s="78">
        <f t="shared" si="21"/>
        <v>0</v>
      </c>
      <c r="E292" s="79">
        <f t="shared" si="23"/>
        <v>0</v>
      </c>
      <c r="F292" s="80">
        <f t="shared" si="24"/>
        <v>0</v>
      </c>
    </row>
    <row r="293" spans="1:6" s="94" customFormat="1" x14ac:dyDescent="0.25">
      <c r="A293" s="76">
        <f t="shared" si="22"/>
        <v>0</v>
      </c>
      <c r="B293" s="77">
        <v>282</v>
      </c>
      <c r="C293" s="78">
        <f t="shared" si="20"/>
        <v>0</v>
      </c>
      <c r="D293" s="78">
        <f t="shared" si="21"/>
        <v>0</v>
      </c>
      <c r="E293" s="79">
        <f t="shared" si="23"/>
        <v>0</v>
      </c>
      <c r="F293" s="80">
        <f t="shared" si="24"/>
        <v>0</v>
      </c>
    </row>
    <row r="294" spans="1:6" s="94" customFormat="1" x14ac:dyDescent="0.25">
      <c r="A294" s="76">
        <f t="shared" si="22"/>
        <v>0</v>
      </c>
      <c r="B294" s="77">
        <v>283</v>
      </c>
      <c r="C294" s="78">
        <f t="shared" si="20"/>
        <v>0</v>
      </c>
      <c r="D294" s="78">
        <f t="shared" si="21"/>
        <v>0</v>
      </c>
      <c r="E294" s="79">
        <f t="shared" si="23"/>
        <v>0</v>
      </c>
      <c r="F294" s="80">
        <f t="shared" si="24"/>
        <v>0</v>
      </c>
    </row>
    <row r="295" spans="1:6" s="94" customFormat="1" x14ac:dyDescent="0.25">
      <c r="A295" s="76">
        <f t="shared" si="22"/>
        <v>0</v>
      </c>
      <c r="B295" s="77">
        <v>284</v>
      </c>
      <c r="C295" s="78">
        <f t="shared" si="20"/>
        <v>0</v>
      </c>
      <c r="D295" s="78">
        <f t="shared" si="21"/>
        <v>0</v>
      </c>
      <c r="E295" s="79">
        <f t="shared" si="23"/>
        <v>0</v>
      </c>
      <c r="F295" s="80">
        <f t="shared" si="24"/>
        <v>0</v>
      </c>
    </row>
    <row r="296" spans="1:6" s="94" customFormat="1" x14ac:dyDescent="0.25">
      <c r="A296" s="76">
        <f t="shared" si="22"/>
        <v>0</v>
      </c>
      <c r="B296" s="77">
        <v>285</v>
      </c>
      <c r="C296" s="78">
        <f t="shared" si="20"/>
        <v>0</v>
      </c>
      <c r="D296" s="78">
        <f t="shared" si="21"/>
        <v>0</v>
      </c>
      <c r="E296" s="79">
        <f t="shared" si="23"/>
        <v>0</v>
      </c>
      <c r="F296" s="80">
        <f t="shared" si="24"/>
        <v>0</v>
      </c>
    </row>
    <row r="297" spans="1:6" s="94" customFormat="1" x14ac:dyDescent="0.25">
      <c r="A297" s="76">
        <f t="shared" si="22"/>
        <v>0</v>
      </c>
      <c r="B297" s="77">
        <v>286</v>
      </c>
      <c r="C297" s="78">
        <f t="shared" si="20"/>
        <v>0</v>
      </c>
      <c r="D297" s="78">
        <f t="shared" si="21"/>
        <v>0</v>
      </c>
      <c r="E297" s="79">
        <f t="shared" si="23"/>
        <v>0</v>
      </c>
      <c r="F297" s="80">
        <f t="shared" si="24"/>
        <v>0</v>
      </c>
    </row>
    <row r="298" spans="1:6" s="94" customFormat="1" x14ac:dyDescent="0.25">
      <c r="A298" s="76">
        <f t="shared" si="22"/>
        <v>0</v>
      </c>
      <c r="B298" s="77">
        <v>287</v>
      </c>
      <c r="C298" s="78">
        <f t="shared" si="20"/>
        <v>0</v>
      </c>
      <c r="D298" s="78">
        <f t="shared" si="21"/>
        <v>0</v>
      </c>
      <c r="E298" s="79">
        <f t="shared" si="23"/>
        <v>0</v>
      </c>
      <c r="F298" s="80">
        <f t="shared" si="24"/>
        <v>0</v>
      </c>
    </row>
    <row r="299" spans="1:6" s="94" customFormat="1" x14ac:dyDescent="0.25">
      <c r="A299" s="83">
        <f t="shared" si="22"/>
        <v>0</v>
      </c>
      <c r="B299" s="84">
        <v>288</v>
      </c>
      <c r="C299" s="85">
        <f t="shared" si="20"/>
        <v>0</v>
      </c>
      <c r="D299" s="85">
        <f t="shared" si="21"/>
        <v>0</v>
      </c>
      <c r="E299" s="85">
        <f t="shared" si="23"/>
        <v>0</v>
      </c>
      <c r="F299" s="86">
        <f t="shared" si="24"/>
        <v>0</v>
      </c>
    </row>
    <row r="300" spans="1:6" s="94" customFormat="1" x14ac:dyDescent="0.25">
      <c r="A300" s="76">
        <f t="shared" si="22"/>
        <v>0</v>
      </c>
      <c r="B300" s="77">
        <v>289</v>
      </c>
      <c r="C300" s="78">
        <f t="shared" si="20"/>
        <v>0</v>
      </c>
      <c r="D300" s="78">
        <f t="shared" si="21"/>
        <v>0</v>
      </c>
      <c r="E300" s="79">
        <f t="shared" si="23"/>
        <v>0</v>
      </c>
      <c r="F300" s="80">
        <f t="shared" si="24"/>
        <v>0</v>
      </c>
    </row>
    <row r="301" spans="1:6" s="94" customFormat="1" x14ac:dyDescent="0.25">
      <c r="A301" s="76">
        <f t="shared" si="22"/>
        <v>0</v>
      </c>
      <c r="B301" s="77">
        <v>290</v>
      </c>
      <c r="C301" s="78">
        <f t="shared" si="20"/>
        <v>0</v>
      </c>
      <c r="D301" s="78">
        <f t="shared" si="21"/>
        <v>0</v>
      </c>
      <c r="E301" s="79">
        <f t="shared" si="23"/>
        <v>0</v>
      </c>
      <c r="F301" s="80">
        <f t="shared" si="24"/>
        <v>0</v>
      </c>
    </row>
    <row r="302" spans="1:6" s="94" customFormat="1" x14ac:dyDescent="0.25">
      <c r="A302" s="76">
        <f t="shared" si="22"/>
        <v>0</v>
      </c>
      <c r="B302" s="77">
        <v>291</v>
      </c>
      <c r="C302" s="78">
        <f t="shared" si="20"/>
        <v>0</v>
      </c>
      <c r="D302" s="78">
        <f t="shared" si="21"/>
        <v>0</v>
      </c>
      <c r="E302" s="79">
        <f t="shared" si="23"/>
        <v>0</v>
      </c>
      <c r="F302" s="80">
        <f t="shared" si="24"/>
        <v>0</v>
      </c>
    </row>
    <row r="303" spans="1:6" s="94" customFormat="1" x14ac:dyDescent="0.25">
      <c r="A303" s="76">
        <f t="shared" si="22"/>
        <v>0</v>
      </c>
      <c r="B303" s="77">
        <v>292</v>
      </c>
      <c r="C303" s="78">
        <f t="shared" si="20"/>
        <v>0</v>
      </c>
      <c r="D303" s="78">
        <f t="shared" si="21"/>
        <v>0</v>
      </c>
      <c r="E303" s="79">
        <f t="shared" si="23"/>
        <v>0</v>
      </c>
      <c r="F303" s="80">
        <f t="shared" si="24"/>
        <v>0</v>
      </c>
    </row>
    <row r="304" spans="1:6" s="94" customFormat="1" x14ac:dyDescent="0.25">
      <c r="A304" s="76">
        <f t="shared" si="22"/>
        <v>0</v>
      </c>
      <c r="B304" s="77">
        <v>293</v>
      </c>
      <c r="C304" s="78">
        <f t="shared" si="20"/>
        <v>0</v>
      </c>
      <c r="D304" s="78">
        <f t="shared" si="21"/>
        <v>0</v>
      </c>
      <c r="E304" s="79">
        <f t="shared" si="23"/>
        <v>0</v>
      </c>
      <c r="F304" s="80">
        <f t="shared" si="24"/>
        <v>0</v>
      </c>
    </row>
    <row r="305" spans="1:6" s="94" customFormat="1" x14ac:dyDescent="0.25">
      <c r="A305" s="76">
        <f t="shared" si="22"/>
        <v>0</v>
      </c>
      <c r="B305" s="77">
        <v>294</v>
      </c>
      <c r="C305" s="78">
        <f t="shared" si="20"/>
        <v>0</v>
      </c>
      <c r="D305" s="78">
        <f t="shared" si="21"/>
        <v>0</v>
      </c>
      <c r="E305" s="79">
        <f t="shared" si="23"/>
        <v>0</v>
      </c>
      <c r="F305" s="80">
        <f t="shared" si="24"/>
        <v>0</v>
      </c>
    </row>
    <row r="306" spans="1:6" s="94" customFormat="1" x14ac:dyDescent="0.25">
      <c r="A306" s="76">
        <f t="shared" si="22"/>
        <v>0</v>
      </c>
      <c r="B306" s="77">
        <v>295</v>
      </c>
      <c r="C306" s="78">
        <f t="shared" si="20"/>
        <v>0</v>
      </c>
      <c r="D306" s="78">
        <f t="shared" si="21"/>
        <v>0</v>
      </c>
      <c r="E306" s="79">
        <f t="shared" si="23"/>
        <v>0</v>
      </c>
      <c r="F306" s="80">
        <f t="shared" si="24"/>
        <v>0</v>
      </c>
    </row>
    <row r="307" spans="1:6" s="94" customFormat="1" x14ac:dyDescent="0.25">
      <c r="A307" s="76">
        <f t="shared" si="22"/>
        <v>0</v>
      </c>
      <c r="B307" s="77">
        <v>296</v>
      </c>
      <c r="C307" s="78">
        <f t="shared" si="20"/>
        <v>0</v>
      </c>
      <c r="D307" s="78">
        <f t="shared" si="21"/>
        <v>0</v>
      </c>
      <c r="E307" s="79">
        <f t="shared" si="23"/>
        <v>0</v>
      </c>
      <c r="F307" s="80">
        <f t="shared" si="24"/>
        <v>0</v>
      </c>
    </row>
    <row r="308" spans="1:6" s="94" customFormat="1" x14ac:dyDescent="0.25">
      <c r="A308" s="76">
        <f t="shared" si="22"/>
        <v>0</v>
      </c>
      <c r="B308" s="77">
        <v>297</v>
      </c>
      <c r="C308" s="78">
        <f t="shared" si="20"/>
        <v>0</v>
      </c>
      <c r="D308" s="78">
        <f t="shared" si="21"/>
        <v>0</v>
      </c>
      <c r="E308" s="79">
        <f t="shared" si="23"/>
        <v>0</v>
      </c>
      <c r="F308" s="80">
        <f t="shared" si="24"/>
        <v>0</v>
      </c>
    </row>
    <row r="309" spans="1:6" s="94" customFormat="1" x14ac:dyDescent="0.25">
      <c r="A309" s="76">
        <f t="shared" si="22"/>
        <v>0</v>
      </c>
      <c r="B309" s="77">
        <v>298</v>
      </c>
      <c r="C309" s="78">
        <f t="shared" si="20"/>
        <v>0</v>
      </c>
      <c r="D309" s="78">
        <f t="shared" si="21"/>
        <v>0</v>
      </c>
      <c r="E309" s="79">
        <f t="shared" si="23"/>
        <v>0</v>
      </c>
      <c r="F309" s="80">
        <f t="shared" si="24"/>
        <v>0</v>
      </c>
    </row>
    <row r="310" spans="1:6" s="94" customFormat="1" x14ac:dyDescent="0.25">
      <c r="A310" s="76">
        <f t="shared" si="22"/>
        <v>0</v>
      </c>
      <c r="B310" s="77">
        <v>299</v>
      </c>
      <c r="C310" s="78">
        <f t="shared" si="20"/>
        <v>0</v>
      </c>
      <c r="D310" s="78">
        <f t="shared" si="21"/>
        <v>0</v>
      </c>
      <c r="E310" s="79">
        <f t="shared" si="23"/>
        <v>0</v>
      </c>
      <c r="F310" s="80">
        <f t="shared" si="24"/>
        <v>0</v>
      </c>
    </row>
    <row r="311" spans="1:6" s="94" customFormat="1" x14ac:dyDescent="0.25">
      <c r="A311" s="83">
        <f t="shared" si="22"/>
        <v>0</v>
      </c>
      <c r="B311" s="84">
        <v>300</v>
      </c>
      <c r="C311" s="85">
        <f t="shared" si="20"/>
        <v>0</v>
      </c>
      <c r="D311" s="85">
        <f t="shared" si="21"/>
        <v>0</v>
      </c>
      <c r="E311" s="85">
        <f t="shared" si="23"/>
        <v>0</v>
      </c>
      <c r="F311" s="86">
        <f t="shared" si="24"/>
        <v>0</v>
      </c>
    </row>
    <row r="312" spans="1:6" s="94" customFormat="1" x14ac:dyDescent="0.25">
      <c r="A312" s="76">
        <f t="shared" si="22"/>
        <v>0</v>
      </c>
      <c r="B312" s="77">
        <v>301</v>
      </c>
      <c r="C312" s="78">
        <f t="shared" si="20"/>
        <v>0</v>
      </c>
      <c r="D312" s="78">
        <f t="shared" si="21"/>
        <v>0</v>
      </c>
      <c r="E312" s="79">
        <f t="shared" si="23"/>
        <v>0</v>
      </c>
      <c r="F312" s="80">
        <f t="shared" si="24"/>
        <v>0</v>
      </c>
    </row>
    <row r="313" spans="1:6" s="94" customFormat="1" x14ac:dyDescent="0.25">
      <c r="A313" s="76">
        <f t="shared" si="22"/>
        <v>0</v>
      </c>
      <c r="B313" s="77">
        <v>302</v>
      </c>
      <c r="C313" s="78">
        <f t="shared" si="20"/>
        <v>0</v>
      </c>
      <c r="D313" s="78">
        <f t="shared" si="21"/>
        <v>0</v>
      </c>
      <c r="E313" s="79">
        <f t="shared" si="23"/>
        <v>0</v>
      </c>
      <c r="F313" s="80">
        <f t="shared" si="24"/>
        <v>0</v>
      </c>
    </row>
    <row r="314" spans="1:6" s="94" customFormat="1" x14ac:dyDescent="0.25">
      <c r="A314" s="76">
        <f t="shared" si="22"/>
        <v>0</v>
      </c>
      <c r="B314" s="77">
        <v>303</v>
      </c>
      <c r="C314" s="78">
        <f t="shared" si="20"/>
        <v>0</v>
      </c>
      <c r="D314" s="78">
        <f t="shared" si="21"/>
        <v>0</v>
      </c>
      <c r="E314" s="79">
        <f t="shared" si="23"/>
        <v>0</v>
      </c>
      <c r="F314" s="80">
        <f t="shared" si="24"/>
        <v>0</v>
      </c>
    </row>
    <row r="315" spans="1:6" s="94" customFormat="1" x14ac:dyDescent="0.25">
      <c r="A315" s="76">
        <f t="shared" si="22"/>
        <v>0</v>
      </c>
      <c r="B315" s="77">
        <v>304</v>
      </c>
      <c r="C315" s="78">
        <f t="shared" si="20"/>
        <v>0</v>
      </c>
      <c r="D315" s="78">
        <f t="shared" si="21"/>
        <v>0</v>
      </c>
      <c r="E315" s="79">
        <f t="shared" si="23"/>
        <v>0</v>
      </c>
      <c r="F315" s="80">
        <f t="shared" si="24"/>
        <v>0</v>
      </c>
    </row>
    <row r="316" spans="1:6" s="94" customFormat="1" x14ac:dyDescent="0.25">
      <c r="A316" s="76">
        <f t="shared" si="22"/>
        <v>0</v>
      </c>
      <c r="B316" s="77">
        <v>305</v>
      </c>
      <c r="C316" s="78">
        <f t="shared" si="20"/>
        <v>0</v>
      </c>
      <c r="D316" s="78">
        <f t="shared" si="21"/>
        <v>0</v>
      </c>
      <c r="E316" s="79">
        <f t="shared" si="23"/>
        <v>0</v>
      </c>
      <c r="F316" s="80">
        <f t="shared" si="24"/>
        <v>0</v>
      </c>
    </row>
    <row r="317" spans="1:6" s="94" customFormat="1" x14ac:dyDescent="0.25">
      <c r="A317" s="76">
        <f t="shared" si="22"/>
        <v>0</v>
      </c>
      <c r="B317" s="77">
        <v>306</v>
      </c>
      <c r="C317" s="78">
        <f t="shared" si="20"/>
        <v>0</v>
      </c>
      <c r="D317" s="78">
        <f t="shared" si="21"/>
        <v>0</v>
      </c>
      <c r="E317" s="79">
        <f t="shared" si="23"/>
        <v>0</v>
      </c>
      <c r="F317" s="80">
        <f t="shared" si="24"/>
        <v>0</v>
      </c>
    </row>
    <row r="318" spans="1:6" s="94" customFormat="1" x14ac:dyDescent="0.25">
      <c r="A318" s="76">
        <f t="shared" si="22"/>
        <v>0</v>
      </c>
      <c r="B318" s="77">
        <v>307</v>
      </c>
      <c r="C318" s="78">
        <f t="shared" si="20"/>
        <v>0</v>
      </c>
      <c r="D318" s="78">
        <f t="shared" si="21"/>
        <v>0</v>
      </c>
      <c r="E318" s="79">
        <f t="shared" si="23"/>
        <v>0</v>
      </c>
      <c r="F318" s="80">
        <f t="shared" si="24"/>
        <v>0</v>
      </c>
    </row>
    <row r="319" spans="1:6" s="94" customFormat="1" x14ac:dyDescent="0.25">
      <c r="A319" s="76">
        <f t="shared" si="22"/>
        <v>0</v>
      </c>
      <c r="B319" s="77">
        <v>308</v>
      </c>
      <c r="C319" s="78">
        <f t="shared" si="20"/>
        <v>0</v>
      </c>
      <c r="D319" s="78">
        <f t="shared" si="21"/>
        <v>0</v>
      </c>
      <c r="E319" s="79">
        <f t="shared" si="23"/>
        <v>0</v>
      </c>
      <c r="F319" s="80">
        <f t="shared" si="24"/>
        <v>0</v>
      </c>
    </row>
    <row r="320" spans="1:6" s="94" customFormat="1" x14ac:dyDescent="0.25">
      <c r="A320" s="76">
        <f t="shared" si="22"/>
        <v>0</v>
      </c>
      <c r="B320" s="77">
        <v>309</v>
      </c>
      <c r="C320" s="78">
        <f t="shared" si="20"/>
        <v>0</v>
      </c>
      <c r="D320" s="78">
        <f t="shared" si="21"/>
        <v>0</v>
      </c>
      <c r="E320" s="79">
        <f t="shared" si="23"/>
        <v>0</v>
      </c>
      <c r="F320" s="80">
        <f t="shared" si="24"/>
        <v>0</v>
      </c>
    </row>
    <row r="321" spans="1:6" s="94" customFormat="1" x14ac:dyDescent="0.25">
      <c r="A321" s="76">
        <f t="shared" si="22"/>
        <v>0</v>
      </c>
      <c r="B321" s="77">
        <v>310</v>
      </c>
      <c r="C321" s="78">
        <f t="shared" si="20"/>
        <v>0</v>
      </c>
      <c r="D321" s="78">
        <f t="shared" si="21"/>
        <v>0</v>
      </c>
      <c r="E321" s="79">
        <f t="shared" si="23"/>
        <v>0</v>
      </c>
      <c r="F321" s="80">
        <f t="shared" si="24"/>
        <v>0</v>
      </c>
    </row>
    <row r="322" spans="1:6" s="94" customFormat="1" x14ac:dyDescent="0.25">
      <c r="A322" s="76">
        <f t="shared" si="22"/>
        <v>0</v>
      </c>
      <c r="B322" s="77">
        <v>311</v>
      </c>
      <c r="C322" s="78">
        <f t="shared" si="20"/>
        <v>0</v>
      </c>
      <c r="D322" s="78">
        <f t="shared" si="21"/>
        <v>0</v>
      </c>
      <c r="E322" s="79">
        <f t="shared" si="23"/>
        <v>0</v>
      </c>
      <c r="F322" s="80">
        <f t="shared" si="24"/>
        <v>0</v>
      </c>
    </row>
    <row r="323" spans="1:6" s="94" customFormat="1" x14ac:dyDescent="0.25">
      <c r="A323" s="83">
        <f t="shared" si="22"/>
        <v>0</v>
      </c>
      <c r="B323" s="84">
        <v>312</v>
      </c>
      <c r="C323" s="85">
        <f t="shared" si="20"/>
        <v>0</v>
      </c>
      <c r="D323" s="85">
        <f t="shared" si="21"/>
        <v>0</v>
      </c>
      <c r="E323" s="85">
        <f t="shared" si="23"/>
        <v>0</v>
      </c>
      <c r="F323" s="86">
        <f t="shared" si="24"/>
        <v>0</v>
      </c>
    </row>
    <row r="324" spans="1:6" s="94" customFormat="1" x14ac:dyDescent="0.25">
      <c r="A324" s="76">
        <f t="shared" si="22"/>
        <v>0</v>
      </c>
      <c r="B324" s="77">
        <v>313</v>
      </c>
      <c r="C324" s="78">
        <f t="shared" si="20"/>
        <v>0</v>
      </c>
      <c r="D324" s="78">
        <f t="shared" si="21"/>
        <v>0</v>
      </c>
      <c r="E324" s="79">
        <f t="shared" si="23"/>
        <v>0</v>
      </c>
      <c r="F324" s="80">
        <f t="shared" si="24"/>
        <v>0</v>
      </c>
    </row>
    <row r="325" spans="1:6" s="94" customFormat="1" x14ac:dyDescent="0.25">
      <c r="A325" s="76">
        <f t="shared" si="22"/>
        <v>0</v>
      </c>
      <c r="B325" s="77">
        <v>314</v>
      </c>
      <c r="C325" s="78">
        <f t="shared" si="20"/>
        <v>0</v>
      </c>
      <c r="D325" s="78">
        <f t="shared" si="21"/>
        <v>0</v>
      </c>
      <c r="E325" s="79">
        <f t="shared" si="23"/>
        <v>0</v>
      </c>
      <c r="F325" s="80">
        <f t="shared" si="24"/>
        <v>0</v>
      </c>
    </row>
    <row r="326" spans="1:6" s="94" customFormat="1" x14ac:dyDescent="0.25">
      <c r="A326" s="76">
        <f t="shared" si="22"/>
        <v>0</v>
      </c>
      <c r="B326" s="77">
        <v>315</v>
      </c>
      <c r="C326" s="78">
        <f t="shared" si="20"/>
        <v>0</v>
      </c>
      <c r="D326" s="78">
        <f t="shared" si="21"/>
        <v>0</v>
      </c>
      <c r="E326" s="79">
        <f t="shared" si="23"/>
        <v>0</v>
      </c>
      <c r="F326" s="80">
        <f t="shared" si="24"/>
        <v>0</v>
      </c>
    </row>
    <row r="327" spans="1:6" s="94" customFormat="1" x14ac:dyDescent="0.25">
      <c r="A327" s="76">
        <f t="shared" si="22"/>
        <v>0</v>
      </c>
      <c r="B327" s="77">
        <v>316</v>
      </c>
      <c r="C327" s="78">
        <f t="shared" si="20"/>
        <v>0</v>
      </c>
      <c r="D327" s="78">
        <f t="shared" si="21"/>
        <v>0</v>
      </c>
      <c r="E327" s="79">
        <f t="shared" si="23"/>
        <v>0</v>
      </c>
      <c r="F327" s="80">
        <f t="shared" si="24"/>
        <v>0</v>
      </c>
    </row>
    <row r="328" spans="1:6" s="94" customFormat="1" x14ac:dyDescent="0.25">
      <c r="A328" s="76">
        <f t="shared" si="22"/>
        <v>0</v>
      </c>
      <c r="B328" s="77">
        <v>317</v>
      </c>
      <c r="C328" s="78">
        <f t="shared" si="20"/>
        <v>0</v>
      </c>
      <c r="D328" s="78">
        <f t="shared" si="21"/>
        <v>0</v>
      </c>
      <c r="E328" s="79">
        <f t="shared" si="23"/>
        <v>0</v>
      </c>
      <c r="F328" s="80">
        <f t="shared" si="24"/>
        <v>0</v>
      </c>
    </row>
    <row r="329" spans="1:6" s="94" customFormat="1" x14ac:dyDescent="0.25">
      <c r="A329" s="76">
        <f t="shared" si="22"/>
        <v>0</v>
      </c>
      <c r="B329" s="77">
        <v>318</v>
      </c>
      <c r="C329" s="78">
        <f t="shared" si="20"/>
        <v>0</v>
      </c>
      <c r="D329" s="78">
        <f t="shared" si="21"/>
        <v>0</v>
      </c>
      <c r="E329" s="79">
        <f t="shared" si="23"/>
        <v>0</v>
      </c>
      <c r="F329" s="80">
        <f t="shared" si="24"/>
        <v>0</v>
      </c>
    </row>
    <row r="330" spans="1:6" s="94" customFormat="1" x14ac:dyDescent="0.25">
      <c r="A330" s="76">
        <f t="shared" si="22"/>
        <v>0</v>
      </c>
      <c r="B330" s="77">
        <v>319</v>
      </c>
      <c r="C330" s="78">
        <f t="shared" si="20"/>
        <v>0</v>
      </c>
      <c r="D330" s="78">
        <f t="shared" si="21"/>
        <v>0</v>
      </c>
      <c r="E330" s="79">
        <f t="shared" si="23"/>
        <v>0</v>
      </c>
      <c r="F330" s="80">
        <f t="shared" si="24"/>
        <v>0</v>
      </c>
    </row>
    <row r="331" spans="1:6" s="94" customFormat="1" x14ac:dyDescent="0.25">
      <c r="A331" s="76">
        <f t="shared" si="22"/>
        <v>0</v>
      </c>
      <c r="B331" s="77">
        <v>320</v>
      </c>
      <c r="C331" s="78">
        <f t="shared" si="20"/>
        <v>0</v>
      </c>
      <c r="D331" s="78">
        <f t="shared" si="21"/>
        <v>0</v>
      </c>
      <c r="E331" s="79">
        <f t="shared" si="23"/>
        <v>0</v>
      </c>
      <c r="F331" s="80">
        <f t="shared" si="24"/>
        <v>0</v>
      </c>
    </row>
    <row r="332" spans="1:6" s="94" customFormat="1" x14ac:dyDescent="0.25">
      <c r="A332" s="76">
        <f t="shared" si="22"/>
        <v>0</v>
      </c>
      <c r="B332" s="77">
        <v>321</v>
      </c>
      <c r="C332" s="78">
        <f t="shared" ref="C332:C371" si="25">IF(F331&lt;0.01,0,IF($H$5=TRUE,IF(B332&lt;=$D$5,0,IF($A$1="АННУИТЕТ",$D$7-D332,$D$2/($D$3-$D$5))),IF($A$1="АННУИТЕТ",$D$7-D332,$D$2/$D$3)))</f>
        <v>0</v>
      </c>
      <c r="D332" s="78">
        <f t="shared" ref="D332:D371" si="26">F331*($D$4/12)/100</f>
        <v>0</v>
      </c>
      <c r="E332" s="79">
        <f t="shared" si="23"/>
        <v>0</v>
      </c>
      <c r="F332" s="80">
        <f t="shared" si="24"/>
        <v>0</v>
      </c>
    </row>
    <row r="333" spans="1:6" s="94" customFormat="1" x14ac:dyDescent="0.25">
      <c r="A333" s="76">
        <f t="shared" ref="A333:A371" si="27">IF($D$3&gt;=B333,DATE(YEAR($D$6),MONTH($D$6)+B333-1,DAY($D$6)),0)</f>
        <v>0</v>
      </c>
      <c r="B333" s="77">
        <v>322</v>
      </c>
      <c r="C333" s="78">
        <f t="shared" si="25"/>
        <v>0</v>
      </c>
      <c r="D333" s="78">
        <f t="shared" si="26"/>
        <v>0</v>
      </c>
      <c r="E333" s="79">
        <f t="shared" ref="E333:E371" si="28">IF($A$1="АННУИТЕТ",IF(F332&gt;0,C333+D333,0),C333+D333)</f>
        <v>0</v>
      </c>
      <c r="F333" s="80">
        <f t="shared" ref="F333:F371" si="29">F332-C333</f>
        <v>0</v>
      </c>
    </row>
    <row r="334" spans="1:6" s="94" customFormat="1" x14ac:dyDescent="0.25">
      <c r="A334" s="76">
        <f t="shared" si="27"/>
        <v>0</v>
      </c>
      <c r="B334" s="77">
        <v>323</v>
      </c>
      <c r="C334" s="78">
        <f t="shared" si="25"/>
        <v>0</v>
      </c>
      <c r="D334" s="78">
        <f t="shared" si="26"/>
        <v>0</v>
      </c>
      <c r="E334" s="79">
        <f t="shared" si="28"/>
        <v>0</v>
      </c>
      <c r="F334" s="80">
        <f t="shared" si="29"/>
        <v>0</v>
      </c>
    </row>
    <row r="335" spans="1:6" s="94" customFormat="1" x14ac:dyDescent="0.25">
      <c r="A335" s="83">
        <f t="shared" si="27"/>
        <v>0</v>
      </c>
      <c r="B335" s="84">
        <v>324</v>
      </c>
      <c r="C335" s="85">
        <f t="shared" si="25"/>
        <v>0</v>
      </c>
      <c r="D335" s="85">
        <f t="shared" si="26"/>
        <v>0</v>
      </c>
      <c r="E335" s="85">
        <f t="shared" si="28"/>
        <v>0</v>
      </c>
      <c r="F335" s="86">
        <f t="shared" si="29"/>
        <v>0</v>
      </c>
    </row>
    <row r="336" spans="1:6" s="94" customFormat="1" x14ac:dyDescent="0.25">
      <c r="A336" s="76">
        <f t="shared" si="27"/>
        <v>0</v>
      </c>
      <c r="B336" s="77">
        <v>325</v>
      </c>
      <c r="C336" s="78">
        <f t="shared" si="25"/>
        <v>0</v>
      </c>
      <c r="D336" s="78">
        <f t="shared" si="26"/>
        <v>0</v>
      </c>
      <c r="E336" s="79">
        <f t="shared" si="28"/>
        <v>0</v>
      </c>
      <c r="F336" s="80">
        <f t="shared" si="29"/>
        <v>0</v>
      </c>
    </row>
    <row r="337" spans="1:6" s="94" customFormat="1" x14ac:dyDescent="0.25">
      <c r="A337" s="76">
        <f t="shared" si="27"/>
        <v>0</v>
      </c>
      <c r="B337" s="77">
        <v>326</v>
      </c>
      <c r="C337" s="78">
        <f t="shared" si="25"/>
        <v>0</v>
      </c>
      <c r="D337" s="78">
        <f t="shared" si="26"/>
        <v>0</v>
      </c>
      <c r="E337" s="79">
        <f t="shared" si="28"/>
        <v>0</v>
      </c>
      <c r="F337" s="80">
        <f t="shared" si="29"/>
        <v>0</v>
      </c>
    </row>
    <row r="338" spans="1:6" s="94" customFormat="1" x14ac:dyDescent="0.25">
      <c r="A338" s="76">
        <f t="shared" si="27"/>
        <v>0</v>
      </c>
      <c r="B338" s="77">
        <v>327</v>
      </c>
      <c r="C338" s="78">
        <f t="shared" si="25"/>
        <v>0</v>
      </c>
      <c r="D338" s="78">
        <f t="shared" si="26"/>
        <v>0</v>
      </c>
      <c r="E338" s="79">
        <f t="shared" si="28"/>
        <v>0</v>
      </c>
      <c r="F338" s="80">
        <f t="shared" si="29"/>
        <v>0</v>
      </c>
    </row>
    <row r="339" spans="1:6" s="94" customFormat="1" x14ac:dyDescent="0.25">
      <c r="A339" s="76">
        <f t="shared" si="27"/>
        <v>0</v>
      </c>
      <c r="B339" s="77">
        <v>328</v>
      </c>
      <c r="C339" s="78">
        <f t="shared" si="25"/>
        <v>0</v>
      </c>
      <c r="D339" s="78">
        <f t="shared" si="26"/>
        <v>0</v>
      </c>
      <c r="E339" s="79">
        <f t="shared" si="28"/>
        <v>0</v>
      </c>
      <c r="F339" s="80">
        <f t="shared" si="29"/>
        <v>0</v>
      </c>
    </row>
    <row r="340" spans="1:6" s="94" customFormat="1" x14ac:dyDescent="0.25">
      <c r="A340" s="76">
        <f t="shared" si="27"/>
        <v>0</v>
      </c>
      <c r="B340" s="77">
        <v>329</v>
      </c>
      <c r="C340" s="78">
        <f t="shared" si="25"/>
        <v>0</v>
      </c>
      <c r="D340" s="78">
        <f t="shared" si="26"/>
        <v>0</v>
      </c>
      <c r="E340" s="79">
        <f t="shared" si="28"/>
        <v>0</v>
      </c>
      <c r="F340" s="80">
        <f t="shared" si="29"/>
        <v>0</v>
      </c>
    </row>
    <row r="341" spans="1:6" s="94" customFormat="1" x14ac:dyDescent="0.25">
      <c r="A341" s="76">
        <f t="shared" si="27"/>
        <v>0</v>
      </c>
      <c r="B341" s="77">
        <v>330</v>
      </c>
      <c r="C341" s="78">
        <f t="shared" si="25"/>
        <v>0</v>
      </c>
      <c r="D341" s="78">
        <f t="shared" si="26"/>
        <v>0</v>
      </c>
      <c r="E341" s="79">
        <f t="shared" si="28"/>
        <v>0</v>
      </c>
      <c r="F341" s="80">
        <f t="shared" si="29"/>
        <v>0</v>
      </c>
    </row>
    <row r="342" spans="1:6" s="94" customFormat="1" x14ac:dyDescent="0.25">
      <c r="A342" s="76">
        <f t="shared" si="27"/>
        <v>0</v>
      </c>
      <c r="B342" s="77">
        <v>331</v>
      </c>
      <c r="C342" s="78">
        <f t="shared" si="25"/>
        <v>0</v>
      </c>
      <c r="D342" s="78">
        <f t="shared" si="26"/>
        <v>0</v>
      </c>
      <c r="E342" s="79">
        <f t="shared" si="28"/>
        <v>0</v>
      </c>
      <c r="F342" s="80">
        <f t="shared" si="29"/>
        <v>0</v>
      </c>
    </row>
    <row r="343" spans="1:6" s="94" customFormat="1" x14ac:dyDescent="0.25">
      <c r="A343" s="76">
        <f t="shared" si="27"/>
        <v>0</v>
      </c>
      <c r="B343" s="77">
        <v>332</v>
      </c>
      <c r="C343" s="78">
        <f t="shared" si="25"/>
        <v>0</v>
      </c>
      <c r="D343" s="78">
        <f t="shared" si="26"/>
        <v>0</v>
      </c>
      <c r="E343" s="79">
        <f t="shared" si="28"/>
        <v>0</v>
      </c>
      <c r="F343" s="80">
        <f t="shared" si="29"/>
        <v>0</v>
      </c>
    </row>
    <row r="344" spans="1:6" s="94" customFormat="1" x14ac:dyDescent="0.25">
      <c r="A344" s="76">
        <f t="shared" si="27"/>
        <v>0</v>
      </c>
      <c r="B344" s="77">
        <v>333</v>
      </c>
      <c r="C344" s="78">
        <f t="shared" si="25"/>
        <v>0</v>
      </c>
      <c r="D344" s="78">
        <f t="shared" si="26"/>
        <v>0</v>
      </c>
      <c r="E344" s="79">
        <f t="shared" si="28"/>
        <v>0</v>
      </c>
      <c r="F344" s="80">
        <f t="shared" si="29"/>
        <v>0</v>
      </c>
    </row>
    <row r="345" spans="1:6" s="94" customFormat="1" x14ac:dyDescent="0.25">
      <c r="A345" s="76">
        <f t="shared" si="27"/>
        <v>0</v>
      </c>
      <c r="B345" s="77">
        <v>334</v>
      </c>
      <c r="C345" s="78">
        <f t="shared" si="25"/>
        <v>0</v>
      </c>
      <c r="D345" s="78">
        <f t="shared" si="26"/>
        <v>0</v>
      </c>
      <c r="E345" s="79">
        <f t="shared" si="28"/>
        <v>0</v>
      </c>
      <c r="F345" s="80">
        <f t="shared" si="29"/>
        <v>0</v>
      </c>
    </row>
    <row r="346" spans="1:6" s="94" customFormat="1" x14ac:dyDescent="0.25">
      <c r="A346" s="76">
        <f t="shared" si="27"/>
        <v>0</v>
      </c>
      <c r="B346" s="77">
        <v>335</v>
      </c>
      <c r="C346" s="78">
        <f t="shared" si="25"/>
        <v>0</v>
      </c>
      <c r="D346" s="78">
        <f t="shared" si="26"/>
        <v>0</v>
      </c>
      <c r="E346" s="79">
        <f t="shared" si="28"/>
        <v>0</v>
      </c>
      <c r="F346" s="80">
        <f t="shared" si="29"/>
        <v>0</v>
      </c>
    </row>
    <row r="347" spans="1:6" s="94" customFormat="1" x14ac:dyDescent="0.25">
      <c r="A347" s="83">
        <f t="shared" si="27"/>
        <v>0</v>
      </c>
      <c r="B347" s="84">
        <v>336</v>
      </c>
      <c r="C347" s="85">
        <f t="shared" si="25"/>
        <v>0</v>
      </c>
      <c r="D347" s="85">
        <f t="shared" si="26"/>
        <v>0</v>
      </c>
      <c r="E347" s="85">
        <f t="shared" si="28"/>
        <v>0</v>
      </c>
      <c r="F347" s="86">
        <f t="shared" si="29"/>
        <v>0</v>
      </c>
    </row>
    <row r="348" spans="1:6" s="94" customFormat="1" x14ac:dyDescent="0.25">
      <c r="A348" s="76">
        <f t="shared" si="27"/>
        <v>0</v>
      </c>
      <c r="B348" s="77">
        <v>337</v>
      </c>
      <c r="C348" s="78">
        <f t="shared" si="25"/>
        <v>0</v>
      </c>
      <c r="D348" s="78">
        <f t="shared" si="26"/>
        <v>0</v>
      </c>
      <c r="E348" s="79">
        <f t="shared" si="28"/>
        <v>0</v>
      </c>
      <c r="F348" s="80">
        <f t="shared" si="29"/>
        <v>0</v>
      </c>
    </row>
    <row r="349" spans="1:6" s="94" customFormat="1" x14ac:dyDescent="0.25">
      <c r="A349" s="76">
        <f t="shared" si="27"/>
        <v>0</v>
      </c>
      <c r="B349" s="77">
        <v>338</v>
      </c>
      <c r="C349" s="78">
        <f t="shared" si="25"/>
        <v>0</v>
      </c>
      <c r="D349" s="78">
        <f t="shared" si="26"/>
        <v>0</v>
      </c>
      <c r="E349" s="79">
        <f t="shared" si="28"/>
        <v>0</v>
      </c>
      <c r="F349" s="80">
        <f t="shared" si="29"/>
        <v>0</v>
      </c>
    </row>
    <row r="350" spans="1:6" s="94" customFormat="1" x14ac:dyDescent="0.25">
      <c r="A350" s="76">
        <f t="shared" si="27"/>
        <v>0</v>
      </c>
      <c r="B350" s="77">
        <v>339</v>
      </c>
      <c r="C350" s="78">
        <f t="shared" si="25"/>
        <v>0</v>
      </c>
      <c r="D350" s="78">
        <f t="shared" si="26"/>
        <v>0</v>
      </c>
      <c r="E350" s="79">
        <f t="shared" si="28"/>
        <v>0</v>
      </c>
      <c r="F350" s="80">
        <f t="shared" si="29"/>
        <v>0</v>
      </c>
    </row>
    <row r="351" spans="1:6" s="94" customFormat="1" x14ac:dyDescent="0.25">
      <c r="A351" s="76">
        <f t="shared" si="27"/>
        <v>0</v>
      </c>
      <c r="B351" s="77">
        <v>340</v>
      </c>
      <c r="C351" s="78">
        <f t="shared" si="25"/>
        <v>0</v>
      </c>
      <c r="D351" s="78">
        <f t="shared" si="26"/>
        <v>0</v>
      </c>
      <c r="E351" s="79">
        <f t="shared" si="28"/>
        <v>0</v>
      </c>
      <c r="F351" s="80">
        <f t="shared" si="29"/>
        <v>0</v>
      </c>
    </row>
    <row r="352" spans="1:6" s="94" customFormat="1" x14ac:dyDescent="0.25">
      <c r="A352" s="76">
        <f t="shared" si="27"/>
        <v>0</v>
      </c>
      <c r="B352" s="77">
        <v>341</v>
      </c>
      <c r="C352" s="78">
        <f t="shared" si="25"/>
        <v>0</v>
      </c>
      <c r="D352" s="78">
        <f t="shared" si="26"/>
        <v>0</v>
      </c>
      <c r="E352" s="79">
        <f t="shared" si="28"/>
        <v>0</v>
      </c>
      <c r="F352" s="80">
        <f t="shared" si="29"/>
        <v>0</v>
      </c>
    </row>
    <row r="353" spans="1:6" s="94" customFormat="1" x14ac:dyDescent="0.25">
      <c r="A353" s="76">
        <f t="shared" si="27"/>
        <v>0</v>
      </c>
      <c r="B353" s="77">
        <v>342</v>
      </c>
      <c r="C353" s="78">
        <f t="shared" si="25"/>
        <v>0</v>
      </c>
      <c r="D353" s="78">
        <f t="shared" si="26"/>
        <v>0</v>
      </c>
      <c r="E353" s="79">
        <f t="shared" si="28"/>
        <v>0</v>
      </c>
      <c r="F353" s="80">
        <f t="shared" si="29"/>
        <v>0</v>
      </c>
    </row>
    <row r="354" spans="1:6" s="94" customFormat="1" x14ac:dyDescent="0.25">
      <c r="A354" s="76">
        <f t="shared" si="27"/>
        <v>0</v>
      </c>
      <c r="B354" s="77">
        <v>343</v>
      </c>
      <c r="C354" s="78">
        <f t="shared" si="25"/>
        <v>0</v>
      </c>
      <c r="D354" s="78">
        <f t="shared" si="26"/>
        <v>0</v>
      </c>
      <c r="E354" s="79">
        <f t="shared" si="28"/>
        <v>0</v>
      </c>
      <c r="F354" s="80">
        <f t="shared" si="29"/>
        <v>0</v>
      </c>
    </row>
    <row r="355" spans="1:6" s="94" customFormat="1" x14ac:dyDescent="0.25">
      <c r="A355" s="76">
        <f t="shared" si="27"/>
        <v>0</v>
      </c>
      <c r="B355" s="77">
        <v>344</v>
      </c>
      <c r="C355" s="78">
        <f t="shared" si="25"/>
        <v>0</v>
      </c>
      <c r="D355" s="78">
        <f t="shared" si="26"/>
        <v>0</v>
      </c>
      <c r="E355" s="79">
        <f t="shared" si="28"/>
        <v>0</v>
      </c>
      <c r="F355" s="80">
        <f t="shared" si="29"/>
        <v>0</v>
      </c>
    </row>
    <row r="356" spans="1:6" s="94" customFormat="1" x14ac:dyDescent="0.25">
      <c r="A356" s="76">
        <f t="shared" si="27"/>
        <v>0</v>
      </c>
      <c r="B356" s="77">
        <v>345</v>
      </c>
      <c r="C356" s="78">
        <f t="shared" si="25"/>
        <v>0</v>
      </c>
      <c r="D356" s="78">
        <f t="shared" si="26"/>
        <v>0</v>
      </c>
      <c r="E356" s="79">
        <f t="shared" si="28"/>
        <v>0</v>
      </c>
      <c r="F356" s="80">
        <f t="shared" si="29"/>
        <v>0</v>
      </c>
    </row>
    <row r="357" spans="1:6" s="94" customFormat="1" x14ac:dyDescent="0.25">
      <c r="A357" s="76">
        <f t="shared" si="27"/>
        <v>0</v>
      </c>
      <c r="B357" s="77">
        <v>346</v>
      </c>
      <c r="C357" s="78">
        <f t="shared" si="25"/>
        <v>0</v>
      </c>
      <c r="D357" s="78">
        <f t="shared" si="26"/>
        <v>0</v>
      </c>
      <c r="E357" s="79">
        <f t="shared" si="28"/>
        <v>0</v>
      </c>
      <c r="F357" s="80">
        <f t="shared" si="29"/>
        <v>0</v>
      </c>
    </row>
    <row r="358" spans="1:6" s="94" customFormat="1" x14ac:dyDescent="0.25">
      <c r="A358" s="76">
        <f t="shared" si="27"/>
        <v>0</v>
      </c>
      <c r="B358" s="77">
        <v>347</v>
      </c>
      <c r="C358" s="78">
        <f t="shared" si="25"/>
        <v>0</v>
      </c>
      <c r="D358" s="78">
        <f t="shared" si="26"/>
        <v>0</v>
      </c>
      <c r="E358" s="79">
        <f t="shared" si="28"/>
        <v>0</v>
      </c>
      <c r="F358" s="80">
        <f t="shared" si="29"/>
        <v>0</v>
      </c>
    </row>
    <row r="359" spans="1:6" s="94" customFormat="1" x14ac:dyDescent="0.25">
      <c r="A359" s="83">
        <f t="shared" si="27"/>
        <v>0</v>
      </c>
      <c r="B359" s="84">
        <v>348</v>
      </c>
      <c r="C359" s="85">
        <f t="shared" si="25"/>
        <v>0</v>
      </c>
      <c r="D359" s="85">
        <f t="shared" si="26"/>
        <v>0</v>
      </c>
      <c r="E359" s="85">
        <f t="shared" si="28"/>
        <v>0</v>
      </c>
      <c r="F359" s="86">
        <f t="shared" si="29"/>
        <v>0</v>
      </c>
    </row>
    <row r="360" spans="1:6" s="94" customFormat="1" x14ac:dyDescent="0.25">
      <c r="A360" s="76">
        <f t="shared" si="27"/>
        <v>0</v>
      </c>
      <c r="B360" s="77">
        <v>349</v>
      </c>
      <c r="C360" s="78">
        <f t="shared" si="25"/>
        <v>0</v>
      </c>
      <c r="D360" s="78">
        <f t="shared" si="26"/>
        <v>0</v>
      </c>
      <c r="E360" s="79">
        <f t="shared" si="28"/>
        <v>0</v>
      </c>
      <c r="F360" s="80">
        <f t="shared" si="29"/>
        <v>0</v>
      </c>
    </row>
    <row r="361" spans="1:6" s="94" customFormat="1" x14ac:dyDescent="0.25">
      <c r="A361" s="76">
        <f t="shared" si="27"/>
        <v>0</v>
      </c>
      <c r="B361" s="77">
        <v>350</v>
      </c>
      <c r="C361" s="78">
        <f t="shared" si="25"/>
        <v>0</v>
      </c>
      <c r="D361" s="78">
        <f t="shared" si="26"/>
        <v>0</v>
      </c>
      <c r="E361" s="79">
        <f t="shared" si="28"/>
        <v>0</v>
      </c>
      <c r="F361" s="80">
        <f t="shared" si="29"/>
        <v>0</v>
      </c>
    </row>
    <row r="362" spans="1:6" s="94" customFormat="1" x14ac:dyDescent="0.25">
      <c r="A362" s="76">
        <f t="shared" si="27"/>
        <v>0</v>
      </c>
      <c r="B362" s="77">
        <v>351</v>
      </c>
      <c r="C362" s="78">
        <f t="shared" si="25"/>
        <v>0</v>
      </c>
      <c r="D362" s="78">
        <f t="shared" si="26"/>
        <v>0</v>
      </c>
      <c r="E362" s="79">
        <f t="shared" si="28"/>
        <v>0</v>
      </c>
      <c r="F362" s="80">
        <f t="shared" si="29"/>
        <v>0</v>
      </c>
    </row>
    <row r="363" spans="1:6" s="94" customFormat="1" x14ac:dyDescent="0.25">
      <c r="A363" s="76">
        <f t="shared" si="27"/>
        <v>0</v>
      </c>
      <c r="B363" s="77">
        <v>352</v>
      </c>
      <c r="C363" s="78">
        <f t="shared" si="25"/>
        <v>0</v>
      </c>
      <c r="D363" s="78">
        <f t="shared" si="26"/>
        <v>0</v>
      </c>
      <c r="E363" s="79">
        <f t="shared" si="28"/>
        <v>0</v>
      </c>
      <c r="F363" s="80">
        <f t="shared" si="29"/>
        <v>0</v>
      </c>
    </row>
    <row r="364" spans="1:6" s="94" customFormat="1" x14ac:dyDescent="0.25">
      <c r="A364" s="76">
        <f t="shared" si="27"/>
        <v>0</v>
      </c>
      <c r="B364" s="77">
        <v>353</v>
      </c>
      <c r="C364" s="78">
        <f t="shared" si="25"/>
        <v>0</v>
      </c>
      <c r="D364" s="78">
        <f t="shared" si="26"/>
        <v>0</v>
      </c>
      <c r="E364" s="79">
        <f t="shared" si="28"/>
        <v>0</v>
      </c>
      <c r="F364" s="80">
        <f t="shared" si="29"/>
        <v>0</v>
      </c>
    </row>
    <row r="365" spans="1:6" s="94" customFormat="1" x14ac:dyDescent="0.25">
      <c r="A365" s="76">
        <f t="shared" si="27"/>
        <v>0</v>
      </c>
      <c r="B365" s="77">
        <v>354</v>
      </c>
      <c r="C365" s="78">
        <f t="shared" si="25"/>
        <v>0</v>
      </c>
      <c r="D365" s="78">
        <f t="shared" si="26"/>
        <v>0</v>
      </c>
      <c r="E365" s="79">
        <f t="shared" si="28"/>
        <v>0</v>
      </c>
      <c r="F365" s="80">
        <f t="shared" si="29"/>
        <v>0</v>
      </c>
    </row>
    <row r="366" spans="1:6" s="94" customFormat="1" x14ac:dyDescent="0.25">
      <c r="A366" s="76">
        <f t="shared" si="27"/>
        <v>0</v>
      </c>
      <c r="B366" s="77">
        <v>355</v>
      </c>
      <c r="C366" s="78">
        <f t="shared" si="25"/>
        <v>0</v>
      </c>
      <c r="D366" s="78">
        <f t="shared" si="26"/>
        <v>0</v>
      </c>
      <c r="E366" s="79">
        <f t="shared" si="28"/>
        <v>0</v>
      </c>
      <c r="F366" s="80">
        <f t="shared" si="29"/>
        <v>0</v>
      </c>
    </row>
    <row r="367" spans="1:6" s="94" customFormat="1" x14ac:dyDescent="0.25">
      <c r="A367" s="76">
        <f t="shared" si="27"/>
        <v>0</v>
      </c>
      <c r="B367" s="77">
        <v>356</v>
      </c>
      <c r="C367" s="78">
        <f t="shared" si="25"/>
        <v>0</v>
      </c>
      <c r="D367" s="78">
        <f t="shared" si="26"/>
        <v>0</v>
      </c>
      <c r="E367" s="79">
        <f t="shared" si="28"/>
        <v>0</v>
      </c>
      <c r="F367" s="80">
        <f t="shared" si="29"/>
        <v>0</v>
      </c>
    </row>
    <row r="368" spans="1:6" s="94" customFormat="1" x14ac:dyDescent="0.25">
      <c r="A368" s="76">
        <f t="shared" si="27"/>
        <v>0</v>
      </c>
      <c r="B368" s="77">
        <v>357</v>
      </c>
      <c r="C368" s="78">
        <f t="shared" si="25"/>
        <v>0</v>
      </c>
      <c r="D368" s="78">
        <f t="shared" si="26"/>
        <v>0</v>
      </c>
      <c r="E368" s="79">
        <f t="shared" si="28"/>
        <v>0</v>
      </c>
      <c r="F368" s="80">
        <f t="shared" si="29"/>
        <v>0</v>
      </c>
    </row>
    <row r="369" spans="1:6" s="94" customFormat="1" x14ac:dyDescent="0.25">
      <c r="A369" s="76">
        <f t="shared" si="27"/>
        <v>0</v>
      </c>
      <c r="B369" s="77">
        <v>358</v>
      </c>
      <c r="C369" s="78">
        <f t="shared" si="25"/>
        <v>0</v>
      </c>
      <c r="D369" s="78">
        <f t="shared" si="26"/>
        <v>0</v>
      </c>
      <c r="E369" s="79">
        <f t="shared" si="28"/>
        <v>0</v>
      </c>
      <c r="F369" s="80">
        <f t="shared" si="29"/>
        <v>0</v>
      </c>
    </row>
    <row r="370" spans="1:6" s="94" customFormat="1" x14ac:dyDescent="0.25">
      <c r="A370" s="76">
        <f t="shared" si="27"/>
        <v>0</v>
      </c>
      <c r="B370" s="77">
        <v>359</v>
      </c>
      <c r="C370" s="78">
        <f t="shared" si="25"/>
        <v>0</v>
      </c>
      <c r="D370" s="78">
        <f t="shared" si="26"/>
        <v>0</v>
      </c>
      <c r="E370" s="79">
        <f t="shared" si="28"/>
        <v>0</v>
      </c>
      <c r="F370" s="80">
        <f t="shared" si="29"/>
        <v>0</v>
      </c>
    </row>
    <row r="371" spans="1:6" s="94" customFormat="1" x14ac:dyDescent="0.25">
      <c r="A371" s="83">
        <f t="shared" si="27"/>
        <v>0</v>
      </c>
      <c r="B371" s="84">
        <v>360</v>
      </c>
      <c r="C371" s="85">
        <f t="shared" si="25"/>
        <v>0</v>
      </c>
      <c r="D371" s="85">
        <f t="shared" si="26"/>
        <v>0</v>
      </c>
      <c r="E371" s="85">
        <f t="shared" si="28"/>
        <v>0</v>
      </c>
      <c r="F371" s="86">
        <f t="shared" si="29"/>
        <v>0</v>
      </c>
    </row>
  </sheetData>
  <mergeCells count="17">
    <mergeCell ref="A4:C4"/>
    <mergeCell ref="E4:F4"/>
    <mergeCell ref="A1:F1"/>
    <mergeCell ref="A2:C2"/>
    <mergeCell ref="E2:F2"/>
    <mergeCell ref="A3:C3"/>
    <mergeCell ref="E3:F3"/>
    <mergeCell ref="A8:C8"/>
    <mergeCell ref="E8:F8"/>
    <mergeCell ref="A9:C9"/>
    <mergeCell ref="E9:F9"/>
    <mergeCell ref="A5:C5"/>
    <mergeCell ref="E5:F5"/>
    <mergeCell ref="A6:C6"/>
    <mergeCell ref="E6:F6"/>
    <mergeCell ref="A7:C7"/>
    <mergeCell ref="E7:F7"/>
  </mergeCells>
  <dataValidations count="1">
    <dataValidation type="list" allowBlank="1" showInputMessage="1" showErrorMessage="1" sqref="A1:E1 WVG983041:WVK983041 WLK983041:WLO983041 WBO983041:WBS983041 VRS983041:VRW983041 VHW983041:VIA983041 UYA983041:UYE983041 UOE983041:UOI983041 UEI983041:UEM983041 TUM983041:TUQ983041 TKQ983041:TKU983041 TAU983041:TAY983041 SQY983041:SRC983041 SHC983041:SHG983041 RXG983041:RXK983041 RNK983041:RNO983041 RDO983041:RDS983041 QTS983041:QTW983041 QJW983041:QKA983041 QAA983041:QAE983041 PQE983041:PQI983041 PGI983041:PGM983041 OWM983041:OWQ983041 OMQ983041:OMU983041 OCU983041:OCY983041 NSY983041:NTC983041 NJC983041:NJG983041 MZG983041:MZK983041 MPK983041:MPO983041 MFO983041:MFS983041 LVS983041:LVW983041 LLW983041:LMA983041 LCA983041:LCE983041 KSE983041:KSI983041 KII983041:KIM983041 JYM983041:JYQ983041 JOQ983041:JOU983041 JEU983041:JEY983041 IUY983041:IVC983041 ILC983041:ILG983041 IBG983041:IBK983041 HRK983041:HRO983041 HHO983041:HHS983041 GXS983041:GXW983041 GNW983041:GOA983041 GEA983041:GEE983041 FUE983041:FUI983041 FKI983041:FKM983041 FAM983041:FAQ983041 EQQ983041:EQU983041 EGU983041:EGY983041 DWY983041:DXC983041 DNC983041:DNG983041 DDG983041:DDK983041 CTK983041:CTO983041 CJO983041:CJS983041 BZS983041:BZW983041 BPW983041:BQA983041 BGA983041:BGE983041 AWE983041:AWI983041 AMI983041:AMM983041 ACM983041:ACQ983041 SQ983041:SU983041 IU983041:IY983041 A983041:E983041 WVG917505:WVK917505 WLK917505:WLO917505 WBO917505:WBS917505 VRS917505:VRW917505 VHW917505:VIA917505 UYA917505:UYE917505 UOE917505:UOI917505 UEI917505:UEM917505 TUM917505:TUQ917505 TKQ917505:TKU917505 TAU917505:TAY917505 SQY917505:SRC917505 SHC917505:SHG917505 RXG917505:RXK917505 RNK917505:RNO917505 RDO917505:RDS917505 QTS917505:QTW917505 QJW917505:QKA917505 QAA917505:QAE917505 PQE917505:PQI917505 PGI917505:PGM917505 OWM917505:OWQ917505 OMQ917505:OMU917505 OCU917505:OCY917505 NSY917505:NTC917505 NJC917505:NJG917505 MZG917505:MZK917505 MPK917505:MPO917505 MFO917505:MFS917505 LVS917505:LVW917505 LLW917505:LMA917505 LCA917505:LCE917505 KSE917505:KSI917505 KII917505:KIM917505 JYM917505:JYQ917505 JOQ917505:JOU917505 JEU917505:JEY917505 IUY917505:IVC917505 ILC917505:ILG917505 IBG917505:IBK917505 HRK917505:HRO917505 HHO917505:HHS917505 GXS917505:GXW917505 GNW917505:GOA917505 GEA917505:GEE917505 FUE917505:FUI917505 FKI917505:FKM917505 FAM917505:FAQ917505 EQQ917505:EQU917505 EGU917505:EGY917505 DWY917505:DXC917505 DNC917505:DNG917505 DDG917505:DDK917505 CTK917505:CTO917505 CJO917505:CJS917505 BZS917505:BZW917505 BPW917505:BQA917505 BGA917505:BGE917505 AWE917505:AWI917505 AMI917505:AMM917505 ACM917505:ACQ917505 SQ917505:SU917505 IU917505:IY917505 A917505:E917505 WVG851969:WVK851969 WLK851969:WLO851969 WBO851969:WBS851969 VRS851969:VRW851969 VHW851969:VIA851969 UYA851969:UYE851969 UOE851969:UOI851969 UEI851969:UEM851969 TUM851969:TUQ851969 TKQ851969:TKU851969 TAU851969:TAY851969 SQY851969:SRC851969 SHC851969:SHG851969 RXG851969:RXK851969 RNK851969:RNO851969 RDO851969:RDS851969 QTS851969:QTW851969 QJW851969:QKA851969 QAA851969:QAE851969 PQE851969:PQI851969 PGI851969:PGM851969 OWM851969:OWQ851969 OMQ851969:OMU851969 OCU851969:OCY851969 NSY851969:NTC851969 NJC851969:NJG851969 MZG851969:MZK851969 MPK851969:MPO851969 MFO851969:MFS851969 LVS851969:LVW851969 LLW851969:LMA851969 LCA851969:LCE851969 KSE851969:KSI851969 KII851969:KIM851969 JYM851969:JYQ851969 JOQ851969:JOU851969 JEU851969:JEY851969 IUY851969:IVC851969 ILC851969:ILG851969 IBG851969:IBK851969 HRK851969:HRO851969 HHO851969:HHS851969 GXS851969:GXW851969 GNW851969:GOA851969 GEA851969:GEE851969 FUE851969:FUI851969 FKI851969:FKM851969 FAM851969:FAQ851969 EQQ851969:EQU851969 EGU851969:EGY851969 DWY851969:DXC851969 DNC851969:DNG851969 DDG851969:DDK851969 CTK851969:CTO851969 CJO851969:CJS851969 BZS851969:BZW851969 BPW851969:BQA851969 BGA851969:BGE851969 AWE851969:AWI851969 AMI851969:AMM851969 ACM851969:ACQ851969 SQ851969:SU851969 IU851969:IY851969 A851969:E851969 WVG786433:WVK786433 WLK786433:WLO786433 WBO786433:WBS786433 VRS786433:VRW786433 VHW786433:VIA786433 UYA786433:UYE786433 UOE786433:UOI786433 UEI786433:UEM786433 TUM786433:TUQ786433 TKQ786433:TKU786433 TAU786433:TAY786433 SQY786433:SRC786433 SHC786433:SHG786433 RXG786433:RXK786433 RNK786433:RNO786433 RDO786433:RDS786433 QTS786433:QTW786433 QJW786433:QKA786433 QAA786433:QAE786433 PQE786433:PQI786433 PGI786433:PGM786433 OWM786433:OWQ786433 OMQ786433:OMU786433 OCU786433:OCY786433 NSY786433:NTC786433 NJC786433:NJG786433 MZG786433:MZK786433 MPK786433:MPO786433 MFO786433:MFS786433 LVS786433:LVW786433 LLW786433:LMA786433 LCA786433:LCE786433 KSE786433:KSI786433 KII786433:KIM786433 JYM786433:JYQ786433 JOQ786433:JOU786433 JEU786433:JEY786433 IUY786433:IVC786433 ILC786433:ILG786433 IBG786433:IBK786433 HRK786433:HRO786433 HHO786433:HHS786433 GXS786433:GXW786433 GNW786433:GOA786433 GEA786433:GEE786433 FUE786433:FUI786433 FKI786433:FKM786433 FAM786433:FAQ786433 EQQ786433:EQU786433 EGU786433:EGY786433 DWY786433:DXC786433 DNC786433:DNG786433 DDG786433:DDK786433 CTK786433:CTO786433 CJO786433:CJS786433 BZS786433:BZW786433 BPW786433:BQA786433 BGA786433:BGE786433 AWE786433:AWI786433 AMI786433:AMM786433 ACM786433:ACQ786433 SQ786433:SU786433 IU786433:IY786433 A786433:E786433 WVG720897:WVK720897 WLK720897:WLO720897 WBO720897:WBS720897 VRS720897:VRW720897 VHW720897:VIA720897 UYA720897:UYE720897 UOE720897:UOI720897 UEI720897:UEM720897 TUM720897:TUQ720897 TKQ720897:TKU720897 TAU720897:TAY720897 SQY720897:SRC720897 SHC720897:SHG720897 RXG720897:RXK720897 RNK720897:RNO720897 RDO720897:RDS720897 QTS720897:QTW720897 QJW720897:QKA720897 QAA720897:QAE720897 PQE720897:PQI720897 PGI720897:PGM720897 OWM720897:OWQ720897 OMQ720897:OMU720897 OCU720897:OCY720897 NSY720897:NTC720897 NJC720897:NJG720897 MZG720897:MZK720897 MPK720897:MPO720897 MFO720897:MFS720897 LVS720897:LVW720897 LLW720897:LMA720897 LCA720897:LCE720897 KSE720897:KSI720897 KII720897:KIM720897 JYM720897:JYQ720897 JOQ720897:JOU720897 JEU720897:JEY720897 IUY720897:IVC720897 ILC720897:ILG720897 IBG720897:IBK720897 HRK720897:HRO720897 HHO720897:HHS720897 GXS720897:GXW720897 GNW720897:GOA720897 GEA720897:GEE720897 FUE720897:FUI720897 FKI720897:FKM720897 FAM720897:FAQ720897 EQQ720897:EQU720897 EGU720897:EGY720897 DWY720897:DXC720897 DNC720897:DNG720897 DDG720897:DDK720897 CTK720897:CTO720897 CJO720897:CJS720897 BZS720897:BZW720897 BPW720897:BQA720897 BGA720897:BGE720897 AWE720897:AWI720897 AMI720897:AMM720897 ACM720897:ACQ720897 SQ720897:SU720897 IU720897:IY720897 A720897:E720897 WVG655361:WVK655361 WLK655361:WLO655361 WBO655361:WBS655361 VRS655361:VRW655361 VHW655361:VIA655361 UYA655361:UYE655361 UOE655361:UOI655361 UEI655361:UEM655361 TUM655361:TUQ655361 TKQ655361:TKU655361 TAU655361:TAY655361 SQY655361:SRC655361 SHC655361:SHG655361 RXG655361:RXK655361 RNK655361:RNO655361 RDO655361:RDS655361 QTS655361:QTW655361 QJW655361:QKA655361 QAA655361:QAE655361 PQE655361:PQI655361 PGI655361:PGM655361 OWM655361:OWQ655361 OMQ655361:OMU655361 OCU655361:OCY655361 NSY655361:NTC655361 NJC655361:NJG655361 MZG655361:MZK655361 MPK655361:MPO655361 MFO655361:MFS655361 LVS655361:LVW655361 LLW655361:LMA655361 LCA655361:LCE655361 KSE655361:KSI655361 KII655361:KIM655361 JYM655361:JYQ655361 JOQ655361:JOU655361 JEU655361:JEY655361 IUY655361:IVC655361 ILC655361:ILG655361 IBG655361:IBK655361 HRK655361:HRO655361 HHO655361:HHS655361 GXS655361:GXW655361 GNW655361:GOA655361 GEA655361:GEE655361 FUE655361:FUI655361 FKI655361:FKM655361 FAM655361:FAQ655361 EQQ655361:EQU655361 EGU655361:EGY655361 DWY655361:DXC655361 DNC655361:DNG655361 DDG655361:DDK655361 CTK655361:CTO655361 CJO655361:CJS655361 BZS655361:BZW655361 BPW655361:BQA655361 BGA655361:BGE655361 AWE655361:AWI655361 AMI655361:AMM655361 ACM655361:ACQ655361 SQ655361:SU655361 IU655361:IY655361 A655361:E655361 WVG589825:WVK589825 WLK589825:WLO589825 WBO589825:WBS589825 VRS589825:VRW589825 VHW589825:VIA589825 UYA589825:UYE589825 UOE589825:UOI589825 UEI589825:UEM589825 TUM589825:TUQ589825 TKQ589825:TKU589825 TAU589825:TAY589825 SQY589825:SRC589825 SHC589825:SHG589825 RXG589825:RXK589825 RNK589825:RNO589825 RDO589825:RDS589825 QTS589825:QTW589825 QJW589825:QKA589825 QAA589825:QAE589825 PQE589825:PQI589825 PGI589825:PGM589825 OWM589825:OWQ589825 OMQ589825:OMU589825 OCU589825:OCY589825 NSY589825:NTC589825 NJC589825:NJG589825 MZG589825:MZK589825 MPK589825:MPO589825 MFO589825:MFS589825 LVS589825:LVW589825 LLW589825:LMA589825 LCA589825:LCE589825 KSE589825:KSI589825 KII589825:KIM589825 JYM589825:JYQ589825 JOQ589825:JOU589825 JEU589825:JEY589825 IUY589825:IVC589825 ILC589825:ILG589825 IBG589825:IBK589825 HRK589825:HRO589825 HHO589825:HHS589825 GXS589825:GXW589825 GNW589825:GOA589825 GEA589825:GEE589825 FUE589825:FUI589825 FKI589825:FKM589825 FAM589825:FAQ589825 EQQ589825:EQU589825 EGU589825:EGY589825 DWY589825:DXC589825 DNC589825:DNG589825 DDG589825:DDK589825 CTK589825:CTO589825 CJO589825:CJS589825 BZS589825:BZW589825 BPW589825:BQA589825 BGA589825:BGE589825 AWE589825:AWI589825 AMI589825:AMM589825 ACM589825:ACQ589825 SQ589825:SU589825 IU589825:IY589825 A589825:E589825 WVG524289:WVK524289 WLK524289:WLO524289 WBO524289:WBS524289 VRS524289:VRW524289 VHW524289:VIA524289 UYA524289:UYE524289 UOE524289:UOI524289 UEI524289:UEM524289 TUM524289:TUQ524289 TKQ524289:TKU524289 TAU524289:TAY524289 SQY524289:SRC524289 SHC524289:SHG524289 RXG524289:RXK524289 RNK524289:RNO524289 RDO524289:RDS524289 QTS524289:QTW524289 QJW524289:QKA524289 QAA524289:QAE524289 PQE524289:PQI524289 PGI524289:PGM524289 OWM524289:OWQ524289 OMQ524289:OMU524289 OCU524289:OCY524289 NSY524289:NTC524289 NJC524289:NJG524289 MZG524289:MZK524289 MPK524289:MPO524289 MFO524289:MFS524289 LVS524289:LVW524289 LLW524289:LMA524289 LCA524289:LCE524289 KSE524289:KSI524289 KII524289:KIM524289 JYM524289:JYQ524289 JOQ524289:JOU524289 JEU524289:JEY524289 IUY524289:IVC524289 ILC524289:ILG524289 IBG524289:IBK524289 HRK524289:HRO524289 HHO524289:HHS524289 GXS524289:GXW524289 GNW524289:GOA524289 GEA524289:GEE524289 FUE524289:FUI524289 FKI524289:FKM524289 FAM524289:FAQ524289 EQQ524289:EQU524289 EGU524289:EGY524289 DWY524289:DXC524289 DNC524289:DNG524289 DDG524289:DDK524289 CTK524289:CTO524289 CJO524289:CJS524289 BZS524289:BZW524289 BPW524289:BQA524289 BGA524289:BGE524289 AWE524289:AWI524289 AMI524289:AMM524289 ACM524289:ACQ524289 SQ524289:SU524289 IU524289:IY524289 A524289:E524289 WVG458753:WVK458753 WLK458753:WLO458753 WBO458753:WBS458753 VRS458753:VRW458753 VHW458753:VIA458753 UYA458753:UYE458753 UOE458753:UOI458753 UEI458753:UEM458753 TUM458753:TUQ458753 TKQ458753:TKU458753 TAU458753:TAY458753 SQY458753:SRC458753 SHC458753:SHG458753 RXG458753:RXK458753 RNK458753:RNO458753 RDO458753:RDS458753 QTS458753:QTW458753 QJW458753:QKA458753 QAA458753:QAE458753 PQE458753:PQI458753 PGI458753:PGM458753 OWM458753:OWQ458753 OMQ458753:OMU458753 OCU458753:OCY458753 NSY458753:NTC458753 NJC458753:NJG458753 MZG458753:MZK458753 MPK458753:MPO458753 MFO458753:MFS458753 LVS458753:LVW458753 LLW458753:LMA458753 LCA458753:LCE458753 KSE458753:KSI458753 KII458753:KIM458753 JYM458753:JYQ458753 JOQ458753:JOU458753 JEU458753:JEY458753 IUY458753:IVC458753 ILC458753:ILG458753 IBG458753:IBK458753 HRK458753:HRO458753 HHO458753:HHS458753 GXS458753:GXW458753 GNW458753:GOA458753 GEA458753:GEE458753 FUE458753:FUI458753 FKI458753:FKM458753 FAM458753:FAQ458753 EQQ458753:EQU458753 EGU458753:EGY458753 DWY458753:DXC458753 DNC458753:DNG458753 DDG458753:DDK458753 CTK458753:CTO458753 CJO458753:CJS458753 BZS458753:BZW458753 BPW458753:BQA458753 BGA458753:BGE458753 AWE458753:AWI458753 AMI458753:AMM458753 ACM458753:ACQ458753 SQ458753:SU458753 IU458753:IY458753 A458753:E458753 WVG393217:WVK393217 WLK393217:WLO393217 WBO393217:WBS393217 VRS393217:VRW393217 VHW393217:VIA393217 UYA393217:UYE393217 UOE393217:UOI393217 UEI393217:UEM393217 TUM393217:TUQ393217 TKQ393217:TKU393217 TAU393217:TAY393217 SQY393217:SRC393217 SHC393217:SHG393217 RXG393217:RXK393217 RNK393217:RNO393217 RDO393217:RDS393217 QTS393217:QTW393217 QJW393217:QKA393217 QAA393217:QAE393217 PQE393217:PQI393217 PGI393217:PGM393217 OWM393217:OWQ393217 OMQ393217:OMU393217 OCU393217:OCY393217 NSY393217:NTC393217 NJC393217:NJG393217 MZG393217:MZK393217 MPK393217:MPO393217 MFO393217:MFS393217 LVS393217:LVW393217 LLW393217:LMA393217 LCA393217:LCE393217 KSE393217:KSI393217 KII393217:KIM393217 JYM393217:JYQ393217 JOQ393217:JOU393217 JEU393217:JEY393217 IUY393217:IVC393217 ILC393217:ILG393217 IBG393217:IBK393217 HRK393217:HRO393217 HHO393217:HHS393217 GXS393217:GXW393217 GNW393217:GOA393217 GEA393217:GEE393217 FUE393217:FUI393217 FKI393217:FKM393217 FAM393217:FAQ393217 EQQ393217:EQU393217 EGU393217:EGY393217 DWY393217:DXC393217 DNC393217:DNG393217 DDG393217:DDK393217 CTK393217:CTO393217 CJO393217:CJS393217 BZS393217:BZW393217 BPW393217:BQA393217 BGA393217:BGE393217 AWE393217:AWI393217 AMI393217:AMM393217 ACM393217:ACQ393217 SQ393217:SU393217 IU393217:IY393217 A393217:E393217 WVG327681:WVK327681 WLK327681:WLO327681 WBO327681:WBS327681 VRS327681:VRW327681 VHW327681:VIA327681 UYA327681:UYE327681 UOE327681:UOI327681 UEI327681:UEM327681 TUM327681:TUQ327681 TKQ327681:TKU327681 TAU327681:TAY327681 SQY327681:SRC327681 SHC327681:SHG327681 RXG327681:RXK327681 RNK327681:RNO327681 RDO327681:RDS327681 QTS327681:QTW327681 QJW327681:QKA327681 QAA327681:QAE327681 PQE327681:PQI327681 PGI327681:PGM327681 OWM327681:OWQ327681 OMQ327681:OMU327681 OCU327681:OCY327681 NSY327681:NTC327681 NJC327681:NJG327681 MZG327681:MZK327681 MPK327681:MPO327681 MFO327681:MFS327681 LVS327681:LVW327681 LLW327681:LMA327681 LCA327681:LCE327681 KSE327681:KSI327681 KII327681:KIM327681 JYM327681:JYQ327681 JOQ327681:JOU327681 JEU327681:JEY327681 IUY327681:IVC327681 ILC327681:ILG327681 IBG327681:IBK327681 HRK327681:HRO327681 HHO327681:HHS327681 GXS327681:GXW327681 GNW327681:GOA327681 GEA327681:GEE327681 FUE327681:FUI327681 FKI327681:FKM327681 FAM327681:FAQ327681 EQQ327681:EQU327681 EGU327681:EGY327681 DWY327681:DXC327681 DNC327681:DNG327681 DDG327681:DDK327681 CTK327681:CTO327681 CJO327681:CJS327681 BZS327681:BZW327681 BPW327681:BQA327681 BGA327681:BGE327681 AWE327681:AWI327681 AMI327681:AMM327681 ACM327681:ACQ327681 SQ327681:SU327681 IU327681:IY327681 A327681:E327681 WVG262145:WVK262145 WLK262145:WLO262145 WBO262145:WBS262145 VRS262145:VRW262145 VHW262145:VIA262145 UYA262145:UYE262145 UOE262145:UOI262145 UEI262145:UEM262145 TUM262145:TUQ262145 TKQ262145:TKU262145 TAU262145:TAY262145 SQY262145:SRC262145 SHC262145:SHG262145 RXG262145:RXK262145 RNK262145:RNO262145 RDO262145:RDS262145 QTS262145:QTW262145 QJW262145:QKA262145 QAA262145:QAE262145 PQE262145:PQI262145 PGI262145:PGM262145 OWM262145:OWQ262145 OMQ262145:OMU262145 OCU262145:OCY262145 NSY262145:NTC262145 NJC262145:NJG262145 MZG262145:MZK262145 MPK262145:MPO262145 MFO262145:MFS262145 LVS262145:LVW262145 LLW262145:LMA262145 LCA262145:LCE262145 KSE262145:KSI262145 KII262145:KIM262145 JYM262145:JYQ262145 JOQ262145:JOU262145 JEU262145:JEY262145 IUY262145:IVC262145 ILC262145:ILG262145 IBG262145:IBK262145 HRK262145:HRO262145 HHO262145:HHS262145 GXS262145:GXW262145 GNW262145:GOA262145 GEA262145:GEE262145 FUE262145:FUI262145 FKI262145:FKM262145 FAM262145:FAQ262145 EQQ262145:EQU262145 EGU262145:EGY262145 DWY262145:DXC262145 DNC262145:DNG262145 DDG262145:DDK262145 CTK262145:CTO262145 CJO262145:CJS262145 BZS262145:BZW262145 BPW262145:BQA262145 BGA262145:BGE262145 AWE262145:AWI262145 AMI262145:AMM262145 ACM262145:ACQ262145 SQ262145:SU262145 IU262145:IY262145 A262145:E262145 WVG196609:WVK196609 WLK196609:WLO196609 WBO196609:WBS196609 VRS196609:VRW196609 VHW196609:VIA196609 UYA196609:UYE196609 UOE196609:UOI196609 UEI196609:UEM196609 TUM196609:TUQ196609 TKQ196609:TKU196609 TAU196609:TAY196609 SQY196609:SRC196609 SHC196609:SHG196609 RXG196609:RXK196609 RNK196609:RNO196609 RDO196609:RDS196609 QTS196609:QTW196609 QJW196609:QKA196609 QAA196609:QAE196609 PQE196609:PQI196609 PGI196609:PGM196609 OWM196609:OWQ196609 OMQ196609:OMU196609 OCU196609:OCY196609 NSY196609:NTC196609 NJC196609:NJG196609 MZG196609:MZK196609 MPK196609:MPO196609 MFO196609:MFS196609 LVS196609:LVW196609 LLW196609:LMA196609 LCA196609:LCE196609 KSE196609:KSI196609 KII196609:KIM196609 JYM196609:JYQ196609 JOQ196609:JOU196609 JEU196609:JEY196609 IUY196609:IVC196609 ILC196609:ILG196609 IBG196609:IBK196609 HRK196609:HRO196609 HHO196609:HHS196609 GXS196609:GXW196609 GNW196609:GOA196609 GEA196609:GEE196609 FUE196609:FUI196609 FKI196609:FKM196609 FAM196609:FAQ196609 EQQ196609:EQU196609 EGU196609:EGY196609 DWY196609:DXC196609 DNC196609:DNG196609 DDG196609:DDK196609 CTK196609:CTO196609 CJO196609:CJS196609 BZS196609:BZW196609 BPW196609:BQA196609 BGA196609:BGE196609 AWE196609:AWI196609 AMI196609:AMM196609 ACM196609:ACQ196609 SQ196609:SU196609 IU196609:IY196609 A196609:E196609 WVG131073:WVK131073 WLK131073:WLO131073 WBO131073:WBS131073 VRS131073:VRW131073 VHW131073:VIA131073 UYA131073:UYE131073 UOE131073:UOI131073 UEI131073:UEM131073 TUM131073:TUQ131073 TKQ131073:TKU131073 TAU131073:TAY131073 SQY131073:SRC131073 SHC131073:SHG131073 RXG131073:RXK131073 RNK131073:RNO131073 RDO131073:RDS131073 QTS131073:QTW131073 QJW131073:QKA131073 QAA131073:QAE131073 PQE131073:PQI131073 PGI131073:PGM131073 OWM131073:OWQ131073 OMQ131073:OMU131073 OCU131073:OCY131073 NSY131073:NTC131073 NJC131073:NJG131073 MZG131073:MZK131073 MPK131073:MPO131073 MFO131073:MFS131073 LVS131073:LVW131073 LLW131073:LMA131073 LCA131073:LCE131073 KSE131073:KSI131073 KII131073:KIM131073 JYM131073:JYQ131073 JOQ131073:JOU131073 JEU131073:JEY131073 IUY131073:IVC131073 ILC131073:ILG131073 IBG131073:IBK131073 HRK131073:HRO131073 HHO131073:HHS131073 GXS131073:GXW131073 GNW131073:GOA131073 GEA131073:GEE131073 FUE131073:FUI131073 FKI131073:FKM131073 FAM131073:FAQ131073 EQQ131073:EQU131073 EGU131073:EGY131073 DWY131073:DXC131073 DNC131073:DNG131073 DDG131073:DDK131073 CTK131073:CTO131073 CJO131073:CJS131073 BZS131073:BZW131073 BPW131073:BQA131073 BGA131073:BGE131073 AWE131073:AWI131073 AMI131073:AMM131073 ACM131073:ACQ131073 SQ131073:SU131073 IU131073:IY131073 A131073:E131073 WVG65537:WVK65537 WLK65537:WLO65537 WBO65537:WBS65537 VRS65537:VRW65537 VHW65537:VIA65537 UYA65537:UYE65537 UOE65537:UOI65537 UEI65537:UEM65537 TUM65537:TUQ65537 TKQ65537:TKU65537 TAU65537:TAY65537 SQY65537:SRC65537 SHC65537:SHG65537 RXG65537:RXK65537 RNK65537:RNO65537 RDO65537:RDS65537 QTS65537:QTW65537 QJW65537:QKA65537 QAA65537:QAE65537 PQE65537:PQI65537 PGI65537:PGM65537 OWM65537:OWQ65537 OMQ65537:OMU65537 OCU65537:OCY65537 NSY65537:NTC65537 NJC65537:NJG65537 MZG65537:MZK65537 MPK65537:MPO65537 MFO65537:MFS65537 LVS65537:LVW65537 LLW65537:LMA65537 LCA65537:LCE65537 KSE65537:KSI65537 KII65537:KIM65537 JYM65537:JYQ65537 JOQ65537:JOU65537 JEU65537:JEY65537 IUY65537:IVC65537 ILC65537:ILG65537 IBG65537:IBK65537 HRK65537:HRO65537 HHO65537:HHS65537 GXS65537:GXW65537 GNW65537:GOA65537 GEA65537:GEE65537 FUE65537:FUI65537 FKI65537:FKM65537 FAM65537:FAQ65537 EQQ65537:EQU65537 EGU65537:EGY65537 DWY65537:DXC65537 DNC65537:DNG65537 DDG65537:DDK65537 CTK65537:CTO65537 CJO65537:CJS65537 BZS65537:BZW65537 BPW65537:BQA65537 BGA65537:BGE65537 AWE65537:AWI65537 AMI65537:AMM65537 ACM65537:ACQ65537 SQ65537:SU65537 IU65537:IY65537 A65537:E65537 WVG1:WVK1 WLK1:WLO1 WBO1:WBS1 VRS1:VRW1 VHW1:VIA1 UYA1:UYE1 UOE1:UOI1 UEI1:UEM1 TUM1:TUQ1 TKQ1:TKU1 TAU1:TAY1 SQY1:SRC1 SHC1:SHG1 RXG1:RXK1 RNK1:RNO1 RDO1:RDS1 QTS1:QTW1 QJW1:QKA1 QAA1:QAE1 PQE1:PQI1 PGI1:PGM1 OWM1:OWQ1 OMQ1:OMU1 OCU1:OCY1 NSY1:NTC1 NJC1:NJG1 MZG1:MZK1 MPK1:MPO1 MFO1:MFS1 LVS1:LVW1 LLW1:LMA1 LCA1:LCE1 KSE1:KSI1 KII1:KIM1 JYM1:JYQ1 JOQ1:JOU1 JEU1:JEY1 IUY1:IVC1 ILC1:ILG1 IBG1:IBK1 HRK1:HRO1 HHO1:HHS1 GXS1:GXW1 GNW1:GOA1 GEA1:GEE1 FUE1:FUI1 FKI1:FKM1 FAM1:FAQ1 EQQ1:EQU1 EGU1:EGY1 DWY1:DXC1 DNC1:DNG1 DDG1:DDK1 CTK1:CTO1 CJO1:CJS1 BZS1:BZW1 BPW1:BQA1 BGA1:BGE1 AWE1:AWI1 AMI1:AMM1 ACM1:ACQ1 SQ1:SU1 IU1:IY1" xr:uid="{F576F6DB-42AB-4365-9D50-5C5C617D0F7E}">
      <formula1>$H$2:$H$3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4</xdr:col>
                    <xdr:colOff>6350</xdr:colOff>
                    <xdr:row>4</xdr:row>
                    <xdr:rowOff>0</xdr:rowOff>
                  </from>
                  <to>
                    <xdr:col>5</xdr:col>
                    <xdr:colOff>654050</xdr:colOff>
                    <xdr:row>5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9ED0-1B40-40F8-8129-AC37538FEEA4}">
  <dimension ref="B1:O306"/>
  <sheetViews>
    <sheetView workbookViewId="0">
      <pane ySplit="6" topLeftCell="A7" activePane="bottomLeft" state="frozen"/>
      <selection pane="bottomLeft" activeCell="E31" sqref="E31"/>
    </sheetView>
  </sheetViews>
  <sheetFormatPr defaultRowHeight="14.5" x14ac:dyDescent="0.35"/>
  <cols>
    <col min="2" max="2" width="4.6328125" customWidth="1"/>
    <col min="3" max="3" width="4.08984375" customWidth="1"/>
    <col min="4" max="4" width="13.453125" customWidth="1"/>
    <col min="5" max="5" width="17.54296875" bestFit="1" customWidth="1"/>
    <col min="6" max="6" width="15" bestFit="1" customWidth="1"/>
    <col min="7" max="7" width="12.36328125" bestFit="1" customWidth="1"/>
    <col min="8" max="8" width="16.08984375" customWidth="1"/>
    <col min="9" max="9" width="16" bestFit="1" customWidth="1"/>
    <col min="10" max="10" width="25.36328125" customWidth="1"/>
    <col min="11" max="11" width="22.54296875" customWidth="1"/>
    <col min="13" max="13" width="16.453125" customWidth="1"/>
    <col min="15" max="15" width="15" customWidth="1"/>
  </cols>
  <sheetData>
    <row r="1" spans="2:13" x14ac:dyDescent="0.35">
      <c r="H1" s="197">
        <f>H3-H2</f>
        <v>0</v>
      </c>
    </row>
    <row r="2" spans="2:13" x14ac:dyDescent="0.35">
      <c r="E2" s="197"/>
      <c r="F2" s="197">
        <f>SUBTOTAL(9,F7:F306)</f>
        <v>197152741</v>
      </c>
      <c r="G2" s="197">
        <f t="shared" ref="G2:H2" si="0">SUBTOTAL(9,G7:G306)</f>
        <v>0</v>
      </c>
      <c r="H2" s="197">
        <f t="shared" si="0"/>
        <v>641580597.84069002</v>
      </c>
      <c r="I2" s="197">
        <f>SUBTOTAL(9,I7:I306)</f>
        <v>687711458.89655018</v>
      </c>
      <c r="J2" s="197">
        <f>SUBTOTAL(9,J7:J306)</f>
        <v>112218750</v>
      </c>
      <c r="K2" s="197">
        <f>SUBTOTAL(9,K7:K306)</f>
        <v>675000000</v>
      </c>
    </row>
    <row r="3" spans="2:13" x14ac:dyDescent="0.35">
      <c r="E3" s="197">
        <f>'PnL все'!B48</f>
        <v>675000000</v>
      </c>
      <c r="F3" s="197">
        <f>'PnL все'!B50</f>
        <v>197152741</v>
      </c>
      <c r="G3" s="197">
        <f>'PnL все'!B62</f>
        <v>0</v>
      </c>
      <c r="H3" s="197">
        <f>'PnL все'!B73</f>
        <v>641580597.84069002</v>
      </c>
      <c r="I3" s="197">
        <f>'PnL все'!B70</f>
        <v>687711458.89655018</v>
      </c>
      <c r="J3" s="197">
        <f>'PnL все'!B66</f>
        <v>112218750</v>
      </c>
      <c r="K3" s="197">
        <f>Credit!D2</f>
        <v>675000000</v>
      </c>
    </row>
    <row r="4" spans="2:13" x14ac:dyDescent="0.35">
      <c r="F4" s="198"/>
    </row>
    <row r="5" spans="2:13" x14ac:dyDescent="0.35">
      <c r="H5" s="201"/>
    </row>
    <row r="6" spans="2:13" x14ac:dyDescent="0.35">
      <c r="E6" s="126" t="s">
        <v>112</v>
      </c>
      <c r="F6" s="126" t="s">
        <v>114</v>
      </c>
      <c r="G6" s="126" t="s">
        <v>113</v>
      </c>
      <c r="H6" s="126" t="s">
        <v>37</v>
      </c>
      <c r="I6" s="126" t="s">
        <v>109</v>
      </c>
      <c r="J6" s="126" t="s">
        <v>110</v>
      </c>
      <c r="K6" s="126" t="s">
        <v>120</v>
      </c>
    </row>
    <row r="7" spans="2:13" x14ac:dyDescent="0.35">
      <c r="B7">
        <v>1</v>
      </c>
      <c r="C7" s="174">
        <f t="shared" ref="C7:C70" si="1">MONTH(D7)</f>
        <v>7</v>
      </c>
      <c r="D7" s="119">
        <f>DCF!D6</f>
        <v>46204</v>
      </c>
      <c r="E7" s="197"/>
      <c r="F7" s="197">
        <f>$F$3*8%</f>
        <v>15772219.280000001</v>
      </c>
      <c r="G7" s="197"/>
      <c r="H7" s="197"/>
      <c r="I7" s="197"/>
      <c r="J7" s="197">
        <f>SUMIF(Credit!$A$12:$A$371,Графики!D7,Credit!$D$12:$D$371)</f>
        <v>11812500</v>
      </c>
      <c r="K7">
        <f>SUMIF(Credit!$A$12:$A$371,Графики!D7,Credit!$C$12:$C$371)</f>
        <v>37500000</v>
      </c>
    </row>
    <row r="8" spans="2:13" x14ac:dyDescent="0.35">
      <c r="B8">
        <f t="shared" ref="B8:B71" si="2">B7+1</f>
        <v>2</v>
      </c>
      <c r="C8" s="174">
        <f t="shared" si="1"/>
        <v>8</v>
      </c>
      <c r="D8" s="119">
        <f t="shared" ref="D8:D71" si="3">EDATE(D7,1)</f>
        <v>46235</v>
      </c>
      <c r="E8" s="197"/>
      <c r="F8" s="197">
        <f t="shared" ref="F8:F17" si="4">$F$3*8%</f>
        <v>15772219.280000001</v>
      </c>
      <c r="G8" s="197"/>
      <c r="H8" s="197"/>
      <c r="I8" s="197"/>
      <c r="J8" s="197">
        <f>SUMIF(Credit!$A$12:$A$371,Графики!D8,Credit!$D$12:$D$371)</f>
        <v>11156250</v>
      </c>
      <c r="K8">
        <f>SUMIF(Credit!$A$12:$A$371,Графики!D8,Credit!$C$12:$C$371)</f>
        <v>37500000</v>
      </c>
    </row>
    <row r="9" spans="2:13" x14ac:dyDescent="0.35">
      <c r="B9">
        <f t="shared" si="2"/>
        <v>3</v>
      </c>
      <c r="C9" s="174">
        <f t="shared" si="1"/>
        <v>9</v>
      </c>
      <c r="D9" s="119">
        <f t="shared" si="3"/>
        <v>46266</v>
      </c>
      <c r="E9" s="197"/>
      <c r="F9" s="197">
        <f t="shared" si="4"/>
        <v>15772219.280000001</v>
      </c>
      <c r="G9" s="197"/>
      <c r="H9" s="197"/>
      <c r="J9" s="197">
        <f>SUMIF(Credit!$A$12:$A$371,Графики!D9,Credit!$D$12:$D$371)</f>
        <v>10500000</v>
      </c>
      <c r="K9">
        <f>SUMIF(Credit!$A$12:$A$371,Графики!D9,Credit!$C$12:$C$371)</f>
        <v>37500000</v>
      </c>
    </row>
    <row r="10" spans="2:13" x14ac:dyDescent="0.35">
      <c r="B10">
        <f t="shared" si="2"/>
        <v>4</v>
      </c>
      <c r="C10" s="174">
        <f t="shared" si="1"/>
        <v>10</v>
      </c>
      <c r="D10" s="119">
        <f t="shared" si="3"/>
        <v>46296</v>
      </c>
      <c r="E10" s="197"/>
      <c r="F10" s="197">
        <f t="shared" si="4"/>
        <v>15772219.280000001</v>
      </c>
      <c r="G10" s="197"/>
      <c r="H10" s="197"/>
      <c r="I10" s="197"/>
      <c r="J10" s="197">
        <f>SUMIF(Credit!$A$12:$A$371,Графики!D10,Credit!$D$12:$D$371)</f>
        <v>9843750</v>
      </c>
      <c r="K10">
        <f>SUMIF(Credit!$A$12:$A$371,Графики!D10,Credit!$C$12:$C$371)</f>
        <v>37500000</v>
      </c>
    </row>
    <row r="11" spans="2:13" x14ac:dyDescent="0.35">
      <c r="B11">
        <f t="shared" si="2"/>
        <v>5</v>
      </c>
      <c r="C11" s="174">
        <f t="shared" si="1"/>
        <v>11</v>
      </c>
      <c r="D11" s="119">
        <f t="shared" si="3"/>
        <v>46327</v>
      </c>
      <c r="E11" s="197"/>
      <c r="F11" s="197">
        <f t="shared" si="4"/>
        <v>15772219.280000001</v>
      </c>
      <c r="G11" s="197"/>
      <c r="H11" s="197"/>
      <c r="I11" s="197">
        <f>$I$3*5%</f>
        <v>34385572.944827512</v>
      </c>
      <c r="J11" s="197">
        <f>SUMIF(Credit!$A$12:$A$371,Графики!D11,Credit!$D$12:$D$371)</f>
        <v>9187500</v>
      </c>
      <c r="K11">
        <f>SUMIF(Credit!$A$12:$A$371,Графики!D11,Credit!$C$12:$C$371)</f>
        <v>37500000</v>
      </c>
    </row>
    <row r="12" spans="2:13" x14ac:dyDescent="0.35">
      <c r="B12">
        <f t="shared" si="2"/>
        <v>6</v>
      </c>
      <c r="C12" s="174">
        <f t="shared" si="1"/>
        <v>12</v>
      </c>
      <c r="D12" s="119">
        <f t="shared" si="3"/>
        <v>46357</v>
      </c>
      <c r="E12" s="197"/>
      <c r="F12" s="197">
        <f t="shared" si="4"/>
        <v>15772219.280000001</v>
      </c>
      <c r="G12" s="197"/>
      <c r="H12" s="197"/>
      <c r="I12" s="197"/>
      <c r="J12" s="197">
        <f>SUMIF(Credit!$A$12:$A$371,Графики!D12,Credit!$D$12:$D$371)</f>
        <v>8531250</v>
      </c>
      <c r="K12">
        <f>SUMIF(Credit!$A$12:$A$371,Графики!D12,Credit!$C$12:$C$371)</f>
        <v>37500000</v>
      </c>
    </row>
    <row r="13" spans="2:13" x14ac:dyDescent="0.35">
      <c r="B13">
        <f t="shared" si="2"/>
        <v>7</v>
      </c>
      <c r="C13" s="174">
        <f t="shared" si="1"/>
        <v>1</v>
      </c>
      <c r="D13" s="119">
        <f t="shared" si="3"/>
        <v>46388</v>
      </c>
      <c r="E13" s="197"/>
      <c r="F13" s="197">
        <f t="shared" si="4"/>
        <v>15772219.280000001</v>
      </c>
      <c r="G13" s="197"/>
      <c r="H13" s="197"/>
      <c r="I13" s="197"/>
      <c r="J13" s="197">
        <f>SUMIF(Credit!$A$12:$A$371,Графики!D13,Credit!$D$12:$D$371)</f>
        <v>7875000</v>
      </c>
      <c r="K13">
        <f>SUMIF(Credit!$A$12:$A$371,Графики!D13,Credit!$C$12:$C$371)</f>
        <v>37500000</v>
      </c>
    </row>
    <row r="14" spans="2:13" x14ac:dyDescent="0.35">
      <c r="B14">
        <f t="shared" si="2"/>
        <v>8</v>
      </c>
      <c r="C14" s="174">
        <f t="shared" si="1"/>
        <v>2</v>
      </c>
      <c r="D14" s="119">
        <f t="shared" si="3"/>
        <v>46419</v>
      </c>
      <c r="E14" s="197"/>
      <c r="F14" s="197">
        <f t="shared" si="4"/>
        <v>15772219.280000001</v>
      </c>
      <c r="G14" s="197"/>
      <c r="H14" s="197"/>
      <c r="I14" s="197">
        <f>$I$3*5%</f>
        <v>34385572.944827512</v>
      </c>
      <c r="J14" s="197">
        <f>SUMIF(Credit!$A$12:$A$371,Графики!D14,Credit!$D$12:$D$371)</f>
        <v>7218750</v>
      </c>
      <c r="K14">
        <f>SUMIF(Credit!$A$12:$A$371,Графики!D14,Credit!$C$12:$C$371)</f>
        <v>37500000</v>
      </c>
    </row>
    <row r="15" spans="2:13" x14ac:dyDescent="0.35">
      <c r="B15">
        <f t="shared" si="2"/>
        <v>9</v>
      </c>
      <c r="C15" s="174">
        <f t="shared" si="1"/>
        <v>3</v>
      </c>
      <c r="D15" s="119">
        <f t="shared" si="3"/>
        <v>46447</v>
      </c>
      <c r="E15" s="197"/>
      <c r="F15" s="197">
        <f t="shared" si="4"/>
        <v>15772219.280000001</v>
      </c>
      <c r="G15" s="197"/>
      <c r="H15" s="197"/>
      <c r="I15" s="197"/>
      <c r="J15" s="197">
        <f>SUMIF(Credit!$A$12:$A$371,Графики!D15,Credit!$D$12:$D$371)</f>
        <v>6562500</v>
      </c>
      <c r="K15">
        <f>SUMIF(Credit!$A$12:$A$371,Графики!D15,Credit!$C$12:$C$371)</f>
        <v>37500000</v>
      </c>
      <c r="M15">
        <f>100/12</f>
        <v>8.3333333333333339</v>
      </c>
    </row>
    <row r="16" spans="2:13" x14ac:dyDescent="0.35">
      <c r="B16">
        <f t="shared" si="2"/>
        <v>10</v>
      </c>
      <c r="C16" s="174">
        <f t="shared" si="1"/>
        <v>4</v>
      </c>
      <c r="D16" s="119">
        <f t="shared" si="3"/>
        <v>46478</v>
      </c>
      <c r="E16" s="197"/>
      <c r="F16" s="197">
        <f t="shared" si="4"/>
        <v>15772219.280000001</v>
      </c>
      <c r="G16" s="197"/>
      <c r="H16" s="197"/>
      <c r="I16" s="197"/>
      <c r="J16" s="197">
        <f>SUMIF(Credit!$A$12:$A$371,Графики!D16,Credit!$D$12:$D$371)</f>
        <v>5906250</v>
      </c>
      <c r="K16">
        <f>SUMIF(Credit!$A$12:$A$371,Графики!D16,Credit!$C$12:$C$371)</f>
        <v>37500000</v>
      </c>
    </row>
    <row r="17" spans="2:13" x14ac:dyDescent="0.35">
      <c r="B17">
        <f t="shared" si="2"/>
        <v>11</v>
      </c>
      <c r="C17" s="174">
        <f t="shared" si="1"/>
        <v>5</v>
      </c>
      <c r="D17" s="119">
        <f t="shared" si="3"/>
        <v>46508</v>
      </c>
      <c r="E17" s="197"/>
      <c r="F17" s="197">
        <f t="shared" si="4"/>
        <v>15772219.280000001</v>
      </c>
      <c r="G17" s="197"/>
      <c r="H17" s="197">
        <f>$H$3*20%</f>
        <v>128316119.568138</v>
      </c>
      <c r="I17" s="197">
        <f>$I$3*5%</f>
        <v>34385572.944827512</v>
      </c>
      <c r="J17" s="197">
        <f>SUMIF(Credit!$A$12:$A$371,Графики!D17,Credit!$D$12:$D$371)</f>
        <v>5250000</v>
      </c>
      <c r="K17">
        <f>SUMIF(Credit!$A$12:$A$371,Графики!D17,Credit!$C$12:$C$371)</f>
        <v>37500000</v>
      </c>
      <c r="M17">
        <f>8*11</f>
        <v>88</v>
      </c>
    </row>
    <row r="18" spans="2:13" x14ac:dyDescent="0.35">
      <c r="B18">
        <f t="shared" si="2"/>
        <v>12</v>
      </c>
      <c r="C18" s="174">
        <f t="shared" si="1"/>
        <v>6</v>
      </c>
      <c r="D18" s="119">
        <f t="shared" si="3"/>
        <v>46539</v>
      </c>
      <c r="E18" s="197"/>
      <c r="F18" s="197">
        <f>$F$3*12%</f>
        <v>23658328.919999998</v>
      </c>
      <c r="G18" s="197"/>
      <c r="I18" s="197"/>
      <c r="J18" s="197">
        <f>SUMIF(Credit!$A$12:$A$371,Графики!D18,Credit!$D$12:$D$371)</f>
        <v>4593750</v>
      </c>
      <c r="K18">
        <f>SUMIF(Credit!$A$12:$A$371,Графики!D18,Credit!$C$12:$C$371)</f>
        <v>37500000</v>
      </c>
    </row>
    <row r="19" spans="2:13" x14ac:dyDescent="0.35">
      <c r="B19">
        <f t="shared" si="2"/>
        <v>13</v>
      </c>
      <c r="C19" s="174">
        <f t="shared" si="1"/>
        <v>7</v>
      </c>
      <c r="D19" s="119">
        <f t="shared" si="3"/>
        <v>46569</v>
      </c>
      <c r="E19" s="197"/>
      <c r="F19" s="197"/>
      <c r="G19" s="197"/>
      <c r="H19" s="197" t="s">
        <v>164</v>
      </c>
      <c r="I19" s="197"/>
      <c r="J19" s="197">
        <f>SUMIF(Credit!$A$12:$A$371,Графики!D19,Credit!$D$12:$D$371)</f>
        <v>3937500</v>
      </c>
      <c r="K19">
        <f>SUMIF(Credit!$A$12:$A$371,Графики!D19,Credit!$C$12:$C$371)</f>
        <v>37500000</v>
      </c>
    </row>
    <row r="20" spans="2:13" x14ac:dyDescent="0.35">
      <c r="B20">
        <f t="shared" si="2"/>
        <v>14</v>
      </c>
      <c r="C20" s="174">
        <f t="shared" si="1"/>
        <v>8</v>
      </c>
      <c r="D20" s="119">
        <f t="shared" si="3"/>
        <v>46600</v>
      </c>
      <c r="E20" s="197"/>
      <c r="F20" s="197"/>
      <c r="G20" s="197"/>
      <c r="H20" s="197"/>
      <c r="I20" s="197">
        <f>$I$3*5%</f>
        <v>34385572.944827512</v>
      </c>
      <c r="J20" s="197">
        <f>SUMIF(Credit!$A$12:$A$371,Графики!D20,Credit!$D$12:$D$371)</f>
        <v>3281250</v>
      </c>
      <c r="K20">
        <f>SUMIF(Credit!$A$12:$A$371,Графики!D20,Credit!$C$12:$C$371)</f>
        <v>37500000</v>
      </c>
    </row>
    <row r="21" spans="2:13" x14ac:dyDescent="0.35">
      <c r="B21">
        <f t="shared" si="2"/>
        <v>15</v>
      </c>
      <c r="C21" s="174">
        <f t="shared" si="1"/>
        <v>9</v>
      </c>
      <c r="D21" s="119">
        <f t="shared" si="3"/>
        <v>46631</v>
      </c>
      <c r="E21" s="197"/>
      <c r="F21" s="197"/>
      <c r="G21" s="197"/>
      <c r="H21" s="197"/>
      <c r="I21" s="197"/>
      <c r="J21" s="197">
        <f>SUMIF(Credit!$A$12:$A$371,Графики!D21,Credit!$D$12:$D$371)</f>
        <v>2625000</v>
      </c>
      <c r="K21">
        <f>SUMIF(Credit!$A$12:$A$371,Графики!D21,Credit!$C$12:$C$371)</f>
        <v>37500000</v>
      </c>
    </row>
    <row r="22" spans="2:13" x14ac:dyDescent="0.35">
      <c r="B22">
        <f t="shared" si="2"/>
        <v>16</v>
      </c>
      <c r="C22" s="174">
        <f t="shared" si="1"/>
        <v>10</v>
      </c>
      <c r="D22" s="119">
        <f t="shared" si="3"/>
        <v>46661</v>
      </c>
      <c r="E22" s="197"/>
      <c r="F22" s="197"/>
      <c r="G22" s="197"/>
      <c r="H22" s="197"/>
      <c r="I22" s="197"/>
      <c r="J22" s="197">
        <f>SUMIF(Credit!$A$12:$A$371,Графики!D22,Credit!$D$12:$D$371)</f>
        <v>1968750</v>
      </c>
      <c r="K22">
        <f>SUMIF(Credit!$A$12:$A$371,Графики!D22,Credit!$C$12:$C$371)</f>
        <v>37500000</v>
      </c>
    </row>
    <row r="23" spans="2:13" x14ac:dyDescent="0.35">
      <c r="B23">
        <f t="shared" si="2"/>
        <v>17</v>
      </c>
      <c r="C23" s="174">
        <f t="shared" si="1"/>
        <v>11</v>
      </c>
      <c r="D23" s="119">
        <f t="shared" si="3"/>
        <v>46692</v>
      </c>
      <c r="E23" s="197"/>
      <c r="F23" s="197"/>
      <c r="G23" s="197"/>
      <c r="H23" s="197"/>
      <c r="I23" s="197">
        <f>$I$3*5%</f>
        <v>34385572.944827512</v>
      </c>
      <c r="J23" s="197">
        <f>SUMIF(Credit!$A$12:$A$371,Графики!D23,Credit!$D$12:$D$371)</f>
        <v>1312500</v>
      </c>
      <c r="K23">
        <f>SUMIF(Credit!$A$12:$A$371,Графики!D23,Credit!$C$12:$C$371)</f>
        <v>37500000</v>
      </c>
    </row>
    <row r="24" spans="2:13" x14ac:dyDescent="0.35">
      <c r="B24">
        <f t="shared" si="2"/>
        <v>18</v>
      </c>
      <c r="C24" s="174">
        <f t="shared" si="1"/>
        <v>12</v>
      </c>
      <c r="D24" s="119">
        <f t="shared" si="3"/>
        <v>46722</v>
      </c>
      <c r="E24" s="197"/>
      <c r="F24" s="197"/>
      <c r="G24" s="197"/>
      <c r="H24" s="197"/>
      <c r="I24" s="197"/>
      <c r="J24" s="197">
        <f>SUMIF(Credit!$A$12:$A$371,Графики!D24,Credit!$D$12:$D$371)</f>
        <v>656250</v>
      </c>
      <c r="K24">
        <f>SUMIF(Credit!$A$12:$A$371,Графики!D24,Credit!$C$12:$C$371)</f>
        <v>37500000</v>
      </c>
    </row>
    <row r="25" spans="2:13" x14ac:dyDescent="0.35">
      <c r="B25">
        <f t="shared" si="2"/>
        <v>19</v>
      </c>
      <c r="C25" s="174">
        <f t="shared" si="1"/>
        <v>1</v>
      </c>
      <c r="D25" s="119">
        <f t="shared" si="3"/>
        <v>46753</v>
      </c>
      <c r="E25" s="197"/>
      <c r="F25" s="197"/>
      <c r="G25" s="197"/>
      <c r="H25" s="197"/>
      <c r="I25" s="197"/>
      <c r="J25" s="197">
        <f>SUMIF(Credit!$A$12:$A$371,Графики!D25,Credit!$D$12:$D$371)</f>
        <v>0</v>
      </c>
      <c r="K25">
        <f>SUMIF(Credit!$A$12:$A$371,Графики!D25,Credit!$C$12:$C$371)</f>
        <v>0</v>
      </c>
    </row>
    <row r="26" spans="2:13" x14ac:dyDescent="0.35">
      <c r="B26">
        <f t="shared" si="2"/>
        <v>20</v>
      </c>
      <c r="C26" s="174">
        <f t="shared" si="1"/>
        <v>2</v>
      </c>
      <c r="D26" s="119">
        <f t="shared" si="3"/>
        <v>46784</v>
      </c>
      <c r="E26" s="197">
        <f>$E$3*100%</f>
        <v>675000000</v>
      </c>
      <c r="F26" s="197"/>
      <c r="G26" s="197"/>
      <c r="H26" s="197"/>
      <c r="I26" s="197">
        <f>$I$3*75%</f>
        <v>515783594.17241263</v>
      </c>
      <c r="J26" s="197">
        <f>SUMIF(Credit!$A$12:$A$371,Графики!D26,Credit!$D$12:$D$371)</f>
        <v>0</v>
      </c>
      <c r="K26">
        <f>SUMIF(Credit!$A$12:$A$371,Графики!D26,Credit!$C$12:$C$371)</f>
        <v>0</v>
      </c>
    </row>
    <row r="27" spans="2:13" x14ac:dyDescent="0.35">
      <c r="B27">
        <f t="shared" si="2"/>
        <v>21</v>
      </c>
      <c r="C27" s="174">
        <f t="shared" si="1"/>
        <v>3</v>
      </c>
      <c r="D27" s="119">
        <f t="shared" si="3"/>
        <v>46813</v>
      </c>
      <c r="E27" s="197"/>
      <c r="F27" s="197"/>
      <c r="G27" s="197"/>
      <c r="H27" s="197"/>
      <c r="I27" s="197"/>
      <c r="J27" s="197">
        <f>SUMIF(Credit!$A$12:$A$371,Графики!D27,Credit!$D$12:$D$371)</f>
        <v>0</v>
      </c>
      <c r="K27">
        <f>SUMIF(Credit!$A$12:$A$371,Графики!D27,Credit!$C$12:$C$371)</f>
        <v>0</v>
      </c>
    </row>
    <row r="28" spans="2:13" x14ac:dyDescent="0.35">
      <c r="B28">
        <f t="shared" si="2"/>
        <v>22</v>
      </c>
      <c r="C28" s="174">
        <f t="shared" si="1"/>
        <v>4</v>
      </c>
      <c r="D28" s="119">
        <f t="shared" si="3"/>
        <v>46844</v>
      </c>
      <c r="E28" s="197"/>
      <c r="F28" s="197"/>
      <c r="G28" s="197"/>
      <c r="H28" s="197"/>
      <c r="I28" s="197"/>
      <c r="J28" s="197">
        <f>SUMIF(Credit!$A$12:$A$371,Графики!D28,Credit!$D$12:$D$371)</f>
        <v>0</v>
      </c>
      <c r="K28">
        <f>SUMIF(Credit!$A$12:$A$371,Графики!D28,Credit!$C$12:$C$371)</f>
        <v>0</v>
      </c>
    </row>
    <row r="29" spans="2:13" x14ac:dyDescent="0.35">
      <c r="B29">
        <f t="shared" si="2"/>
        <v>23</v>
      </c>
      <c r="C29" s="174">
        <f t="shared" si="1"/>
        <v>5</v>
      </c>
      <c r="D29" s="119">
        <f t="shared" si="3"/>
        <v>46874</v>
      </c>
      <c r="E29" s="197"/>
      <c r="F29" s="197"/>
      <c r="G29" s="197"/>
      <c r="H29" s="197">
        <f>$H$3*80%</f>
        <v>513264478.27255201</v>
      </c>
      <c r="I29" s="197"/>
      <c r="J29" s="197">
        <f>SUMIF(Credit!$A$12:$A$371,Графики!D29,Credit!$D$12:$D$371)</f>
        <v>0</v>
      </c>
      <c r="K29">
        <f>SUMIF(Credit!$A$12:$A$371,Графики!D29,Credit!$C$12:$C$371)</f>
        <v>0</v>
      </c>
    </row>
    <row r="30" spans="2:13" x14ac:dyDescent="0.35">
      <c r="B30">
        <f t="shared" si="2"/>
        <v>24</v>
      </c>
      <c r="C30" s="174">
        <f t="shared" si="1"/>
        <v>6</v>
      </c>
      <c r="D30" s="119">
        <f t="shared" si="3"/>
        <v>46905</v>
      </c>
      <c r="E30" s="197"/>
      <c r="F30" s="197"/>
      <c r="G30" s="197">
        <f>$G$3/24</f>
        <v>0</v>
      </c>
      <c r="I30" s="197"/>
      <c r="J30" s="197">
        <f>SUMIF(Credit!$A$12:$A$371,Графики!D30,Credit!$D$12:$D$371)</f>
        <v>0</v>
      </c>
      <c r="K30">
        <f>SUMIF(Credit!$A$12:$A$371,Графики!D30,Credit!$C$12:$C$371)</f>
        <v>0</v>
      </c>
    </row>
    <row r="31" spans="2:13" x14ac:dyDescent="0.35">
      <c r="B31">
        <f t="shared" si="2"/>
        <v>25</v>
      </c>
      <c r="C31" s="174">
        <f t="shared" si="1"/>
        <v>7</v>
      </c>
      <c r="D31" s="119">
        <f t="shared" si="3"/>
        <v>46935</v>
      </c>
      <c r="E31" s="197"/>
      <c r="F31" s="197"/>
      <c r="G31" s="197">
        <f t="shared" ref="G31:G53" si="5">$G$3/24</f>
        <v>0</v>
      </c>
      <c r="H31" s="197"/>
      <c r="I31" s="197"/>
      <c r="J31" s="197">
        <f>SUMIF(Credit!$A$12:$A$371,Графики!D31,Credit!$D$12:$D$371)</f>
        <v>0</v>
      </c>
      <c r="K31">
        <f>SUMIF(Credit!$A$12:$A$371,Графики!D31,Credit!$C$12:$C$371)</f>
        <v>0</v>
      </c>
    </row>
    <row r="32" spans="2:13" x14ac:dyDescent="0.35">
      <c r="B32">
        <f t="shared" si="2"/>
        <v>26</v>
      </c>
      <c r="C32" s="174">
        <f t="shared" si="1"/>
        <v>8</v>
      </c>
      <c r="D32" s="119">
        <f t="shared" si="3"/>
        <v>46966</v>
      </c>
      <c r="E32" s="197"/>
      <c r="F32" s="197"/>
      <c r="G32" s="197">
        <f t="shared" si="5"/>
        <v>0</v>
      </c>
      <c r="H32" s="197"/>
      <c r="I32" s="197"/>
      <c r="J32" s="197">
        <f>SUMIF(Credit!$A$12:$A$371,Графики!D32,Credit!$D$12:$D$371)</f>
        <v>0</v>
      </c>
      <c r="K32">
        <f>SUMIF(Credit!$A$12:$A$371,Графики!D32,Credit!$C$12:$C$371)</f>
        <v>0</v>
      </c>
    </row>
    <row r="33" spans="2:15" x14ac:dyDescent="0.35">
      <c r="B33">
        <f t="shared" si="2"/>
        <v>27</v>
      </c>
      <c r="C33" s="174">
        <f t="shared" si="1"/>
        <v>9</v>
      </c>
      <c r="D33" s="119">
        <f t="shared" si="3"/>
        <v>46997</v>
      </c>
      <c r="F33" s="197"/>
      <c r="G33" s="197">
        <f t="shared" si="5"/>
        <v>0</v>
      </c>
      <c r="H33" s="197"/>
      <c r="I33" s="197"/>
      <c r="J33" s="197">
        <f>SUMIF(Credit!$A$12:$A$371,Графики!D33,Credit!$D$12:$D$371)</f>
        <v>0</v>
      </c>
      <c r="K33">
        <f>SUMIF(Credit!$A$12:$A$371,Графики!D33,Credit!$C$12:$C$371)</f>
        <v>0</v>
      </c>
    </row>
    <row r="34" spans="2:15" x14ac:dyDescent="0.35">
      <c r="B34">
        <f t="shared" si="2"/>
        <v>28</v>
      </c>
      <c r="C34" s="174">
        <f t="shared" si="1"/>
        <v>10</v>
      </c>
      <c r="D34" s="119">
        <f t="shared" si="3"/>
        <v>47027</v>
      </c>
      <c r="F34" s="197"/>
      <c r="G34" s="197">
        <f t="shared" si="5"/>
        <v>0</v>
      </c>
      <c r="I34" s="197"/>
      <c r="J34" s="197">
        <f>SUMIF(Credit!$A$12:$A$371,Графики!D34,Credit!$D$12:$D$371)</f>
        <v>0</v>
      </c>
      <c r="K34">
        <f>SUMIF(Credit!$A$12:$A$371,Графики!D34,Credit!$C$12:$C$371)</f>
        <v>0</v>
      </c>
    </row>
    <row r="35" spans="2:15" x14ac:dyDescent="0.35">
      <c r="B35">
        <f t="shared" si="2"/>
        <v>29</v>
      </c>
      <c r="C35" s="174">
        <f t="shared" si="1"/>
        <v>11</v>
      </c>
      <c r="D35" s="119">
        <f t="shared" si="3"/>
        <v>47058</v>
      </c>
      <c r="F35" s="197"/>
      <c r="G35" s="197">
        <f t="shared" si="5"/>
        <v>0</v>
      </c>
      <c r="H35" s="197"/>
      <c r="I35" s="197"/>
      <c r="J35" s="197">
        <f>SUMIF(Credit!$A$12:$A$371,Графики!D35,Credit!$D$12:$D$371)</f>
        <v>0</v>
      </c>
      <c r="K35">
        <f>SUMIF(Credit!$A$12:$A$371,Графики!D35,Credit!$C$12:$C$371)</f>
        <v>0</v>
      </c>
    </row>
    <row r="36" spans="2:15" x14ac:dyDescent="0.35">
      <c r="B36">
        <f t="shared" si="2"/>
        <v>30</v>
      </c>
      <c r="C36" s="174">
        <f t="shared" si="1"/>
        <v>12</v>
      </c>
      <c r="D36" s="119">
        <f t="shared" si="3"/>
        <v>47088</v>
      </c>
      <c r="F36" s="197"/>
      <c r="G36" s="197">
        <f t="shared" si="5"/>
        <v>0</v>
      </c>
      <c r="H36" s="197"/>
      <c r="I36" s="197"/>
      <c r="J36" s="197">
        <f>SUMIF(Credit!$A$12:$A$371,Графики!D36,Credit!$D$12:$D$371)</f>
        <v>0</v>
      </c>
      <c r="K36">
        <f>SUMIF(Credit!$A$12:$A$371,Графики!D36,Credit!$C$12:$C$371)</f>
        <v>0</v>
      </c>
      <c r="M36">
        <f>100/6</f>
        <v>16.666666666666668</v>
      </c>
    </row>
    <row r="37" spans="2:15" x14ac:dyDescent="0.35">
      <c r="B37">
        <f t="shared" si="2"/>
        <v>31</v>
      </c>
      <c r="C37" s="174">
        <f t="shared" si="1"/>
        <v>1</v>
      </c>
      <c r="D37" s="119">
        <f t="shared" si="3"/>
        <v>47119</v>
      </c>
      <c r="E37" s="197"/>
      <c r="F37" s="197"/>
      <c r="G37" s="197">
        <f t="shared" si="5"/>
        <v>0</v>
      </c>
      <c r="H37" s="197"/>
      <c r="I37" s="197"/>
      <c r="J37" s="197">
        <f>SUMIF(Credit!$A$12:$A$371,Графики!D37,Credit!$D$12:$D$371)</f>
        <v>0</v>
      </c>
      <c r="K37">
        <f>SUMIF(Credit!$A$12:$A$371,Графики!D37,Credit!$C$12:$C$371)</f>
        <v>0</v>
      </c>
      <c r="M37">
        <v>16.666666666666668</v>
      </c>
    </row>
    <row r="38" spans="2:15" x14ac:dyDescent="0.35">
      <c r="B38">
        <f t="shared" si="2"/>
        <v>32</v>
      </c>
      <c r="C38" s="174">
        <f t="shared" si="1"/>
        <v>2</v>
      </c>
      <c r="D38" s="119">
        <f t="shared" si="3"/>
        <v>47150</v>
      </c>
      <c r="E38" s="197"/>
      <c r="F38" s="197"/>
      <c r="G38" s="197">
        <f t="shared" si="5"/>
        <v>0</v>
      </c>
      <c r="H38" s="197"/>
      <c r="I38" s="197"/>
      <c r="J38" s="197">
        <f>SUMIF(Credit!$A$12:$A$371,Графики!D38,Credit!$D$12:$D$371)</f>
        <v>0</v>
      </c>
      <c r="K38">
        <f>SUMIF(Credit!$A$12:$A$371,Графики!D38,Credit!$C$12:$C$371)</f>
        <v>0</v>
      </c>
    </row>
    <row r="39" spans="2:15" x14ac:dyDescent="0.35">
      <c r="B39">
        <f t="shared" si="2"/>
        <v>33</v>
      </c>
      <c r="C39" s="174">
        <f t="shared" si="1"/>
        <v>3</v>
      </c>
      <c r="D39" s="119">
        <f t="shared" si="3"/>
        <v>47178</v>
      </c>
      <c r="E39" s="197"/>
      <c r="F39" s="197"/>
      <c r="G39" s="197">
        <f t="shared" si="5"/>
        <v>0</v>
      </c>
      <c r="H39" s="197"/>
      <c r="I39" s="197"/>
      <c r="J39" s="197">
        <f>SUMIF(Credit!$A$12:$A$371,Графики!D39,Credit!$D$12:$D$371)</f>
        <v>0</v>
      </c>
      <c r="K39">
        <f>SUMIF(Credit!$A$12:$A$371,Графики!D39,Credit!$C$12:$C$371)</f>
        <v>0</v>
      </c>
    </row>
    <row r="40" spans="2:15" x14ac:dyDescent="0.35">
      <c r="B40">
        <f t="shared" si="2"/>
        <v>34</v>
      </c>
      <c r="C40" s="174">
        <f t="shared" si="1"/>
        <v>4</v>
      </c>
      <c r="D40" s="119">
        <f t="shared" si="3"/>
        <v>47209</v>
      </c>
      <c r="E40" s="197"/>
      <c r="F40" s="197"/>
      <c r="G40" s="197">
        <f t="shared" si="5"/>
        <v>0</v>
      </c>
      <c r="H40" s="197"/>
      <c r="I40" s="197"/>
      <c r="J40" s="197">
        <f>SUMIF(Credit!$A$12:$A$371,Графики!D40,Credit!$D$12:$D$371)</f>
        <v>0</v>
      </c>
      <c r="K40">
        <f>SUMIF(Credit!$A$12:$A$371,Графики!D40,Credit!$C$12:$C$371)</f>
        <v>0</v>
      </c>
      <c r="M40">
        <f>16*5</f>
        <v>80</v>
      </c>
    </row>
    <row r="41" spans="2:15" x14ac:dyDescent="0.35">
      <c r="B41">
        <f t="shared" si="2"/>
        <v>35</v>
      </c>
      <c r="C41" s="174">
        <f t="shared" si="1"/>
        <v>5</v>
      </c>
      <c r="D41" s="119">
        <f t="shared" si="3"/>
        <v>47239</v>
      </c>
      <c r="E41" s="197"/>
      <c r="F41" s="197"/>
      <c r="G41" s="197">
        <f t="shared" si="5"/>
        <v>0</v>
      </c>
      <c r="H41" s="197"/>
      <c r="I41" s="197"/>
      <c r="J41" s="197">
        <f>SUMIF(Credit!$A$12:$A$371,Графики!D41,Credit!$D$12:$D$371)</f>
        <v>0</v>
      </c>
      <c r="K41">
        <f>SUMIF(Credit!$A$12:$A$371,Графики!D41,Credit!$C$12:$C$371)</f>
        <v>0</v>
      </c>
    </row>
    <row r="42" spans="2:15" x14ac:dyDescent="0.35">
      <c r="B42">
        <f t="shared" si="2"/>
        <v>36</v>
      </c>
      <c r="C42" s="174">
        <f t="shared" si="1"/>
        <v>6</v>
      </c>
      <c r="D42" s="119">
        <f t="shared" si="3"/>
        <v>47270</v>
      </c>
      <c r="E42" s="197"/>
      <c r="F42" s="197"/>
      <c r="G42" s="197">
        <f t="shared" si="5"/>
        <v>0</v>
      </c>
      <c r="H42" s="197"/>
      <c r="I42" s="197"/>
      <c r="J42" s="197">
        <f>SUMIF(Credit!$A$12:$A$371,Графики!D42,Credit!$D$12:$D$371)</f>
        <v>0</v>
      </c>
      <c r="K42">
        <f>SUMIF(Credit!$A$12:$A$371,Графики!D42,Credit!$C$12:$C$371)</f>
        <v>0</v>
      </c>
    </row>
    <row r="43" spans="2:15" x14ac:dyDescent="0.35">
      <c r="B43">
        <f t="shared" si="2"/>
        <v>37</v>
      </c>
      <c r="C43" s="174">
        <f t="shared" si="1"/>
        <v>7</v>
      </c>
      <c r="D43" s="119">
        <f t="shared" si="3"/>
        <v>47300</v>
      </c>
      <c r="F43" s="197"/>
      <c r="G43" s="197">
        <f t="shared" si="5"/>
        <v>0</v>
      </c>
      <c r="H43" s="197"/>
      <c r="I43" s="197"/>
      <c r="J43" s="197">
        <f>SUMIF(Credit!$A$12:$A$371,Графики!D43,Credit!$D$12:$D$371)</f>
        <v>0</v>
      </c>
      <c r="K43">
        <f>SUMIF(Credit!$A$12:$A$371,Графики!D43,Credit!$C$12:$C$371)</f>
        <v>0</v>
      </c>
      <c r="M43">
        <v>194756998.65517223</v>
      </c>
      <c r="O43" s="218">
        <v>182667010.33950806</v>
      </c>
    </row>
    <row r="44" spans="2:15" x14ac:dyDescent="0.35">
      <c r="B44">
        <f t="shared" si="2"/>
        <v>38</v>
      </c>
      <c r="C44" s="174">
        <f t="shared" si="1"/>
        <v>8</v>
      </c>
      <c r="D44" s="119">
        <f t="shared" si="3"/>
        <v>47331</v>
      </c>
      <c r="F44" s="197"/>
      <c r="G44" s="197">
        <f t="shared" si="5"/>
        <v>0</v>
      </c>
      <c r="H44" s="197"/>
      <c r="I44" s="197"/>
      <c r="J44" s="197">
        <f>SUMIF(Credit!$A$12:$A$371,Графики!D44,Credit!$D$12:$D$371)</f>
        <v>0</v>
      </c>
      <c r="K44">
        <f>SUMIF(Credit!$A$12:$A$371,Графики!D44,Credit!$C$12:$C$371)</f>
        <v>0</v>
      </c>
    </row>
    <row r="45" spans="2:15" x14ac:dyDescent="0.35">
      <c r="B45">
        <f t="shared" si="2"/>
        <v>39</v>
      </c>
      <c r="C45" s="174">
        <f t="shared" si="1"/>
        <v>9</v>
      </c>
      <c r="D45" s="119">
        <f t="shared" si="3"/>
        <v>47362</v>
      </c>
      <c r="F45" s="197"/>
      <c r="G45" s="197">
        <f t="shared" si="5"/>
        <v>0</v>
      </c>
      <c r="H45" s="197"/>
      <c r="I45" s="197"/>
      <c r="J45" s="197">
        <f>SUMIF(Credit!$A$12:$A$371,Графики!D45,Credit!$D$12:$D$371)</f>
        <v>0</v>
      </c>
      <c r="K45">
        <f>SUMIF(Credit!$A$12:$A$371,Графики!D45,Credit!$C$12:$C$371)</f>
        <v>0</v>
      </c>
      <c r="O45" s="218">
        <f>O43/2</f>
        <v>91333505.169754028</v>
      </c>
    </row>
    <row r="46" spans="2:15" x14ac:dyDescent="0.35">
      <c r="B46">
        <f t="shared" si="2"/>
        <v>40</v>
      </c>
      <c r="C46" s="174">
        <f t="shared" si="1"/>
        <v>10</v>
      </c>
      <c r="D46" s="119">
        <f t="shared" si="3"/>
        <v>47392</v>
      </c>
      <c r="F46" s="197"/>
      <c r="G46" s="197">
        <f t="shared" si="5"/>
        <v>0</v>
      </c>
      <c r="H46" s="212"/>
      <c r="J46" s="197">
        <f>SUMIF(Credit!$A$12:$A$371,Графики!D46,Credit!$D$12:$D$371)</f>
        <v>0</v>
      </c>
      <c r="K46">
        <f>SUMIF(Credit!$A$12:$A$371,Графики!D46,Credit!$C$12:$C$371)</f>
        <v>0</v>
      </c>
    </row>
    <row r="47" spans="2:15" x14ac:dyDescent="0.35">
      <c r="B47">
        <f t="shared" si="2"/>
        <v>41</v>
      </c>
      <c r="C47" s="174">
        <f t="shared" si="1"/>
        <v>11</v>
      </c>
      <c r="D47" s="119">
        <f t="shared" si="3"/>
        <v>47423</v>
      </c>
      <c r="F47" s="197"/>
      <c r="G47" s="197">
        <f t="shared" si="5"/>
        <v>0</v>
      </c>
      <c r="H47" s="197"/>
      <c r="I47" s="197"/>
      <c r="J47" s="197">
        <f>SUMIF(Credit!$A$12:$A$371,Графики!D47,Credit!$D$12:$D$371)</f>
        <v>0</v>
      </c>
      <c r="K47">
        <f>SUMIF(Credit!$A$12:$A$371,Графики!D47,Credit!$C$12:$C$371)</f>
        <v>0</v>
      </c>
    </row>
    <row r="48" spans="2:15" x14ac:dyDescent="0.35">
      <c r="B48">
        <f t="shared" si="2"/>
        <v>42</v>
      </c>
      <c r="C48" s="174">
        <f t="shared" si="1"/>
        <v>12</v>
      </c>
      <c r="D48" s="119">
        <f t="shared" si="3"/>
        <v>47453</v>
      </c>
      <c r="F48" s="197"/>
      <c r="G48" s="197">
        <f t="shared" si="5"/>
        <v>0</v>
      </c>
      <c r="H48" s="197"/>
      <c r="I48" s="197"/>
      <c r="J48" s="197">
        <f>SUMIF(Credit!$A$12:$A$371,Графики!D48,Credit!$D$12:$D$371)</f>
        <v>0</v>
      </c>
      <c r="K48">
        <f>SUMIF(Credit!$A$12:$A$371,Графики!D48,Credit!$C$12:$C$371)</f>
        <v>0</v>
      </c>
      <c r="M48" s="218">
        <f>I48*3</f>
        <v>0</v>
      </c>
    </row>
    <row r="49" spans="2:11" x14ac:dyDescent="0.35">
      <c r="B49">
        <f t="shared" si="2"/>
        <v>43</v>
      </c>
      <c r="C49" s="174">
        <f t="shared" si="1"/>
        <v>1</v>
      </c>
      <c r="D49" s="119">
        <f t="shared" si="3"/>
        <v>47484</v>
      </c>
      <c r="F49" s="197"/>
      <c r="G49" s="197">
        <f t="shared" si="5"/>
        <v>0</v>
      </c>
      <c r="H49" s="197"/>
      <c r="I49" s="197"/>
      <c r="J49" s="197">
        <f>SUMIF(Credit!$A$12:$A$371,Графики!D49,Credit!$D$12:$D$371)</f>
        <v>0</v>
      </c>
      <c r="K49">
        <f>SUMIF(Credit!$A$12:$A$371,Графики!D49,Credit!$C$12:$C$371)</f>
        <v>0</v>
      </c>
    </row>
    <row r="50" spans="2:11" x14ac:dyDescent="0.35">
      <c r="B50">
        <f t="shared" si="2"/>
        <v>44</v>
      </c>
      <c r="C50" s="174">
        <f t="shared" si="1"/>
        <v>2</v>
      </c>
      <c r="D50" s="119">
        <f t="shared" si="3"/>
        <v>47515</v>
      </c>
      <c r="F50" s="197"/>
      <c r="G50" s="197">
        <f t="shared" si="5"/>
        <v>0</v>
      </c>
      <c r="H50" s="197"/>
      <c r="I50" s="197"/>
      <c r="J50" s="197">
        <f>SUMIF(Credit!$A$12:$A$371,Графики!D50,Credit!$D$12:$D$371)</f>
        <v>0</v>
      </c>
      <c r="K50">
        <f>SUMIF(Credit!$A$12:$A$371,Графики!D50,Credit!$C$12:$C$371)</f>
        <v>0</v>
      </c>
    </row>
    <row r="51" spans="2:11" x14ac:dyDescent="0.35">
      <c r="B51">
        <f t="shared" si="2"/>
        <v>45</v>
      </c>
      <c r="C51" s="174">
        <f t="shared" si="1"/>
        <v>3</v>
      </c>
      <c r="D51" s="119">
        <f t="shared" si="3"/>
        <v>47543</v>
      </c>
      <c r="E51" s="197"/>
      <c r="F51" s="197"/>
      <c r="G51" s="197">
        <f t="shared" si="5"/>
        <v>0</v>
      </c>
      <c r="H51" s="197"/>
      <c r="I51" s="197"/>
      <c r="J51" s="197">
        <f>SUMIF(Credit!$A$12:$A$371,Графики!D51,Credit!$D$12:$D$371)</f>
        <v>0</v>
      </c>
      <c r="K51">
        <f>SUMIF(Credit!$A$12:$A$371,Графики!D51,Credit!$C$12:$C$371)</f>
        <v>0</v>
      </c>
    </row>
    <row r="52" spans="2:11" x14ac:dyDescent="0.35">
      <c r="B52">
        <f t="shared" si="2"/>
        <v>46</v>
      </c>
      <c r="C52" s="174">
        <f t="shared" si="1"/>
        <v>4</v>
      </c>
      <c r="D52" s="119">
        <f t="shared" si="3"/>
        <v>47574</v>
      </c>
      <c r="E52" s="197"/>
      <c r="F52" s="197"/>
      <c r="G52" s="197">
        <f t="shared" si="5"/>
        <v>0</v>
      </c>
      <c r="H52" s="197"/>
      <c r="I52" s="197"/>
      <c r="J52" s="197">
        <f>SUMIF(Credit!$A$12:$A$371,Графики!D52,Credit!$D$12:$D$371)</f>
        <v>0</v>
      </c>
      <c r="K52">
        <f>SUMIF(Credit!$A$12:$A$371,Графики!D52,Credit!$C$12:$C$371)</f>
        <v>0</v>
      </c>
    </row>
    <row r="53" spans="2:11" x14ac:dyDescent="0.35">
      <c r="B53">
        <f t="shared" si="2"/>
        <v>47</v>
      </c>
      <c r="C53" s="174">
        <f t="shared" si="1"/>
        <v>5</v>
      </c>
      <c r="D53" s="119">
        <f t="shared" si="3"/>
        <v>47604</v>
      </c>
      <c r="E53" s="197"/>
      <c r="F53" s="197"/>
      <c r="G53" s="197">
        <f t="shared" si="5"/>
        <v>0</v>
      </c>
      <c r="H53" s="197"/>
      <c r="I53" s="197"/>
      <c r="J53" s="197">
        <f>SUMIF(Credit!$A$12:$A$371,Графики!D53,Credit!$D$12:$D$371)</f>
        <v>0</v>
      </c>
      <c r="K53">
        <f>SUMIF(Credit!$A$12:$A$371,Графики!D53,Credit!$C$12:$C$371)</f>
        <v>0</v>
      </c>
    </row>
    <row r="54" spans="2:11" x14ac:dyDescent="0.35">
      <c r="B54">
        <f t="shared" si="2"/>
        <v>48</v>
      </c>
      <c r="C54" s="174">
        <f t="shared" si="1"/>
        <v>6</v>
      </c>
      <c r="D54" s="119">
        <f t="shared" si="3"/>
        <v>47635</v>
      </c>
      <c r="E54" s="197"/>
      <c r="F54" s="197"/>
      <c r="G54" s="197"/>
      <c r="H54" s="197"/>
      <c r="I54" s="197"/>
      <c r="J54" s="197">
        <f>SUMIF(Credit!$A$12:$A$371,Графики!D54,Credit!$D$12:$D$371)</f>
        <v>0</v>
      </c>
      <c r="K54">
        <f>SUMIF(Credit!$A$12:$A$371,Графики!D54,Credit!$C$12:$C$371)</f>
        <v>0</v>
      </c>
    </row>
    <row r="55" spans="2:11" x14ac:dyDescent="0.35">
      <c r="B55">
        <f t="shared" si="2"/>
        <v>49</v>
      </c>
      <c r="C55" s="174">
        <f t="shared" si="1"/>
        <v>7</v>
      </c>
      <c r="D55" s="119">
        <f t="shared" si="3"/>
        <v>47665</v>
      </c>
      <c r="F55" s="197"/>
      <c r="G55" s="197"/>
      <c r="H55" s="197"/>
      <c r="I55" s="197"/>
      <c r="J55" s="197">
        <f>SUMIF(Credit!$A$12:$A$371,Графики!D55,Credit!$D$12:$D$371)</f>
        <v>0</v>
      </c>
      <c r="K55">
        <f>SUMIF(Credit!$A$12:$A$371,Графики!D55,Credit!$C$12:$C$371)</f>
        <v>0</v>
      </c>
    </row>
    <row r="56" spans="2:11" x14ac:dyDescent="0.35">
      <c r="B56">
        <f t="shared" si="2"/>
        <v>50</v>
      </c>
      <c r="C56" s="174">
        <f t="shared" si="1"/>
        <v>8</v>
      </c>
      <c r="D56" s="119">
        <f t="shared" si="3"/>
        <v>47696</v>
      </c>
      <c r="F56" s="197"/>
      <c r="G56" s="197"/>
      <c r="H56" s="197"/>
      <c r="I56" s="197"/>
      <c r="J56" s="197">
        <f>SUMIF(Credit!$A$12:$A$371,Графики!D56,Credit!$D$12:$D$371)</f>
        <v>0</v>
      </c>
      <c r="K56">
        <f>SUMIF(Credit!$A$12:$A$371,Графики!D56,Credit!$C$12:$C$371)</f>
        <v>0</v>
      </c>
    </row>
    <row r="57" spans="2:11" x14ac:dyDescent="0.35">
      <c r="B57">
        <f t="shared" si="2"/>
        <v>51</v>
      </c>
      <c r="C57" s="174">
        <f t="shared" si="1"/>
        <v>9</v>
      </c>
      <c r="D57" s="119">
        <f t="shared" si="3"/>
        <v>47727</v>
      </c>
      <c r="F57" s="197"/>
      <c r="G57" s="197"/>
      <c r="H57" s="197"/>
      <c r="I57" s="197"/>
      <c r="J57" s="197">
        <f>SUMIF(Credit!$A$12:$A$371,Графики!D57,Credit!$D$12:$D$371)</f>
        <v>0</v>
      </c>
      <c r="K57">
        <f>SUMIF(Credit!$A$12:$A$371,Графики!D57,Credit!$C$12:$C$371)</f>
        <v>0</v>
      </c>
    </row>
    <row r="58" spans="2:11" x14ac:dyDescent="0.35">
      <c r="B58">
        <f t="shared" si="2"/>
        <v>52</v>
      </c>
      <c r="C58" s="174">
        <f t="shared" si="1"/>
        <v>10</v>
      </c>
      <c r="D58" s="119">
        <f t="shared" si="3"/>
        <v>47757</v>
      </c>
      <c r="F58" s="197"/>
      <c r="G58" s="197"/>
      <c r="H58" s="197"/>
      <c r="I58" s="197"/>
      <c r="J58" s="197">
        <f>SUMIF(Credit!$A$12:$A$371,Графики!D58,Credit!$D$12:$D$371)</f>
        <v>0</v>
      </c>
      <c r="K58">
        <f>SUMIF(Credit!$A$12:$A$371,Графики!D58,Credit!$C$12:$C$371)</f>
        <v>0</v>
      </c>
    </row>
    <row r="59" spans="2:11" x14ac:dyDescent="0.35">
      <c r="B59">
        <f t="shared" si="2"/>
        <v>53</v>
      </c>
      <c r="C59" s="174">
        <f t="shared" si="1"/>
        <v>11</v>
      </c>
      <c r="D59" s="119">
        <f t="shared" si="3"/>
        <v>47788</v>
      </c>
      <c r="F59" s="197"/>
      <c r="G59" s="197"/>
      <c r="H59" s="197"/>
      <c r="I59" s="197"/>
      <c r="J59" s="197">
        <f>SUMIF(Credit!$A$12:$A$371,Графики!D59,Credit!$D$12:$D$371)</f>
        <v>0</v>
      </c>
      <c r="K59">
        <f>SUMIF(Credit!$A$12:$A$371,Графики!D59,Credit!$C$12:$C$371)</f>
        <v>0</v>
      </c>
    </row>
    <row r="60" spans="2:11" x14ac:dyDescent="0.35">
      <c r="B60">
        <f t="shared" si="2"/>
        <v>54</v>
      </c>
      <c r="C60" s="174">
        <f t="shared" si="1"/>
        <v>12</v>
      </c>
      <c r="D60" s="119">
        <f t="shared" si="3"/>
        <v>47818</v>
      </c>
      <c r="F60" s="197"/>
      <c r="G60" s="197"/>
      <c r="H60" s="197"/>
      <c r="I60" s="197"/>
      <c r="J60" s="197">
        <f>SUMIF(Credit!$A$12:$A$371,Графики!D60,Credit!$D$12:$D$371)</f>
        <v>0</v>
      </c>
      <c r="K60">
        <f>SUMIF(Credit!$A$12:$A$371,Графики!D60,Credit!$C$12:$C$371)</f>
        <v>0</v>
      </c>
    </row>
    <row r="61" spans="2:11" x14ac:dyDescent="0.35">
      <c r="B61">
        <f t="shared" si="2"/>
        <v>55</v>
      </c>
      <c r="C61" s="174">
        <f t="shared" si="1"/>
        <v>1</v>
      </c>
      <c r="D61" s="119">
        <f t="shared" si="3"/>
        <v>47849</v>
      </c>
      <c r="E61" s="197"/>
      <c r="F61" s="197"/>
      <c r="G61" s="197"/>
      <c r="H61" s="197"/>
      <c r="I61" s="197"/>
      <c r="J61" s="197">
        <f>SUMIF(Credit!$A$12:$A$371,Графики!D61,Credit!$D$12:$D$371)</f>
        <v>0</v>
      </c>
      <c r="K61">
        <f>SUMIF(Credit!$A$12:$A$371,Графики!D61,Credit!$C$12:$C$371)</f>
        <v>0</v>
      </c>
    </row>
    <row r="62" spans="2:11" x14ac:dyDescent="0.35">
      <c r="B62">
        <f t="shared" si="2"/>
        <v>56</v>
      </c>
      <c r="C62" s="174">
        <f t="shared" si="1"/>
        <v>2</v>
      </c>
      <c r="D62" s="119">
        <f t="shared" si="3"/>
        <v>47880</v>
      </c>
      <c r="E62" s="197"/>
      <c r="F62" s="197"/>
      <c r="G62" s="197"/>
      <c r="H62" s="197"/>
      <c r="I62" s="197"/>
      <c r="J62" s="197">
        <f>SUMIF(Credit!$A$12:$A$371,Графики!D62,Credit!$D$12:$D$371)</f>
        <v>0</v>
      </c>
      <c r="K62">
        <f>SUMIF(Credit!$A$12:$A$371,Графики!D62,Credit!$C$12:$C$371)</f>
        <v>0</v>
      </c>
    </row>
    <row r="63" spans="2:11" x14ac:dyDescent="0.35">
      <c r="B63">
        <f t="shared" si="2"/>
        <v>57</v>
      </c>
      <c r="C63" s="174">
        <f t="shared" si="1"/>
        <v>3</v>
      </c>
      <c r="D63" s="119">
        <f t="shared" si="3"/>
        <v>47908</v>
      </c>
      <c r="E63" s="197"/>
      <c r="F63" s="197"/>
      <c r="G63" s="197"/>
      <c r="H63" s="197"/>
      <c r="I63" s="197"/>
      <c r="J63" s="197">
        <f>SUMIF(Credit!$A$12:$A$371,Графики!D63,Credit!$D$12:$D$371)</f>
        <v>0</v>
      </c>
      <c r="K63">
        <f>SUMIF(Credit!$A$12:$A$371,Графики!D63,Credit!$C$12:$C$371)</f>
        <v>0</v>
      </c>
    </row>
    <row r="64" spans="2:11" x14ac:dyDescent="0.35">
      <c r="B64">
        <f t="shared" si="2"/>
        <v>58</v>
      </c>
      <c r="C64" s="174">
        <f t="shared" si="1"/>
        <v>4</v>
      </c>
      <c r="D64" s="119">
        <f t="shared" si="3"/>
        <v>47939</v>
      </c>
      <c r="E64" s="197"/>
      <c r="F64" s="197"/>
      <c r="G64" s="197"/>
      <c r="H64" s="197"/>
      <c r="I64" s="197"/>
      <c r="J64" s="197">
        <f>SUMIF(Credit!$A$12:$A$371,Графики!D64,Credit!$D$12:$D$371)</f>
        <v>0</v>
      </c>
      <c r="K64">
        <f>SUMIF(Credit!$A$12:$A$371,Графики!D64,Credit!$C$12:$C$371)</f>
        <v>0</v>
      </c>
    </row>
    <row r="65" spans="2:11" x14ac:dyDescent="0.35">
      <c r="B65">
        <f t="shared" si="2"/>
        <v>59</v>
      </c>
      <c r="C65" s="174">
        <f t="shared" si="1"/>
        <v>5</v>
      </c>
      <c r="D65" s="119">
        <f t="shared" si="3"/>
        <v>47969</v>
      </c>
      <c r="E65" s="197"/>
      <c r="F65" s="197"/>
      <c r="G65" s="197"/>
      <c r="H65" s="197"/>
      <c r="I65" s="197"/>
      <c r="J65" s="197">
        <f>SUMIF(Credit!$A$12:$A$371,Графики!D65,Credit!$D$12:$D$371)</f>
        <v>0</v>
      </c>
      <c r="K65">
        <f>SUMIF(Credit!$A$12:$A$371,Графики!D65,Credit!$C$12:$C$371)</f>
        <v>0</v>
      </c>
    </row>
    <row r="66" spans="2:11" x14ac:dyDescent="0.35">
      <c r="B66">
        <f t="shared" si="2"/>
        <v>60</v>
      </c>
      <c r="C66" s="174">
        <f t="shared" si="1"/>
        <v>6</v>
      </c>
      <c r="D66" s="119">
        <f t="shared" si="3"/>
        <v>48000</v>
      </c>
      <c r="E66" s="197"/>
      <c r="F66" s="197"/>
      <c r="G66" s="197"/>
      <c r="H66" s="197"/>
      <c r="I66" s="197"/>
      <c r="J66" s="197">
        <f>SUMIF(Credit!$A$12:$A$371,Графики!D66,Credit!$D$12:$D$371)</f>
        <v>0</v>
      </c>
      <c r="K66">
        <f>SUMIF(Credit!$A$12:$A$371,Графики!D66,Credit!$C$12:$C$371)</f>
        <v>0</v>
      </c>
    </row>
    <row r="67" spans="2:11" x14ac:dyDescent="0.35">
      <c r="B67">
        <f t="shared" si="2"/>
        <v>61</v>
      </c>
      <c r="C67" s="174">
        <f t="shared" si="1"/>
        <v>7</v>
      </c>
      <c r="D67" s="119">
        <f t="shared" si="3"/>
        <v>48030</v>
      </c>
      <c r="E67" s="197"/>
      <c r="F67" s="197"/>
      <c r="G67" s="197"/>
      <c r="H67" s="197"/>
      <c r="I67" s="197"/>
      <c r="J67" s="197">
        <f>SUMIF(Credit!$A$12:$A$371,Графики!D67,Credit!$D$12:$D$371)</f>
        <v>0</v>
      </c>
      <c r="K67">
        <f>SUMIF(Credit!$A$12:$A$371,Графики!D67,Credit!$C$12:$C$371)</f>
        <v>0</v>
      </c>
    </row>
    <row r="68" spans="2:11" x14ac:dyDescent="0.35">
      <c r="B68">
        <f t="shared" si="2"/>
        <v>62</v>
      </c>
      <c r="C68" s="174">
        <f t="shared" si="1"/>
        <v>8</v>
      </c>
      <c r="D68" s="119">
        <f t="shared" si="3"/>
        <v>48061</v>
      </c>
      <c r="E68" s="197"/>
      <c r="F68" s="197"/>
      <c r="G68" s="197"/>
      <c r="H68" s="197"/>
      <c r="I68" s="197"/>
      <c r="J68" s="197">
        <f>SUMIF(Credit!$A$12:$A$371,Графики!D68,Credit!$D$12:$D$371)</f>
        <v>0</v>
      </c>
      <c r="K68">
        <f>SUMIF(Credit!$A$12:$A$371,Графики!D68,Credit!$C$12:$C$371)</f>
        <v>0</v>
      </c>
    </row>
    <row r="69" spans="2:11" x14ac:dyDescent="0.35">
      <c r="B69">
        <f t="shared" si="2"/>
        <v>63</v>
      </c>
      <c r="C69" s="174">
        <f t="shared" si="1"/>
        <v>9</v>
      </c>
      <c r="D69" s="119">
        <f t="shared" si="3"/>
        <v>48092</v>
      </c>
      <c r="E69" s="197"/>
      <c r="F69" s="197"/>
      <c r="G69" s="197"/>
      <c r="H69" s="212"/>
      <c r="I69" s="197"/>
      <c r="J69" s="197">
        <f>SUMIF(Credit!$A$12:$A$371,Графики!D69,Credit!$D$12:$D$371)</f>
        <v>0</v>
      </c>
      <c r="K69">
        <f>SUMIF(Credit!$A$12:$A$371,Графики!D69,Credit!$C$12:$C$371)</f>
        <v>0</v>
      </c>
    </row>
    <row r="70" spans="2:11" x14ac:dyDescent="0.35">
      <c r="B70">
        <f t="shared" si="2"/>
        <v>64</v>
      </c>
      <c r="C70" s="174">
        <f t="shared" si="1"/>
        <v>10</v>
      </c>
      <c r="D70" s="119">
        <f t="shared" si="3"/>
        <v>48122</v>
      </c>
      <c r="E70" s="197"/>
      <c r="F70" s="197"/>
      <c r="G70" s="197"/>
      <c r="H70" s="197"/>
      <c r="I70" s="197"/>
      <c r="J70" s="197">
        <f>SUMIF(Credit!$A$12:$A$371,Графики!D70,Credit!$D$12:$D$371)</f>
        <v>0</v>
      </c>
      <c r="K70">
        <f>SUMIF(Credit!$A$12:$A$371,Графики!D70,Credit!$C$12:$C$371)</f>
        <v>0</v>
      </c>
    </row>
    <row r="71" spans="2:11" x14ac:dyDescent="0.35">
      <c r="B71">
        <f t="shared" si="2"/>
        <v>65</v>
      </c>
      <c r="C71" s="174">
        <f t="shared" ref="C71:C134" si="6">MONTH(D71)</f>
        <v>11</v>
      </c>
      <c r="D71" s="119">
        <f t="shared" si="3"/>
        <v>48153</v>
      </c>
      <c r="E71" s="197"/>
      <c r="F71" s="197"/>
      <c r="G71" s="197"/>
      <c r="H71" s="197"/>
      <c r="I71" s="197"/>
      <c r="J71" s="197">
        <f>SUMIF(Credit!$A$12:$A$371,Графики!D71,Credit!$D$12:$D$371)</f>
        <v>0</v>
      </c>
      <c r="K71">
        <f>SUMIF(Credit!$A$12:$A$371,Графики!D71,Credit!$C$12:$C$371)</f>
        <v>0</v>
      </c>
    </row>
    <row r="72" spans="2:11" x14ac:dyDescent="0.35">
      <c r="B72">
        <f t="shared" ref="B72:B135" si="7">B71+1</f>
        <v>66</v>
      </c>
      <c r="C72" s="174">
        <f t="shared" si="6"/>
        <v>12</v>
      </c>
      <c r="D72" s="119">
        <f t="shared" ref="D72:D135" si="8">EDATE(D71,1)</f>
        <v>48183</v>
      </c>
      <c r="E72" s="197"/>
      <c r="F72" s="197"/>
      <c r="G72" s="197"/>
      <c r="H72" s="197"/>
      <c r="I72" s="197"/>
      <c r="J72" s="197">
        <f>SUMIF(Credit!$A$12:$A$371,Графики!D72,Credit!$D$12:$D$371)</f>
        <v>0</v>
      </c>
      <c r="K72">
        <f>SUMIF(Credit!$A$12:$A$371,Графики!D72,Credit!$C$12:$C$371)</f>
        <v>0</v>
      </c>
    </row>
    <row r="73" spans="2:11" x14ac:dyDescent="0.35">
      <c r="B73">
        <f t="shared" si="7"/>
        <v>67</v>
      </c>
      <c r="C73" s="174">
        <f t="shared" si="6"/>
        <v>1</v>
      </c>
      <c r="D73" s="119">
        <f t="shared" si="8"/>
        <v>48214</v>
      </c>
      <c r="E73" s="197"/>
      <c r="F73" s="197"/>
      <c r="G73" s="197"/>
      <c r="H73" s="197"/>
      <c r="I73" s="197"/>
      <c r="J73" s="197">
        <f>SUMIF(Credit!$A$12:$A$371,Графики!D73,Credit!$D$12:$D$371)</f>
        <v>0</v>
      </c>
      <c r="K73">
        <f>SUMIF(Credit!$A$12:$A$371,Графики!D73,Credit!$C$12:$C$371)</f>
        <v>0</v>
      </c>
    </row>
    <row r="74" spans="2:11" x14ac:dyDescent="0.35">
      <c r="B74">
        <f t="shared" si="7"/>
        <v>68</v>
      </c>
      <c r="C74" s="174">
        <f t="shared" si="6"/>
        <v>2</v>
      </c>
      <c r="D74" s="119">
        <f t="shared" si="8"/>
        <v>48245</v>
      </c>
      <c r="E74" s="197"/>
      <c r="F74" s="197"/>
      <c r="G74" s="197"/>
      <c r="H74" s="197"/>
      <c r="I74" s="197"/>
      <c r="J74" s="197">
        <f>SUMIF(Credit!$A$12:$A$371,Графики!D74,Credit!$D$12:$D$371)</f>
        <v>0</v>
      </c>
      <c r="K74">
        <f>SUMIF(Credit!$A$12:$A$371,Графики!D74,Credit!$C$12:$C$371)</f>
        <v>0</v>
      </c>
    </row>
    <row r="75" spans="2:11" x14ac:dyDescent="0.35">
      <c r="B75">
        <f t="shared" si="7"/>
        <v>69</v>
      </c>
      <c r="C75" s="174">
        <f t="shared" si="6"/>
        <v>3</v>
      </c>
      <c r="D75" s="119">
        <f t="shared" si="8"/>
        <v>48274</v>
      </c>
      <c r="E75" s="197"/>
      <c r="F75" s="197"/>
      <c r="G75" s="197"/>
      <c r="H75" s="197"/>
      <c r="I75" s="197"/>
      <c r="J75" s="197">
        <f>SUMIF(Credit!$A$12:$A$371,Графики!D75,Credit!$D$12:$D$371)</f>
        <v>0</v>
      </c>
      <c r="K75">
        <f>SUMIF(Credit!$A$12:$A$371,Графики!D75,Credit!$C$12:$C$371)</f>
        <v>0</v>
      </c>
    </row>
    <row r="76" spans="2:11" x14ac:dyDescent="0.35">
      <c r="B76">
        <f t="shared" si="7"/>
        <v>70</v>
      </c>
      <c r="C76" s="174">
        <f t="shared" si="6"/>
        <v>4</v>
      </c>
      <c r="D76" s="119">
        <f t="shared" si="8"/>
        <v>48305</v>
      </c>
      <c r="E76" s="197"/>
      <c r="F76" s="197"/>
      <c r="G76" s="197"/>
      <c r="H76" s="197"/>
      <c r="I76" s="197"/>
      <c r="J76" s="197">
        <f>SUMIF(Credit!$A$12:$A$371,Графики!D76,Credit!$D$12:$D$371)</f>
        <v>0</v>
      </c>
      <c r="K76">
        <f>SUMIF(Credit!$A$12:$A$371,Графики!D76,Credit!$C$12:$C$371)</f>
        <v>0</v>
      </c>
    </row>
    <row r="77" spans="2:11" x14ac:dyDescent="0.35">
      <c r="B77">
        <f t="shared" si="7"/>
        <v>71</v>
      </c>
      <c r="C77" s="174">
        <f t="shared" si="6"/>
        <v>5</v>
      </c>
      <c r="D77" s="119">
        <f t="shared" si="8"/>
        <v>48335</v>
      </c>
      <c r="E77" s="197"/>
      <c r="F77" s="197"/>
      <c r="G77" s="197"/>
      <c r="H77" s="197"/>
      <c r="I77" s="197"/>
      <c r="J77" s="197">
        <f>SUMIF(Credit!$A$12:$A$371,Графики!D77,Credit!$D$12:$D$371)</f>
        <v>0</v>
      </c>
      <c r="K77">
        <f>SUMIF(Credit!$A$12:$A$371,Графики!D77,Credit!$C$12:$C$371)</f>
        <v>0</v>
      </c>
    </row>
    <row r="78" spans="2:11" x14ac:dyDescent="0.35">
      <c r="B78">
        <f t="shared" si="7"/>
        <v>72</v>
      </c>
      <c r="C78" s="174">
        <f t="shared" si="6"/>
        <v>6</v>
      </c>
      <c r="D78" s="119">
        <f t="shared" si="8"/>
        <v>48366</v>
      </c>
      <c r="E78" s="197"/>
      <c r="F78" s="197"/>
      <c r="G78" s="197"/>
      <c r="H78" s="197"/>
      <c r="I78" s="197"/>
      <c r="J78" s="197">
        <f>SUMIF(Credit!$A$12:$A$371,Графики!D78,Credit!$D$12:$D$371)</f>
        <v>0</v>
      </c>
      <c r="K78">
        <f>SUMIF(Credit!$A$12:$A$371,Графики!D78,Credit!$C$12:$C$371)</f>
        <v>0</v>
      </c>
    </row>
    <row r="79" spans="2:11" x14ac:dyDescent="0.35">
      <c r="B79">
        <f t="shared" si="7"/>
        <v>73</v>
      </c>
      <c r="C79" s="174">
        <f t="shared" si="6"/>
        <v>7</v>
      </c>
      <c r="D79" s="119">
        <f t="shared" si="8"/>
        <v>48396</v>
      </c>
      <c r="E79" s="197"/>
      <c r="F79" s="197"/>
      <c r="G79" s="197"/>
      <c r="H79" s="197"/>
      <c r="I79" s="197"/>
      <c r="J79" s="197">
        <f>SUMIF(Credit!$A$12:$A$371,Графики!D79,Credit!$D$12:$D$371)</f>
        <v>0</v>
      </c>
      <c r="K79">
        <f>SUMIF(Credit!$A$12:$A$371,Графики!D79,Credit!$C$12:$C$371)</f>
        <v>0</v>
      </c>
    </row>
    <row r="80" spans="2:11" x14ac:dyDescent="0.35">
      <c r="B80">
        <f t="shared" si="7"/>
        <v>74</v>
      </c>
      <c r="C80" s="174">
        <f t="shared" si="6"/>
        <v>8</v>
      </c>
      <c r="D80" s="119">
        <f t="shared" si="8"/>
        <v>48427</v>
      </c>
      <c r="E80" s="197"/>
      <c r="F80" s="197"/>
      <c r="G80" s="197"/>
      <c r="H80" s="197"/>
      <c r="I80" s="197"/>
      <c r="J80" s="197">
        <f>SUMIF(Credit!$A$12:$A$371,Графики!D80,Credit!$D$12:$D$371)</f>
        <v>0</v>
      </c>
      <c r="K80">
        <f>SUMIF(Credit!$A$12:$A$371,Графики!D80,Credit!$C$12:$C$371)</f>
        <v>0</v>
      </c>
    </row>
    <row r="81" spans="2:11" x14ac:dyDescent="0.35">
      <c r="B81">
        <f t="shared" si="7"/>
        <v>75</v>
      </c>
      <c r="C81" s="174">
        <f t="shared" si="6"/>
        <v>9</v>
      </c>
      <c r="D81" s="119">
        <f t="shared" si="8"/>
        <v>48458</v>
      </c>
      <c r="E81" s="197"/>
      <c r="F81" s="197"/>
      <c r="G81" s="197"/>
      <c r="H81" s="197"/>
      <c r="I81" s="197"/>
      <c r="J81" s="197">
        <f>SUMIF(Credit!$A$12:$A$371,Графики!D81,Credit!$D$12:$D$371)</f>
        <v>0</v>
      </c>
      <c r="K81">
        <f>SUMIF(Credit!$A$12:$A$371,Графики!D81,Credit!$C$12:$C$371)</f>
        <v>0</v>
      </c>
    </row>
    <row r="82" spans="2:11" x14ac:dyDescent="0.35">
      <c r="B82">
        <f t="shared" si="7"/>
        <v>76</v>
      </c>
      <c r="C82" s="174">
        <f t="shared" si="6"/>
        <v>10</v>
      </c>
      <c r="D82" s="119">
        <f t="shared" si="8"/>
        <v>48488</v>
      </c>
      <c r="E82" s="197"/>
      <c r="F82" s="197"/>
      <c r="G82" s="197"/>
      <c r="H82" s="197"/>
      <c r="I82" s="197"/>
      <c r="J82" s="197">
        <f>SUMIF(Credit!$A$12:$A$371,Графики!D82,Credit!$D$12:$D$371)</f>
        <v>0</v>
      </c>
      <c r="K82">
        <f>SUMIF(Credit!$A$12:$A$371,Графики!D82,Credit!$C$12:$C$371)</f>
        <v>0</v>
      </c>
    </row>
    <row r="83" spans="2:11" x14ac:dyDescent="0.35">
      <c r="B83">
        <f t="shared" si="7"/>
        <v>77</v>
      </c>
      <c r="C83" s="174">
        <f t="shared" si="6"/>
        <v>11</v>
      </c>
      <c r="D83" s="119">
        <f t="shared" si="8"/>
        <v>48519</v>
      </c>
      <c r="E83" s="197"/>
      <c r="F83" s="197"/>
      <c r="G83" s="197"/>
      <c r="H83" s="197"/>
      <c r="I83" s="197"/>
      <c r="J83" s="197">
        <f>SUMIF(Credit!$A$12:$A$371,Графики!D83,Credit!$D$12:$D$371)</f>
        <v>0</v>
      </c>
      <c r="K83">
        <f>SUMIF(Credit!$A$12:$A$371,Графики!D83,Credit!$C$12:$C$371)</f>
        <v>0</v>
      </c>
    </row>
    <row r="84" spans="2:11" x14ac:dyDescent="0.35">
      <c r="B84">
        <f t="shared" si="7"/>
        <v>78</v>
      </c>
      <c r="C84" s="174">
        <f t="shared" si="6"/>
        <v>12</v>
      </c>
      <c r="D84" s="119">
        <f t="shared" si="8"/>
        <v>48549</v>
      </c>
      <c r="E84" s="197"/>
      <c r="F84" s="197"/>
      <c r="G84" s="197"/>
      <c r="H84" s="197"/>
      <c r="I84" s="197"/>
      <c r="J84" s="197">
        <f>SUMIF(Credit!$A$12:$A$371,Графики!D84,Credit!$D$12:$D$371)</f>
        <v>0</v>
      </c>
      <c r="K84">
        <f>SUMIF(Credit!$A$12:$A$371,Графики!D84,Credit!$C$12:$C$371)</f>
        <v>0</v>
      </c>
    </row>
    <row r="85" spans="2:11" x14ac:dyDescent="0.35">
      <c r="B85">
        <f t="shared" si="7"/>
        <v>79</v>
      </c>
      <c r="C85" s="174">
        <f t="shared" si="6"/>
        <v>1</v>
      </c>
      <c r="D85" s="119">
        <f t="shared" si="8"/>
        <v>48580</v>
      </c>
      <c r="E85" s="197"/>
      <c r="F85" s="197"/>
      <c r="G85" s="197"/>
      <c r="H85" s="197"/>
      <c r="I85" s="197"/>
      <c r="J85" s="197">
        <f>SUMIF(Credit!$A$12:$A$371,Графики!D85,Credit!$D$12:$D$371)</f>
        <v>0</v>
      </c>
      <c r="K85">
        <f>SUMIF(Credit!$A$12:$A$371,Графики!D85,Credit!$C$12:$C$371)</f>
        <v>0</v>
      </c>
    </row>
    <row r="86" spans="2:11" x14ac:dyDescent="0.35">
      <c r="B86">
        <f t="shared" si="7"/>
        <v>80</v>
      </c>
      <c r="C86" s="174">
        <f t="shared" si="6"/>
        <v>2</v>
      </c>
      <c r="D86" s="119">
        <f t="shared" si="8"/>
        <v>48611</v>
      </c>
      <c r="E86" s="197"/>
      <c r="F86" s="197"/>
      <c r="G86" s="197"/>
      <c r="H86" s="197"/>
      <c r="I86" s="197"/>
      <c r="J86" s="197">
        <f>SUMIF(Credit!$A$12:$A$371,Графики!D86,Credit!$D$12:$D$371)</f>
        <v>0</v>
      </c>
      <c r="K86">
        <f>SUMIF(Credit!$A$12:$A$371,Графики!D86,Credit!$C$12:$C$371)</f>
        <v>0</v>
      </c>
    </row>
    <row r="87" spans="2:11" x14ac:dyDescent="0.35">
      <c r="B87">
        <f t="shared" si="7"/>
        <v>81</v>
      </c>
      <c r="C87" s="174">
        <f t="shared" si="6"/>
        <v>3</v>
      </c>
      <c r="D87" s="119">
        <f t="shared" si="8"/>
        <v>48639</v>
      </c>
      <c r="E87" s="197"/>
      <c r="F87" s="197"/>
      <c r="G87" s="197"/>
      <c r="H87" s="197"/>
      <c r="I87" s="197"/>
      <c r="J87" s="197">
        <f>SUMIF(Credit!$A$12:$A$371,Графики!D87,Credit!$D$12:$D$371)</f>
        <v>0</v>
      </c>
      <c r="K87">
        <f>SUMIF(Credit!$A$12:$A$371,Графики!D87,Credit!$C$12:$C$371)</f>
        <v>0</v>
      </c>
    </row>
    <row r="88" spans="2:11" x14ac:dyDescent="0.35">
      <c r="B88">
        <f t="shared" si="7"/>
        <v>82</v>
      </c>
      <c r="C88" s="174">
        <f t="shared" si="6"/>
        <v>4</v>
      </c>
      <c r="D88" s="119">
        <f t="shared" si="8"/>
        <v>48670</v>
      </c>
      <c r="E88" s="197"/>
      <c r="F88" s="197"/>
      <c r="G88" s="197"/>
      <c r="H88" s="197"/>
      <c r="I88" s="197"/>
      <c r="J88" s="197">
        <f>SUMIF(Credit!$A$12:$A$371,Графики!D88,Credit!$D$12:$D$371)</f>
        <v>0</v>
      </c>
      <c r="K88">
        <f>SUMIF(Credit!$A$12:$A$371,Графики!D88,Credit!$C$12:$C$371)</f>
        <v>0</v>
      </c>
    </row>
    <row r="89" spans="2:11" x14ac:dyDescent="0.35">
      <c r="B89">
        <f t="shared" si="7"/>
        <v>83</v>
      </c>
      <c r="C89" s="174">
        <f t="shared" si="6"/>
        <v>5</v>
      </c>
      <c r="D89" s="119">
        <f t="shared" si="8"/>
        <v>48700</v>
      </c>
      <c r="E89" s="197"/>
      <c r="F89" s="197"/>
      <c r="G89" s="197"/>
      <c r="H89" s="197"/>
      <c r="I89" s="197"/>
      <c r="J89" s="197">
        <f>SUMIF(Credit!$A$12:$A$371,Графики!D89,Credit!$D$12:$D$371)</f>
        <v>0</v>
      </c>
      <c r="K89">
        <f>SUMIF(Credit!$A$12:$A$371,Графики!D89,Credit!$C$12:$C$371)</f>
        <v>0</v>
      </c>
    </row>
    <row r="90" spans="2:11" x14ac:dyDescent="0.35">
      <c r="B90">
        <f t="shared" si="7"/>
        <v>84</v>
      </c>
      <c r="C90" s="174">
        <f t="shared" si="6"/>
        <v>6</v>
      </c>
      <c r="D90" s="119">
        <f t="shared" si="8"/>
        <v>48731</v>
      </c>
      <c r="E90" s="197"/>
      <c r="F90" s="197"/>
      <c r="G90" s="197"/>
      <c r="H90" s="197"/>
      <c r="I90" s="197"/>
      <c r="J90" s="197">
        <f>SUMIF(Credit!$A$12:$A$371,Графики!D90,Credit!$D$12:$D$371)</f>
        <v>0</v>
      </c>
      <c r="K90">
        <f>SUMIF(Credit!$A$12:$A$371,Графики!D90,Credit!$C$12:$C$371)</f>
        <v>0</v>
      </c>
    </row>
    <row r="91" spans="2:11" x14ac:dyDescent="0.35">
      <c r="B91">
        <f t="shared" si="7"/>
        <v>85</v>
      </c>
      <c r="C91" s="174">
        <f t="shared" si="6"/>
        <v>7</v>
      </c>
      <c r="D91" s="119">
        <f t="shared" si="8"/>
        <v>48761</v>
      </c>
      <c r="E91" s="197"/>
      <c r="F91" s="197"/>
      <c r="G91" s="197"/>
      <c r="H91" s="197"/>
      <c r="I91" s="197"/>
      <c r="J91" s="197">
        <f>SUMIF(Credit!$A$12:$A$371,Графики!D91,Credit!$D$12:$D$371)</f>
        <v>0</v>
      </c>
      <c r="K91">
        <f>SUMIF(Credit!$A$12:$A$371,Графики!D91,Credit!$C$12:$C$371)</f>
        <v>0</v>
      </c>
    </row>
    <row r="92" spans="2:11" x14ac:dyDescent="0.35">
      <c r="B92">
        <f t="shared" si="7"/>
        <v>86</v>
      </c>
      <c r="C92" s="174">
        <f t="shared" si="6"/>
        <v>8</v>
      </c>
      <c r="D92" s="119">
        <f t="shared" si="8"/>
        <v>48792</v>
      </c>
      <c r="E92" s="197"/>
      <c r="F92" s="197"/>
      <c r="G92" s="197"/>
      <c r="H92" s="197"/>
      <c r="I92" s="197"/>
      <c r="J92" s="197">
        <f>SUMIF(Credit!$A$12:$A$371,Графики!D92,Credit!$D$12:$D$371)</f>
        <v>0</v>
      </c>
      <c r="K92">
        <f>SUMIF(Credit!$A$12:$A$371,Графики!D92,Credit!$C$12:$C$371)</f>
        <v>0</v>
      </c>
    </row>
    <row r="93" spans="2:11" x14ac:dyDescent="0.35">
      <c r="B93">
        <f t="shared" si="7"/>
        <v>87</v>
      </c>
      <c r="C93" s="174">
        <f t="shared" si="6"/>
        <v>9</v>
      </c>
      <c r="D93" s="119">
        <f t="shared" si="8"/>
        <v>48823</v>
      </c>
      <c r="E93" s="197"/>
      <c r="F93" s="197"/>
      <c r="G93" s="197"/>
      <c r="H93" s="197"/>
      <c r="I93" s="197"/>
      <c r="J93" s="197">
        <f>SUMIF(Credit!$A$12:$A$371,Графики!D93,Credit!$D$12:$D$371)</f>
        <v>0</v>
      </c>
      <c r="K93">
        <f>SUMIF(Credit!$A$12:$A$371,Графики!D93,Credit!$C$12:$C$371)</f>
        <v>0</v>
      </c>
    </row>
    <row r="94" spans="2:11" x14ac:dyDescent="0.35">
      <c r="B94">
        <f t="shared" si="7"/>
        <v>88</v>
      </c>
      <c r="C94" s="174">
        <f t="shared" si="6"/>
        <v>10</v>
      </c>
      <c r="D94" s="119">
        <f t="shared" si="8"/>
        <v>48853</v>
      </c>
      <c r="E94" s="197"/>
      <c r="F94" s="197"/>
      <c r="G94" s="197"/>
      <c r="H94" s="197"/>
      <c r="I94" s="197"/>
      <c r="J94" s="197">
        <f>SUMIF(Credit!$A$12:$A$371,Графики!D94,Credit!$D$12:$D$371)</f>
        <v>0</v>
      </c>
      <c r="K94">
        <f>SUMIF(Credit!$A$12:$A$371,Графики!D94,Credit!$C$12:$C$371)</f>
        <v>0</v>
      </c>
    </row>
    <row r="95" spans="2:11" x14ac:dyDescent="0.35">
      <c r="B95">
        <f t="shared" si="7"/>
        <v>89</v>
      </c>
      <c r="C95" s="174">
        <f t="shared" si="6"/>
        <v>11</v>
      </c>
      <c r="D95" s="119">
        <f t="shared" si="8"/>
        <v>48884</v>
      </c>
      <c r="E95" s="197"/>
      <c r="F95" s="197"/>
      <c r="G95" s="197"/>
      <c r="H95" s="197"/>
      <c r="I95" s="197"/>
      <c r="J95" s="197">
        <f>SUMIF(Credit!$A$12:$A$371,Графики!D95,Credit!$D$12:$D$371)</f>
        <v>0</v>
      </c>
      <c r="K95">
        <f>SUMIF(Credit!$A$12:$A$371,Графики!D95,Credit!$C$12:$C$371)</f>
        <v>0</v>
      </c>
    </row>
    <row r="96" spans="2:11" x14ac:dyDescent="0.35">
      <c r="B96">
        <f t="shared" si="7"/>
        <v>90</v>
      </c>
      <c r="C96" s="174">
        <f t="shared" si="6"/>
        <v>12</v>
      </c>
      <c r="D96" s="119">
        <f t="shared" si="8"/>
        <v>48914</v>
      </c>
      <c r="E96" s="197"/>
      <c r="F96" s="197"/>
      <c r="G96" s="197"/>
      <c r="H96" s="197"/>
      <c r="I96" s="197"/>
      <c r="J96" s="197">
        <f>SUMIF(Credit!$A$12:$A$371,Графики!D96,Credit!$D$12:$D$371)</f>
        <v>0</v>
      </c>
      <c r="K96">
        <f>SUMIF(Credit!$A$12:$A$371,Графики!D96,Credit!$C$12:$C$371)</f>
        <v>0</v>
      </c>
    </row>
    <row r="97" spans="2:11" x14ac:dyDescent="0.35">
      <c r="B97">
        <f t="shared" si="7"/>
        <v>91</v>
      </c>
      <c r="C97" s="174">
        <f t="shared" si="6"/>
        <v>1</v>
      </c>
      <c r="D97" s="119">
        <f t="shared" si="8"/>
        <v>48945</v>
      </c>
      <c r="E97" s="197"/>
      <c r="F97" s="197"/>
      <c r="G97" s="197"/>
      <c r="H97" s="197"/>
      <c r="I97" s="197"/>
      <c r="J97" s="197">
        <f>SUMIF(Credit!$A$12:$A$371,Графики!D97,Credit!$D$12:$D$371)</f>
        <v>0</v>
      </c>
      <c r="K97">
        <f>SUMIF(Credit!$A$12:$A$371,Графики!D97,Credit!$C$12:$C$371)</f>
        <v>0</v>
      </c>
    </row>
    <row r="98" spans="2:11" x14ac:dyDescent="0.35">
      <c r="B98">
        <f t="shared" si="7"/>
        <v>92</v>
      </c>
      <c r="C98" s="174">
        <f t="shared" si="6"/>
        <v>2</v>
      </c>
      <c r="D98" s="119">
        <f t="shared" si="8"/>
        <v>48976</v>
      </c>
      <c r="E98" s="197"/>
      <c r="F98" s="197"/>
      <c r="G98" s="197"/>
      <c r="H98" s="197"/>
      <c r="I98" s="197"/>
      <c r="J98" s="197">
        <f>SUMIF(Credit!$A$12:$A$371,Графики!D98,Credit!$D$12:$D$371)</f>
        <v>0</v>
      </c>
      <c r="K98">
        <f>SUMIF(Credit!$A$12:$A$371,Графики!D98,Credit!$C$12:$C$371)</f>
        <v>0</v>
      </c>
    </row>
    <row r="99" spans="2:11" x14ac:dyDescent="0.35">
      <c r="B99">
        <f t="shared" si="7"/>
        <v>93</v>
      </c>
      <c r="C99" s="174">
        <f t="shared" si="6"/>
        <v>3</v>
      </c>
      <c r="D99" s="119">
        <f t="shared" si="8"/>
        <v>49004</v>
      </c>
      <c r="E99" s="197"/>
      <c r="F99" s="197"/>
      <c r="G99" s="197"/>
      <c r="H99" s="197"/>
      <c r="I99" s="197"/>
      <c r="J99" s="197">
        <f>SUMIF(Credit!$A$12:$A$371,Графики!D99,Credit!$D$12:$D$371)</f>
        <v>0</v>
      </c>
      <c r="K99">
        <f>SUMIF(Credit!$A$12:$A$371,Графики!D99,Credit!$C$12:$C$371)</f>
        <v>0</v>
      </c>
    </row>
    <row r="100" spans="2:11" x14ac:dyDescent="0.35">
      <c r="B100">
        <f t="shared" si="7"/>
        <v>94</v>
      </c>
      <c r="C100" s="174">
        <f t="shared" si="6"/>
        <v>4</v>
      </c>
      <c r="D100" s="119">
        <f t="shared" si="8"/>
        <v>49035</v>
      </c>
      <c r="E100" s="197"/>
      <c r="F100" s="197"/>
      <c r="G100" s="197"/>
      <c r="H100" s="197"/>
      <c r="I100" s="197"/>
      <c r="J100" s="197">
        <f>SUMIF(Credit!$A$12:$A$371,Графики!D100,Credit!$D$12:$D$371)</f>
        <v>0</v>
      </c>
      <c r="K100">
        <f>SUMIF(Credit!$A$12:$A$371,Графики!D100,Credit!$C$12:$C$371)</f>
        <v>0</v>
      </c>
    </row>
    <row r="101" spans="2:11" x14ac:dyDescent="0.35">
      <c r="B101">
        <f t="shared" si="7"/>
        <v>95</v>
      </c>
      <c r="C101" s="174">
        <f t="shared" si="6"/>
        <v>5</v>
      </c>
      <c r="D101" s="119">
        <f t="shared" si="8"/>
        <v>49065</v>
      </c>
      <c r="E101" s="197"/>
      <c r="F101" s="197"/>
      <c r="G101" s="197"/>
      <c r="H101" s="197"/>
      <c r="I101" s="197"/>
      <c r="J101" s="197">
        <f>SUMIF(Credit!$A$12:$A$371,Графики!D101,Credit!$D$12:$D$371)</f>
        <v>0</v>
      </c>
      <c r="K101">
        <f>SUMIF(Credit!$A$12:$A$371,Графики!D101,Credit!$C$12:$C$371)</f>
        <v>0</v>
      </c>
    </row>
    <row r="102" spans="2:11" x14ac:dyDescent="0.35">
      <c r="B102">
        <f t="shared" si="7"/>
        <v>96</v>
      </c>
      <c r="C102" s="174">
        <f t="shared" si="6"/>
        <v>6</v>
      </c>
      <c r="D102" s="119">
        <f t="shared" si="8"/>
        <v>49096</v>
      </c>
      <c r="E102" s="197"/>
      <c r="F102" s="197"/>
      <c r="G102" s="197"/>
      <c r="H102" s="197"/>
      <c r="I102" s="197"/>
      <c r="J102" s="197">
        <f>SUMIF(Credit!$A$12:$A$371,Графики!D102,Credit!$D$12:$D$371)</f>
        <v>0</v>
      </c>
      <c r="K102">
        <f>SUMIF(Credit!$A$12:$A$371,Графики!D102,Credit!$C$12:$C$371)</f>
        <v>0</v>
      </c>
    </row>
    <row r="103" spans="2:11" x14ac:dyDescent="0.35">
      <c r="B103">
        <f t="shared" si="7"/>
        <v>97</v>
      </c>
      <c r="C103" s="174">
        <f t="shared" si="6"/>
        <v>7</v>
      </c>
      <c r="D103" s="119">
        <f t="shared" si="8"/>
        <v>49126</v>
      </c>
      <c r="E103" s="197"/>
      <c r="F103" s="197"/>
      <c r="G103" s="197"/>
      <c r="H103" s="197"/>
      <c r="I103" s="197"/>
      <c r="J103" s="197">
        <f>SUMIF(Credit!$A$12:$A$371,Графики!D103,Credit!$D$12:$D$371)</f>
        <v>0</v>
      </c>
      <c r="K103">
        <f>SUMIF(Credit!$A$12:$A$371,Графики!D103,Credit!$C$12:$C$371)</f>
        <v>0</v>
      </c>
    </row>
    <row r="104" spans="2:11" x14ac:dyDescent="0.35">
      <c r="B104">
        <f t="shared" si="7"/>
        <v>98</v>
      </c>
      <c r="C104" s="174">
        <f t="shared" si="6"/>
        <v>8</v>
      </c>
      <c r="D104" s="119">
        <f t="shared" si="8"/>
        <v>49157</v>
      </c>
      <c r="E104" s="197"/>
      <c r="F104" s="197"/>
      <c r="G104" s="197"/>
      <c r="H104" s="197"/>
      <c r="I104" s="197"/>
      <c r="J104" s="197">
        <f>SUMIF(Credit!$A$12:$A$371,Графики!D104,Credit!$D$12:$D$371)</f>
        <v>0</v>
      </c>
      <c r="K104">
        <f>SUMIF(Credit!$A$12:$A$371,Графики!D104,Credit!$C$12:$C$371)</f>
        <v>0</v>
      </c>
    </row>
    <row r="105" spans="2:11" x14ac:dyDescent="0.35">
      <c r="B105">
        <f t="shared" si="7"/>
        <v>99</v>
      </c>
      <c r="C105" s="174">
        <f t="shared" si="6"/>
        <v>9</v>
      </c>
      <c r="D105" s="119">
        <f t="shared" si="8"/>
        <v>49188</v>
      </c>
      <c r="E105" s="197"/>
      <c r="F105" s="197"/>
      <c r="G105" s="197"/>
      <c r="H105" s="197"/>
      <c r="I105" s="197"/>
      <c r="J105" s="197">
        <f>SUMIF(Credit!$A$12:$A$371,Графики!D105,Credit!$D$12:$D$371)</f>
        <v>0</v>
      </c>
      <c r="K105">
        <f>SUMIF(Credit!$A$12:$A$371,Графики!D105,Credit!$C$12:$C$371)</f>
        <v>0</v>
      </c>
    </row>
    <row r="106" spans="2:11" x14ac:dyDescent="0.35">
      <c r="B106">
        <f t="shared" si="7"/>
        <v>100</v>
      </c>
      <c r="C106" s="174">
        <f t="shared" si="6"/>
        <v>10</v>
      </c>
      <c r="D106" s="119">
        <f t="shared" si="8"/>
        <v>49218</v>
      </c>
      <c r="E106" s="197"/>
      <c r="F106" s="197"/>
      <c r="G106" s="197"/>
      <c r="H106" s="197"/>
      <c r="I106" s="197"/>
      <c r="J106" s="197">
        <f>SUMIF(Credit!$A$12:$A$371,Графики!D106,Credit!$D$12:$D$371)</f>
        <v>0</v>
      </c>
      <c r="K106">
        <f>SUMIF(Credit!$A$12:$A$371,Графики!D106,Credit!$C$12:$C$371)</f>
        <v>0</v>
      </c>
    </row>
    <row r="107" spans="2:11" x14ac:dyDescent="0.35">
      <c r="B107">
        <f t="shared" si="7"/>
        <v>101</v>
      </c>
      <c r="C107" s="174">
        <f t="shared" si="6"/>
        <v>11</v>
      </c>
      <c r="D107" s="119">
        <f t="shared" si="8"/>
        <v>49249</v>
      </c>
      <c r="E107" s="197"/>
      <c r="F107" s="197"/>
      <c r="G107" s="197"/>
      <c r="H107" s="197"/>
      <c r="I107" s="197"/>
      <c r="J107" s="197">
        <f>SUMIF(Credit!$A$12:$A$371,Графики!D107,Credit!$D$12:$D$371)</f>
        <v>0</v>
      </c>
      <c r="K107">
        <f>SUMIF(Credit!$A$12:$A$371,Графики!D107,Credit!$C$12:$C$371)</f>
        <v>0</v>
      </c>
    </row>
    <row r="108" spans="2:11" x14ac:dyDescent="0.35">
      <c r="B108">
        <f t="shared" si="7"/>
        <v>102</v>
      </c>
      <c r="C108" s="174">
        <f t="shared" si="6"/>
        <v>12</v>
      </c>
      <c r="D108" s="119">
        <f t="shared" si="8"/>
        <v>49279</v>
      </c>
      <c r="E108" s="197"/>
      <c r="F108" s="197"/>
      <c r="G108" s="197"/>
      <c r="H108" s="197"/>
      <c r="I108" s="197"/>
      <c r="J108" s="197">
        <f>SUMIF(Credit!$A$12:$A$371,Графики!D108,Credit!$D$12:$D$371)</f>
        <v>0</v>
      </c>
      <c r="K108">
        <f>SUMIF(Credit!$A$12:$A$371,Графики!D108,Credit!$C$12:$C$371)</f>
        <v>0</v>
      </c>
    </row>
    <row r="109" spans="2:11" x14ac:dyDescent="0.35">
      <c r="B109">
        <f t="shared" si="7"/>
        <v>103</v>
      </c>
      <c r="C109" s="174">
        <f t="shared" si="6"/>
        <v>1</v>
      </c>
      <c r="D109" s="119">
        <f t="shared" si="8"/>
        <v>49310</v>
      </c>
      <c r="E109" s="197"/>
      <c r="F109" s="197"/>
      <c r="G109" s="197"/>
      <c r="H109" s="197"/>
      <c r="I109" s="197"/>
      <c r="J109" s="197">
        <f>SUMIF(Credit!$A$12:$A$371,Графики!D109,Credit!$D$12:$D$371)</f>
        <v>0</v>
      </c>
      <c r="K109">
        <f>SUMIF(Credit!$A$12:$A$371,Графики!D109,Credit!$C$12:$C$371)</f>
        <v>0</v>
      </c>
    </row>
    <row r="110" spans="2:11" x14ac:dyDescent="0.35">
      <c r="B110">
        <f t="shared" si="7"/>
        <v>104</v>
      </c>
      <c r="C110" s="174">
        <f t="shared" si="6"/>
        <v>2</v>
      </c>
      <c r="D110" s="119">
        <f t="shared" si="8"/>
        <v>49341</v>
      </c>
      <c r="E110" s="197"/>
      <c r="F110" s="197"/>
      <c r="G110" s="197"/>
      <c r="H110" s="197"/>
      <c r="I110" s="197"/>
      <c r="J110" s="197">
        <f>SUMIF(Credit!$A$12:$A$371,Графики!D110,Credit!$D$12:$D$371)</f>
        <v>0</v>
      </c>
      <c r="K110">
        <f>SUMIF(Credit!$A$12:$A$371,Графики!D110,Credit!$C$12:$C$371)</f>
        <v>0</v>
      </c>
    </row>
    <row r="111" spans="2:11" x14ac:dyDescent="0.35">
      <c r="B111">
        <f t="shared" si="7"/>
        <v>105</v>
      </c>
      <c r="C111" s="174">
        <f t="shared" si="6"/>
        <v>3</v>
      </c>
      <c r="D111" s="119">
        <f t="shared" si="8"/>
        <v>49369</v>
      </c>
      <c r="E111" s="197"/>
      <c r="F111" s="197"/>
      <c r="G111" s="197"/>
      <c r="H111" s="197"/>
      <c r="I111" s="197"/>
      <c r="J111" s="197">
        <f>SUMIF(Credit!$A$12:$A$371,Графики!D111,Credit!$D$12:$D$371)</f>
        <v>0</v>
      </c>
      <c r="K111">
        <f>SUMIF(Credit!$A$12:$A$371,Графики!D111,Credit!$C$12:$C$371)</f>
        <v>0</v>
      </c>
    </row>
    <row r="112" spans="2:11" x14ac:dyDescent="0.35">
      <c r="B112">
        <f t="shared" si="7"/>
        <v>106</v>
      </c>
      <c r="C112" s="174">
        <f t="shared" si="6"/>
        <v>4</v>
      </c>
      <c r="D112" s="119">
        <f t="shared" si="8"/>
        <v>49400</v>
      </c>
      <c r="E112" s="197"/>
      <c r="F112" s="197"/>
      <c r="G112" s="197"/>
      <c r="H112" s="197"/>
      <c r="I112" s="197"/>
      <c r="J112" s="197">
        <f>SUMIF(Credit!$A$12:$A$371,Графики!D112,Credit!$D$12:$D$371)</f>
        <v>0</v>
      </c>
      <c r="K112">
        <f>SUMIF(Credit!$A$12:$A$371,Графики!D112,Credit!$C$12:$C$371)</f>
        <v>0</v>
      </c>
    </row>
    <row r="113" spans="2:11" x14ac:dyDescent="0.35">
      <c r="B113">
        <f t="shared" si="7"/>
        <v>107</v>
      </c>
      <c r="C113" s="174">
        <f t="shared" si="6"/>
        <v>5</v>
      </c>
      <c r="D113" s="119">
        <f t="shared" si="8"/>
        <v>49430</v>
      </c>
      <c r="E113" s="197"/>
      <c r="F113" s="197"/>
      <c r="G113" s="197"/>
      <c r="H113" s="197"/>
      <c r="I113" s="197"/>
      <c r="J113" s="197">
        <f>SUMIF(Credit!$A$12:$A$371,Графики!D113,Credit!$D$12:$D$371)</f>
        <v>0</v>
      </c>
      <c r="K113">
        <f>SUMIF(Credit!$A$12:$A$371,Графики!D113,Credit!$C$12:$C$371)</f>
        <v>0</v>
      </c>
    </row>
    <row r="114" spans="2:11" x14ac:dyDescent="0.35">
      <c r="B114">
        <f t="shared" si="7"/>
        <v>108</v>
      </c>
      <c r="C114" s="174">
        <f t="shared" si="6"/>
        <v>6</v>
      </c>
      <c r="D114" s="119">
        <f t="shared" si="8"/>
        <v>49461</v>
      </c>
      <c r="E114" s="197"/>
      <c r="F114" s="197"/>
      <c r="G114" s="197"/>
      <c r="H114" s="197"/>
      <c r="I114" s="197"/>
      <c r="J114" s="197">
        <f>SUMIF(Credit!$A$12:$A$371,Графики!D114,Credit!$D$12:$D$371)</f>
        <v>0</v>
      </c>
      <c r="K114">
        <f>SUMIF(Credit!$A$12:$A$371,Графики!D114,Credit!$C$12:$C$371)</f>
        <v>0</v>
      </c>
    </row>
    <row r="115" spans="2:11" x14ac:dyDescent="0.35">
      <c r="B115">
        <f t="shared" si="7"/>
        <v>109</v>
      </c>
      <c r="C115" s="174">
        <f t="shared" si="6"/>
        <v>7</v>
      </c>
      <c r="D115" s="119">
        <f t="shared" si="8"/>
        <v>49491</v>
      </c>
      <c r="E115" s="197"/>
      <c r="F115" s="197"/>
      <c r="G115" s="197"/>
      <c r="H115" s="197"/>
      <c r="I115" s="197"/>
      <c r="J115" s="197">
        <f>SUMIF(Credit!$A$12:$A$371,Графики!D115,Credit!$D$12:$D$371)</f>
        <v>0</v>
      </c>
      <c r="K115">
        <f>SUMIF(Credit!$A$12:$A$371,Графики!D115,Credit!$C$12:$C$371)</f>
        <v>0</v>
      </c>
    </row>
    <row r="116" spans="2:11" x14ac:dyDescent="0.35">
      <c r="B116">
        <f t="shared" si="7"/>
        <v>110</v>
      </c>
      <c r="C116" s="174">
        <f t="shared" si="6"/>
        <v>8</v>
      </c>
      <c r="D116" s="119">
        <f t="shared" si="8"/>
        <v>49522</v>
      </c>
      <c r="E116" s="197"/>
      <c r="F116" s="197"/>
      <c r="G116" s="197"/>
      <c r="H116" s="197"/>
      <c r="I116" s="197"/>
      <c r="J116" s="197">
        <f>SUMIF(Credit!$A$12:$A$371,Графики!D116,Credit!$D$12:$D$371)</f>
        <v>0</v>
      </c>
      <c r="K116">
        <f>SUMIF(Credit!$A$12:$A$371,Графики!D116,Credit!$C$12:$C$371)</f>
        <v>0</v>
      </c>
    </row>
    <row r="117" spans="2:11" x14ac:dyDescent="0.35">
      <c r="B117">
        <f t="shared" si="7"/>
        <v>111</v>
      </c>
      <c r="C117" s="174">
        <f t="shared" si="6"/>
        <v>9</v>
      </c>
      <c r="D117" s="119">
        <f t="shared" si="8"/>
        <v>49553</v>
      </c>
      <c r="E117" s="197"/>
      <c r="F117" s="197"/>
      <c r="G117" s="197"/>
      <c r="H117" s="197"/>
      <c r="I117" s="197"/>
      <c r="J117" s="197">
        <f>SUMIF(Credit!$A$12:$A$371,Графики!D117,Credit!$D$12:$D$371)</f>
        <v>0</v>
      </c>
      <c r="K117">
        <f>SUMIF(Credit!$A$12:$A$371,Графики!D117,Credit!$C$12:$C$371)</f>
        <v>0</v>
      </c>
    </row>
    <row r="118" spans="2:11" x14ac:dyDescent="0.35">
      <c r="B118">
        <f t="shared" si="7"/>
        <v>112</v>
      </c>
      <c r="C118" s="174">
        <f t="shared" si="6"/>
        <v>10</v>
      </c>
      <c r="D118" s="119">
        <f t="shared" si="8"/>
        <v>49583</v>
      </c>
      <c r="E118" s="197"/>
      <c r="F118" s="197"/>
      <c r="G118" s="197"/>
      <c r="H118" s="197"/>
      <c r="I118" s="197"/>
      <c r="J118" s="197">
        <f>SUMIF(Credit!$A$12:$A$371,Графики!D118,Credit!$D$12:$D$371)</f>
        <v>0</v>
      </c>
      <c r="K118">
        <f>SUMIF(Credit!$A$12:$A$371,Графики!D118,Credit!$C$12:$C$371)</f>
        <v>0</v>
      </c>
    </row>
    <row r="119" spans="2:11" x14ac:dyDescent="0.35">
      <c r="B119">
        <f t="shared" si="7"/>
        <v>113</v>
      </c>
      <c r="C119" s="174">
        <f t="shared" si="6"/>
        <v>11</v>
      </c>
      <c r="D119" s="119">
        <f t="shared" si="8"/>
        <v>49614</v>
      </c>
      <c r="E119" s="197"/>
      <c r="F119" s="197"/>
      <c r="G119" s="197"/>
      <c r="H119" s="197"/>
      <c r="I119" s="197"/>
      <c r="J119" s="197">
        <f>SUMIF(Credit!$A$12:$A$371,Графики!D119,Credit!$D$12:$D$371)</f>
        <v>0</v>
      </c>
      <c r="K119">
        <f>SUMIF(Credit!$A$12:$A$371,Графики!D119,Credit!$C$12:$C$371)</f>
        <v>0</v>
      </c>
    </row>
    <row r="120" spans="2:11" x14ac:dyDescent="0.35">
      <c r="B120">
        <f t="shared" si="7"/>
        <v>114</v>
      </c>
      <c r="C120" s="174">
        <f t="shared" si="6"/>
        <v>12</v>
      </c>
      <c r="D120" s="119">
        <f t="shared" si="8"/>
        <v>49644</v>
      </c>
      <c r="E120" s="197"/>
      <c r="F120" s="197"/>
      <c r="G120" s="197"/>
      <c r="H120" s="197"/>
      <c r="I120" s="197"/>
      <c r="J120" s="197">
        <f>SUMIF(Credit!$A$12:$A$371,Графики!D120,Credit!$D$12:$D$371)</f>
        <v>0</v>
      </c>
      <c r="K120">
        <f>SUMIF(Credit!$A$12:$A$371,Графики!D120,Credit!$C$12:$C$371)</f>
        <v>0</v>
      </c>
    </row>
    <row r="121" spans="2:11" x14ac:dyDescent="0.35">
      <c r="B121">
        <f t="shared" si="7"/>
        <v>115</v>
      </c>
      <c r="C121" s="174">
        <f t="shared" si="6"/>
        <v>1</v>
      </c>
      <c r="D121" s="119">
        <f t="shared" si="8"/>
        <v>49675</v>
      </c>
      <c r="E121" s="197"/>
      <c r="F121" s="197"/>
      <c r="G121" s="197"/>
      <c r="H121" s="197"/>
      <c r="I121" s="197"/>
      <c r="J121" s="197">
        <f>SUMIF(Credit!$A$12:$A$371,Графики!D121,Credit!$D$12:$D$371)</f>
        <v>0</v>
      </c>
      <c r="K121">
        <f>SUMIF(Credit!$A$12:$A$371,Графики!D121,Credit!$C$12:$C$371)</f>
        <v>0</v>
      </c>
    </row>
    <row r="122" spans="2:11" x14ac:dyDescent="0.35">
      <c r="B122">
        <f t="shared" si="7"/>
        <v>116</v>
      </c>
      <c r="C122" s="174">
        <f t="shared" si="6"/>
        <v>2</v>
      </c>
      <c r="D122" s="119">
        <f t="shared" si="8"/>
        <v>49706</v>
      </c>
      <c r="E122" s="197"/>
      <c r="F122" s="197"/>
      <c r="G122" s="197"/>
      <c r="H122" s="197"/>
      <c r="I122" s="197"/>
      <c r="J122" s="197">
        <f>SUMIF(Credit!$A$12:$A$371,Графики!D122,Credit!$D$12:$D$371)</f>
        <v>0</v>
      </c>
      <c r="K122">
        <f>SUMIF(Credit!$A$12:$A$371,Графики!D122,Credit!$C$12:$C$371)</f>
        <v>0</v>
      </c>
    </row>
    <row r="123" spans="2:11" x14ac:dyDescent="0.35">
      <c r="B123">
        <f t="shared" si="7"/>
        <v>117</v>
      </c>
      <c r="C123" s="174">
        <f t="shared" si="6"/>
        <v>3</v>
      </c>
      <c r="D123" s="119">
        <f t="shared" si="8"/>
        <v>49735</v>
      </c>
      <c r="E123" s="197"/>
      <c r="F123" s="197"/>
      <c r="G123" s="197"/>
      <c r="H123" s="197"/>
      <c r="I123" s="197"/>
      <c r="J123" s="197">
        <f>SUMIF(Credit!$A$12:$A$371,Графики!D123,Credit!$D$12:$D$371)</f>
        <v>0</v>
      </c>
      <c r="K123">
        <f>SUMIF(Credit!$A$12:$A$371,Графики!D123,Credit!$C$12:$C$371)</f>
        <v>0</v>
      </c>
    </row>
    <row r="124" spans="2:11" x14ac:dyDescent="0.35">
      <c r="B124">
        <f t="shared" si="7"/>
        <v>118</v>
      </c>
      <c r="C124" s="174">
        <f t="shared" si="6"/>
        <v>4</v>
      </c>
      <c r="D124" s="119">
        <f t="shared" si="8"/>
        <v>49766</v>
      </c>
      <c r="E124" s="197"/>
      <c r="F124" s="197"/>
      <c r="G124" s="197"/>
      <c r="H124" s="197"/>
      <c r="I124" s="197"/>
      <c r="J124" s="197">
        <f>SUMIF(Credit!$A$12:$A$371,Графики!D124,Credit!$D$12:$D$371)</f>
        <v>0</v>
      </c>
      <c r="K124">
        <f>SUMIF(Credit!$A$12:$A$371,Графики!D124,Credit!$C$12:$C$371)</f>
        <v>0</v>
      </c>
    </row>
    <row r="125" spans="2:11" x14ac:dyDescent="0.35">
      <c r="B125">
        <f t="shared" si="7"/>
        <v>119</v>
      </c>
      <c r="C125" s="174">
        <f t="shared" si="6"/>
        <v>5</v>
      </c>
      <c r="D125" s="119">
        <f t="shared" si="8"/>
        <v>49796</v>
      </c>
      <c r="E125" s="197"/>
      <c r="F125" s="197"/>
      <c r="G125" s="197"/>
      <c r="H125" s="197"/>
      <c r="I125" s="197"/>
      <c r="J125" s="197">
        <f>SUMIF(Credit!$A$12:$A$371,Графики!D125,Credit!$D$12:$D$371)</f>
        <v>0</v>
      </c>
      <c r="K125">
        <f>SUMIF(Credit!$A$12:$A$371,Графики!D125,Credit!$C$12:$C$371)</f>
        <v>0</v>
      </c>
    </row>
    <row r="126" spans="2:11" x14ac:dyDescent="0.35">
      <c r="B126">
        <f t="shared" si="7"/>
        <v>120</v>
      </c>
      <c r="C126" s="174">
        <f t="shared" si="6"/>
        <v>6</v>
      </c>
      <c r="D126" s="119">
        <f t="shared" si="8"/>
        <v>49827</v>
      </c>
      <c r="E126" s="197"/>
      <c r="F126" s="197"/>
      <c r="G126" s="197"/>
      <c r="H126" s="197"/>
      <c r="I126" s="197"/>
      <c r="J126" s="197">
        <f>SUMIF(Credit!$A$12:$A$371,Графики!D126,Credit!$D$12:$D$371)</f>
        <v>0</v>
      </c>
      <c r="K126">
        <f>SUMIF(Credit!$A$12:$A$371,Графики!D126,Credit!$C$12:$C$371)</f>
        <v>0</v>
      </c>
    </row>
    <row r="127" spans="2:11" x14ac:dyDescent="0.35">
      <c r="B127">
        <f t="shared" si="7"/>
        <v>121</v>
      </c>
      <c r="C127" s="174">
        <f t="shared" si="6"/>
        <v>7</v>
      </c>
      <c r="D127" s="119">
        <f t="shared" si="8"/>
        <v>49857</v>
      </c>
      <c r="E127" s="197"/>
      <c r="F127" s="197"/>
      <c r="G127" s="197"/>
      <c r="H127" s="197"/>
      <c r="I127" s="197"/>
      <c r="J127" s="197">
        <f>SUMIF(Credit!$A$12:$A$371,Графики!D127,Credit!$D$12:$D$371)</f>
        <v>0</v>
      </c>
      <c r="K127">
        <f>SUMIF(Credit!$A$12:$A$371,Графики!D127,Credit!$C$12:$C$371)</f>
        <v>0</v>
      </c>
    </row>
    <row r="128" spans="2:11" x14ac:dyDescent="0.35">
      <c r="B128">
        <f t="shared" si="7"/>
        <v>122</v>
      </c>
      <c r="C128" s="174">
        <f t="shared" si="6"/>
        <v>8</v>
      </c>
      <c r="D128" s="119">
        <f t="shared" si="8"/>
        <v>49888</v>
      </c>
      <c r="E128" s="197"/>
      <c r="F128" s="197"/>
      <c r="G128" s="197"/>
      <c r="H128" s="197"/>
      <c r="I128" s="197"/>
      <c r="J128" s="197">
        <f>SUMIF(Credit!$A$12:$A$371,Графики!D128,Credit!$D$12:$D$371)</f>
        <v>0</v>
      </c>
      <c r="K128">
        <f>SUMIF(Credit!$A$12:$A$371,Графики!D128,Credit!$C$12:$C$371)</f>
        <v>0</v>
      </c>
    </row>
    <row r="129" spans="2:11" x14ac:dyDescent="0.35">
      <c r="B129">
        <f t="shared" si="7"/>
        <v>123</v>
      </c>
      <c r="C129" s="174">
        <f t="shared" si="6"/>
        <v>9</v>
      </c>
      <c r="D129" s="119">
        <f t="shared" si="8"/>
        <v>49919</v>
      </c>
      <c r="E129" s="197"/>
      <c r="F129" s="197"/>
      <c r="G129" s="197"/>
      <c r="H129" s="197"/>
      <c r="I129" s="197"/>
      <c r="J129" s="197">
        <f>SUMIF(Credit!$A$12:$A$371,Графики!D129,Credit!$D$12:$D$371)</f>
        <v>0</v>
      </c>
      <c r="K129">
        <f>SUMIF(Credit!$A$12:$A$371,Графики!D129,Credit!$C$12:$C$371)</f>
        <v>0</v>
      </c>
    </row>
    <row r="130" spans="2:11" x14ac:dyDescent="0.35">
      <c r="B130">
        <f t="shared" si="7"/>
        <v>124</v>
      </c>
      <c r="C130" s="174">
        <f t="shared" si="6"/>
        <v>10</v>
      </c>
      <c r="D130" s="119">
        <f t="shared" si="8"/>
        <v>49949</v>
      </c>
      <c r="E130" s="197"/>
      <c r="F130" s="197"/>
      <c r="G130" s="197"/>
      <c r="H130" s="197"/>
      <c r="I130" s="197"/>
      <c r="J130" s="197">
        <f>SUMIF(Credit!$A$12:$A$371,Графики!D130,Credit!$D$12:$D$371)</f>
        <v>0</v>
      </c>
      <c r="K130">
        <f>SUMIF(Credit!$A$12:$A$371,Графики!D130,Credit!$C$12:$C$371)</f>
        <v>0</v>
      </c>
    </row>
    <row r="131" spans="2:11" x14ac:dyDescent="0.35">
      <c r="B131">
        <f t="shared" si="7"/>
        <v>125</v>
      </c>
      <c r="C131" s="174">
        <f t="shared" si="6"/>
        <v>11</v>
      </c>
      <c r="D131" s="119">
        <f t="shared" si="8"/>
        <v>49980</v>
      </c>
      <c r="E131" s="197"/>
      <c r="F131" s="197"/>
      <c r="G131" s="197"/>
      <c r="H131" s="197"/>
      <c r="I131" s="197"/>
      <c r="J131" s="197">
        <f>SUMIF(Credit!$A$12:$A$371,Графики!D131,Credit!$D$12:$D$371)</f>
        <v>0</v>
      </c>
      <c r="K131">
        <f>SUMIF(Credit!$A$12:$A$371,Графики!D131,Credit!$C$12:$C$371)</f>
        <v>0</v>
      </c>
    </row>
    <row r="132" spans="2:11" x14ac:dyDescent="0.35">
      <c r="B132">
        <f t="shared" si="7"/>
        <v>126</v>
      </c>
      <c r="C132" s="174">
        <f t="shared" si="6"/>
        <v>12</v>
      </c>
      <c r="D132" s="119">
        <f t="shared" si="8"/>
        <v>50010</v>
      </c>
      <c r="E132" s="197"/>
      <c r="F132" s="197"/>
      <c r="G132" s="197"/>
      <c r="H132" s="197"/>
      <c r="I132" s="197"/>
      <c r="J132" s="197">
        <f>SUMIF(Credit!$A$12:$A$371,Графики!D132,Credit!$D$12:$D$371)</f>
        <v>0</v>
      </c>
      <c r="K132">
        <f>SUMIF(Credit!$A$12:$A$371,Графики!D132,Credit!$C$12:$C$371)</f>
        <v>0</v>
      </c>
    </row>
    <row r="133" spans="2:11" x14ac:dyDescent="0.35">
      <c r="B133">
        <f t="shared" si="7"/>
        <v>127</v>
      </c>
      <c r="C133" s="174">
        <f t="shared" si="6"/>
        <v>1</v>
      </c>
      <c r="D133" s="119">
        <f t="shared" si="8"/>
        <v>50041</v>
      </c>
      <c r="E133" s="197"/>
      <c r="F133" s="197"/>
      <c r="G133" s="197"/>
      <c r="H133" s="197"/>
      <c r="I133" s="197"/>
      <c r="J133" s="197">
        <f>SUMIF(Credit!$A$12:$A$371,Графики!D133,Credit!$D$12:$D$371)</f>
        <v>0</v>
      </c>
      <c r="K133">
        <f>SUMIF(Credit!$A$12:$A$371,Графики!D133,Credit!$C$12:$C$371)</f>
        <v>0</v>
      </c>
    </row>
    <row r="134" spans="2:11" x14ac:dyDescent="0.35">
      <c r="B134">
        <f t="shared" si="7"/>
        <v>128</v>
      </c>
      <c r="C134" s="174">
        <f t="shared" si="6"/>
        <v>2</v>
      </c>
      <c r="D134" s="119">
        <f t="shared" si="8"/>
        <v>50072</v>
      </c>
      <c r="E134" s="197"/>
      <c r="F134" s="197"/>
      <c r="G134" s="197"/>
      <c r="H134" s="197"/>
      <c r="I134" s="197"/>
      <c r="J134" s="197">
        <f>SUMIF(Credit!$A$12:$A$371,Графики!D134,Credit!$D$12:$D$371)</f>
        <v>0</v>
      </c>
      <c r="K134">
        <f>SUMIF(Credit!$A$12:$A$371,Графики!D134,Credit!$C$12:$C$371)</f>
        <v>0</v>
      </c>
    </row>
    <row r="135" spans="2:11" x14ac:dyDescent="0.35">
      <c r="B135">
        <f t="shared" si="7"/>
        <v>129</v>
      </c>
      <c r="C135" s="174">
        <f t="shared" ref="C135:C198" si="9">MONTH(D135)</f>
        <v>3</v>
      </c>
      <c r="D135" s="119">
        <f t="shared" si="8"/>
        <v>50100</v>
      </c>
      <c r="E135" s="197"/>
      <c r="F135" s="197"/>
      <c r="G135" s="197"/>
      <c r="H135" s="197"/>
      <c r="I135" s="197"/>
      <c r="J135" s="197">
        <f>SUMIF(Credit!$A$12:$A$371,Графики!D135,Credit!$D$12:$D$371)</f>
        <v>0</v>
      </c>
      <c r="K135">
        <f>SUMIF(Credit!$A$12:$A$371,Графики!D135,Credit!$C$12:$C$371)</f>
        <v>0</v>
      </c>
    </row>
    <row r="136" spans="2:11" x14ac:dyDescent="0.35">
      <c r="B136">
        <f t="shared" ref="B136:B199" si="10">B135+1</f>
        <v>130</v>
      </c>
      <c r="C136" s="174">
        <f t="shared" si="9"/>
        <v>4</v>
      </c>
      <c r="D136" s="119">
        <f t="shared" ref="D136:D199" si="11">EDATE(D135,1)</f>
        <v>50131</v>
      </c>
      <c r="E136" s="197"/>
      <c r="F136" s="197"/>
      <c r="G136" s="197"/>
      <c r="H136" s="197"/>
      <c r="I136" s="197"/>
      <c r="J136" s="197">
        <f>SUMIF(Credit!$A$12:$A$371,Графики!D136,Credit!$D$12:$D$371)</f>
        <v>0</v>
      </c>
      <c r="K136">
        <f>SUMIF(Credit!$A$12:$A$371,Графики!D136,Credit!$C$12:$C$371)</f>
        <v>0</v>
      </c>
    </row>
    <row r="137" spans="2:11" x14ac:dyDescent="0.35">
      <c r="B137">
        <f t="shared" si="10"/>
        <v>131</v>
      </c>
      <c r="C137" s="174">
        <f t="shared" si="9"/>
        <v>5</v>
      </c>
      <c r="D137" s="119">
        <f t="shared" si="11"/>
        <v>50161</v>
      </c>
      <c r="E137" s="197"/>
      <c r="F137" s="197"/>
      <c r="G137" s="197"/>
      <c r="H137" s="197"/>
      <c r="I137" s="197"/>
      <c r="J137" s="197">
        <f>SUMIF(Credit!$A$12:$A$371,Графики!D137,Credit!$D$12:$D$371)</f>
        <v>0</v>
      </c>
      <c r="K137">
        <f>SUMIF(Credit!$A$12:$A$371,Графики!D137,Credit!$C$12:$C$371)</f>
        <v>0</v>
      </c>
    </row>
    <row r="138" spans="2:11" x14ac:dyDescent="0.35">
      <c r="B138">
        <f t="shared" si="10"/>
        <v>132</v>
      </c>
      <c r="C138" s="174">
        <f t="shared" si="9"/>
        <v>6</v>
      </c>
      <c r="D138" s="119">
        <f t="shared" si="11"/>
        <v>50192</v>
      </c>
      <c r="E138" s="197"/>
      <c r="F138" s="197"/>
      <c r="G138" s="197"/>
      <c r="H138" s="197"/>
      <c r="I138" s="197"/>
      <c r="J138" s="197">
        <f>SUMIF(Credit!$A$12:$A$371,Графики!D138,Credit!$D$12:$D$371)</f>
        <v>0</v>
      </c>
      <c r="K138">
        <f>SUMIF(Credit!$A$12:$A$371,Графики!D138,Credit!$C$12:$C$371)</f>
        <v>0</v>
      </c>
    </row>
    <row r="139" spans="2:11" x14ac:dyDescent="0.35">
      <c r="B139">
        <f t="shared" si="10"/>
        <v>133</v>
      </c>
      <c r="C139" s="174">
        <f t="shared" si="9"/>
        <v>7</v>
      </c>
      <c r="D139" s="119">
        <f t="shared" si="11"/>
        <v>50222</v>
      </c>
      <c r="E139" s="197"/>
      <c r="F139" s="197"/>
      <c r="G139" s="197"/>
      <c r="H139" s="197"/>
      <c r="I139" s="197"/>
      <c r="J139" s="197">
        <f>SUMIF(Credit!$A$12:$A$371,Графики!D139,Credit!$D$12:$D$371)</f>
        <v>0</v>
      </c>
      <c r="K139">
        <f>SUMIF(Credit!$A$12:$A$371,Графики!D139,Credit!$C$12:$C$371)</f>
        <v>0</v>
      </c>
    </row>
    <row r="140" spans="2:11" x14ac:dyDescent="0.35">
      <c r="B140">
        <f t="shared" si="10"/>
        <v>134</v>
      </c>
      <c r="C140" s="174">
        <f t="shared" si="9"/>
        <v>8</v>
      </c>
      <c r="D140" s="119">
        <f t="shared" si="11"/>
        <v>50253</v>
      </c>
      <c r="E140" s="197"/>
      <c r="F140" s="197"/>
      <c r="G140" s="197"/>
      <c r="H140" s="197"/>
      <c r="I140" s="197"/>
      <c r="J140" s="197">
        <f>SUMIF(Credit!$A$12:$A$371,Графики!D140,Credit!$D$12:$D$371)</f>
        <v>0</v>
      </c>
      <c r="K140">
        <f>SUMIF(Credit!$A$12:$A$371,Графики!D140,Credit!$C$12:$C$371)</f>
        <v>0</v>
      </c>
    </row>
    <row r="141" spans="2:11" x14ac:dyDescent="0.35">
      <c r="B141">
        <f t="shared" si="10"/>
        <v>135</v>
      </c>
      <c r="C141" s="174">
        <f t="shared" si="9"/>
        <v>9</v>
      </c>
      <c r="D141" s="119">
        <f t="shared" si="11"/>
        <v>50284</v>
      </c>
      <c r="E141" s="197"/>
      <c r="F141" s="197"/>
      <c r="G141" s="197"/>
      <c r="H141" s="197"/>
      <c r="I141" s="197"/>
      <c r="J141" s="197">
        <f>SUMIF(Credit!$A$12:$A$371,Графики!D141,Credit!$D$12:$D$371)</f>
        <v>0</v>
      </c>
      <c r="K141">
        <f>SUMIF(Credit!$A$12:$A$371,Графики!D141,Credit!$C$12:$C$371)</f>
        <v>0</v>
      </c>
    </row>
    <row r="142" spans="2:11" x14ac:dyDescent="0.35">
      <c r="B142">
        <f t="shared" si="10"/>
        <v>136</v>
      </c>
      <c r="C142" s="174">
        <f t="shared" si="9"/>
        <v>10</v>
      </c>
      <c r="D142" s="119">
        <f t="shared" si="11"/>
        <v>50314</v>
      </c>
      <c r="E142" s="197"/>
      <c r="F142" s="197"/>
      <c r="G142" s="197"/>
      <c r="H142" s="197"/>
      <c r="I142" s="197"/>
      <c r="J142" s="197">
        <f>SUMIF(Credit!$A$12:$A$371,Графики!D142,Credit!$D$12:$D$371)</f>
        <v>0</v>
      </c>
      <c r="K142">
        <f>SUMIF(Credit!$A$12:$A$371,Графики!D142,Credit!$C$12:$C$371)</f>
        <v>0</v>
      </c>
    </row>
    <row r="143" spans="2:11" x14ac:dyDescent="0.35">
      <c r="B143">
        <f t="shared" si="10"/>
        <v>137</v>
      </c>
      <c r="C143" s="174">
        <f t="shared" si="9"/>
        <v>11</v>
      </c>
      <c r="D143" s="119">
        <f t="shared" si="11"/>
        <v>50345</v>
      </c>
      <c r="E143" s="197"/>
      <c r="F143" s="197"/>
      <c r="G143" s="197"/>
      <c r="H143" s="197"/>
      <c r="I143" s="197"/>
      <c r="J143" s="197">
        <f>SUMIF(Credit!$A$12:$A$371,Графики!D143,Credit!$D$12:$D$371)</f>
        <v>0</v>
      </c>
      <c r="K143">
        <f>SUMIF(Credit!$A$12:$A$371,Графики!D143,Credit!$C$12:$C$371)</f>
        <v>0</v>
      </c>
    </row>
    <row r="144" spans="2:11" x14ac:dyDescent="0.35">
      <c r="B144">
        <f t="shared" si="10"/>
        <v>138</v>
      </c>
      <c r="C144" s="174">
        <f t="shared" si="9"/>
        <v>12</v>
      </c>
      <c r="D144" s="119">
        <f t="shared" si="11"/>
        <v>50375</v>
      </c>
      <c r="E144" s="197"/>
      <c r="F144" s="197"/>
      <c r="G144" s="197"/>
      <c r="H144" s="197"/>
      <c r="I144" s="197"/>
      <c r="J144" s="197">
        <f>SUMIF(Credit!$A$12:$A$371,Графики!D144,Credit!$D$12:$D$371)</f>
        <v>0</v>
      </c>
      <c r="K144">
        <f>SUMIF(Credit!$A$12:$A$371,Графики!D144,Credit!$C$12:$C$371)</f>
        <v>0</v>
      </c>
    </row>
    <row r="145" spans="2:11" x14ac:dyDescent="0.35">
      <c r="B145">
        <f t="shared" si="10"/>
        <v>139</v>
      </c>
      <c r="C145" s="174">
        <f t="shared" si="9"/>
        <v>1</v>
      </c>
      <c r="D145" s="119">
        <f t="shared" si="11"/>
        <v>50406</v>
      </c>
      <c r="E145" s="197"/>
      <c r="F145" s="197"/>
      <c r="G145" s="197"/>
      <c r="H145" s="197"/>
      <c r="I145" s="197"/>
      <c r="J145" s="197">
        <f>SUMIF(Credit!$A$12:$A$371,Графики!D145,Credit!$D$12:$D$371)</f>
        <v>0</v>
      </c>
      <c r="K145">
        <f>SUMIF(Credit!$A$12:$A$371,Графики!D145,Credit!$C$12:$C$371)</f>
        <v>0</v>
      </c>
    </row>
    <row r="146" spans="2:11" x14ac:dyDescent="0.35">
      <c r="B146">
        <f t="shared" si="10"/>
        <v>140</v>
      </c>
      <c r="C146" s="174">
        <f t="shared" si="9"/>
        <v>2</v>
      </c>
      <c r="D146" s="119">
        <f t="shared" si="11"/>
        <v>50437</v>
      </c>
      <c r="E146" s="197"/>
      <c r="F146" s="197"/>
      <c r="G146" s="197"/>
      <c r="H146" s="197"/>
      <c r="I146" s="197"/>
      <c r="J146" s="197">
        <f>SUMIF(Credit!$A$12:$A$371,Графики!D146,Credit!$D$12:$D$371)</f>
        <v>0</v>
      </c>
      <c r="K146">
        <f>SUMIF(Credit!$A$12:$A$371,Графики!D146,Credit!$C$12:$C$371)</f>
        <v>0</v>
      </c>
    </row>
    <row r="147" spans="2:11" x14ac:dyDescent="0.35">
      <c r="B147">
        <f t="shared" si="10"/>
        <v>141</v>
      </c>
      <c r="C147" s="174">
        <f t="shared" si="9"/>
        <v>3</v>
      </c>
      <c r="D147" s="119">
        <f t="shared" si="11"/>
        <v>50465</v>
      </c>
      <c r="E147" s="197"/>
      <c r="F147" s="197"/>
      <c r="G147" s="197"/>
      <c r="H147" s="197"/>
      <c r="I147" s="197"/>
      <c r="J147" s="197">
        <f>SUMIF(Credit!$A$12:$A$371,Графики!D147,Credit!$D$12:$D$371)</f>
        <v>0</v>
      </c>
      <c r="K147">
        <f>SUMIF(Credit!$A$12:$A$371,Графики!D147,Credit!$C$12:$C$371)</f>
        <v>0</v>
      </c>
    </row>
    <row r="148" spans="2:11" x14ac:dyDescent="0.35">
      <c r="B148">
        <f t="shared" si="10"/>
        <v>142</v>
      </c>
      <c r="C148" s="174">
        <f t="shared" si="9"/>
        <v>4</v>
      </c>
      <c r="D148" s="119">
        <f t="shared" si="11"/>
        <v>50496</v>
      </c>
      <c r="E148" s="197"/>
      <c r="F148" s="197"/>
      <c r="G148" s="197"/>
      <c r="H148" s="197"/>
      <c r="I148" s="197"/>
      <c r="J148" s="197">
        <f>SUMIF(Credit!$A$12:$A$371,Графики!D148,Credit!$D$12:$D$371)</f>
        <v>0</v>
      </c>
      <c r="K148">
        <f>SUMIF(Credit!$A$12:$A$371,Графики!D148,Credit!$C$12:$C$371)</f>
        <v>0</v>
      </c>
    </row>
    <row r="149" spans="2:11" x14ac:dyDescent="0.35">
      <c r="B149">
        <f t="shared" si="10"/>
        <v>143</v>
      </c>
      <c r="C149" s="174">
        <f t="shared" si="9"/>
        <v>5</v>
      </c>
      <c r="D149" s="119">
        <f t="shared" si="11"/>
        <v>50526</v>
      </c>
      <c r="E149" s="197"/>
      <c r="F149" s="197"/>
      <c r="G149" s="197"/>
      <c r="H149" s="197"/>
      <c r="I149" s="197"/>
      <c r="J149" s="197">
        <f>SUMIF(Credit!$A$12:$A$371,Графики!D149,Credit!$D$12:$D$371)</f>
        <v>0</v>
      </c>
      <c r="K149">
        <f>SUMIF(Credit!$A$12:$A$371,Графики!D149,Credit!$C$12:$C$371)</f>
        <v>0</v>
      </c>
    </row>
    <row r="150" spans="2:11" x14ac:dyDescent="0.35">
      <c r="B150">
        <f t="shared" si="10"/>
        <v>144</v>
      </c>
      <c r="C150" s="174">
        <f t="shared" si="9"/>
        <v>6</v>
      </c>
      <c r="D150" s="119">
        <f t="shared" si="11"/>
        <v>50557</v>
      </c>
      <c r="E150" s="197"/>
      <c r="F150" s="197"/>
      <c r="G150" s="197"/>
      <c r="H150" s="197"/>
      <c r="I150" s="197"/>
      <c r="J150" s="197">
        <f>SUMIF(Credit!$A$12:$A$371,Графики!D150,Credit!$D$12:$D$371)</f>
        <v>0</v>
      </c>
      <c r="K150">
        <f>SUMIF(Credit!$A$12:$A$371,Графики!D150,Credit!$C$12:$C$371)</f>
        <v>0</v>
      </c>
    </row>
    <row r="151" spans="2:11" x14ac:dyDescent="0.35">
      <c r="B151">
        <f t="shared" si="10"/>
        <v>145</v>
      </c>
      <c r="C151" s="174">
        <f t="shared" si="9"/>
        <v>7</v>
      </c>
      <c r="D151" s="119">
        <f t="shared" si="11"/>
        <v>50587</v>
      </c>
      <c r="E151" s="197"/>
      <c r="F151" s="197"/>
      <c r="G151" s="197"/>
      <c r="H151" s="197"/>
      <c r="I151" s="197"/>
      <c r="J151" s="197">
        <f>SUMIF(Credit!$A$12:$A$371,Графики!D151,Credit!$D$12:$D$371)</f>
        <v>0</v>
      </c>
      <c r="K151">
        <f>SUMIF(Credit!$A$12:$A$371,Графики!D151,Credit!$C$12:$C$371)</f>
        <v>0</v>
      </c>
    </row>
    <row r="152" spans="2:11" x14ac:dyDescent="0.35">
      <c r="B152">
        <f t="shared" si="10"/>
        <v>146</v>
      </c>
      <c r="C152" s="174">
        <f t="shared" si="9"/>
        <v>8</v>
      </c>
      <c r="D152" s="119">
        <f t="shared" si="11"/>
        <v>50618</v>
      </c>
      <c r="E152" s="197"/>
      <c r="F152" s="197"/>
      <c r="G152" s="197"/>
      <c r="H152" s="197"/>
      <c r="I152" s="197"/>
      <c r="J152" s="197">
        <f>SUMIF(Credit!$A$12:$A$371,Графики!D152,Credit!$D$12:$D$371)</f>
        <v>0</v>
      </c>
      <c r="K152">
        <f>SUMIF(Credit!$A$12:$A$371,Графики!D152,Credit!$C$12:$C$371)</f>
        <v>0</v>
      </c>
    </row>
    <row r="153" spans="2:11" x14ac:dyDescent="0.35">
      <c r="B153">
        <f t="shared" si="10"/>
        <v>147</v>
      </c>
      <c r="C153" s="174">
        <f t="shared" si="9"/>
        <v>9</v>
      </c>
      <c r="D153" s="119">
        <f t="shared" si="11"/>
        <v>50649</v>
      </c>
      <c r="E153" s="197"/>
      <c r="F153" s="197"/>
      <c r="G153" s="197"/>
      <c r="H153" s="197"/>
      <c r="I153" s="197"/>
      <c r="J153" s="197">
        <f>SUMIF(Credit!$A$12:$A$371,Графики!D153,Credit!$D$12:$D$371)</f>
        <v>0</v>
      </c>
      <c r="K153">
        <f>SUMIF(Credit!$A$12:$A$371,Графики!D153,Credit!$C$12:$C$371)</f>
        <v>0</v>
      </c>
    </row>
    <row r="154" spans="2:11" x14ac:dyDescent="0.35">
      <c r="B154">
        <f t="shared" si="10"/>
        <v>148</v>
      </c>
      <c r="C154" s="174">
        <f t="shared" si="9"/>
        <v>10</v>
      </c>
      <c r="D154" s="119">
        <f t="shared" si="11"/>
        <v>50679</v>
      </c>
      <c r="E154" s="197"/>
      <c r="F154" s="197"/>
      <c r="G154" s="197"/>
      <c r="H154" s="197"/>
      <c r="I154" s="197"/>
      <c r="J154" s="197">
        <f>SUMIF(Credit!$A$12:$A$371,Графики!D154,Credit!$D$12:$D$371)</f>
        <v>0</v>
      </c>
      <c r="K154">
        <f>SUMIF(Credit!$A$12:$A$371,Графики!D154,Credit!$C$12:$C$371)</f>
        <v>0</v>
      </c>
    </row>
    <row r="155" spans="2:11" x14ac:dyDescent="0.35">
      <c r="B155">
        <f t="shared" si="10"/>
        <v>149</v>
      </c>
      <c r="C155" s="174">
        <f t="shared" si="9"/>
        <v>11</v>
      </c>
      <c r="D155" s="119">
        <f t="shared" si="11"/>
        <v>50710</v>
      </c>
      <c r="E155" s="197"/>
      <c r="F155" s="197"/>
      <c r="G155" s="197"/>
      <c r="H155" s="197"/>
      <c r="I155" s="197"/>
      <c r="J155" s="197">
        <f>SUMIF(Credit!$A$12:$A$371,Графики!D155,Credit!$D$12:$D$371)</f>
        <v>0</v>
      </c>
      <c r="K155">
        <f>SUMIF(Credit!$A$12:$A$371,Графики!D155,Credit!$C$12:$C$371)</f>
        <v>0</v>
      </c>
    </row>
    <row r="156" spans="2:11" x14ac:dyDescent="0.35">
      <c r="B156">
        <f t="shared" si="10"/>
        <v>150</v>
      </c>
      <c r="C156" s="174">
        <f t="shared" si="9"/>
        <v>12</v>
      </c>
      <c r="D156" s="119">
        <f t="shared" si="11"/>
        <v>50740</v>
      </c>
      <c r="E156" s="197"/>
      <c r="F156" s="197"/>
      <c r="G156" s="197"/>
      <c r="H156" s="197"/>
      <c r="I156" s="197"/>
      <c r="J156" s="197">
        <f>SUMIF(Credit!$A$12:$A$371,Графики!D156,Credit!$D$12:$D$371)</f>
        <v>0</v>
      </c>
      <c r="K156">
        <f>SUMIF(Credit!$A$12:$A$371,Графики!D156,Credit!$C$12:$C$371)</f>
        <v>0</v>
      </c>
    </row>
    <row r="157" spans="2:11" x14ac:dyDescent="0.35">
      <c r="B157">
        <f t="shared" si="10"/>
        <v>151</v>
      </c>
      <c r="C157" s="174">
        <f t="shared" si="9"/>
        <v>1</v>
      </c>
      <c r="D157" s="119">
        <f t="shared" si="11"/>
        <v>50771</v>
      </c>
      <c r="E157" s="197"/>
      <c r="F157" s="197"/>
      <c r="G157" s="197"/>
      <c r="H157" s="197"/>
      <c r="I157" s="197"/>
      <c r="J157" s="197">
        <f>SUMIF(Credit!$A$12:$A$371,Графики!D157,Credit!$D$12:$D$371)</f>
        <v>0</v>
      </c>
      <c r="K157">
        <f>SUMIF(Credit!$A$12:$A$371,Графики!D157,Credit!$C$12:$C$371)</f>
        <v>0</v>
      </c>
    </row>
    <row r="158" spans="2:11" x14ac:dyDescent="0.35">
      <c r="B158">
        <f t="shared" si="10"/>
        <v>152</v>
      </c>
      <c r="C158" s="174">
        <f t="shared" si="9"/>
        <v>2</v>
      </c>
      <c r="D158" s="119">
        <f t="shared" si="11"/>
        <v>50802</v>
      </c>
      <c r="E158" s="197"/>
      <c r="F158" s="197"/>
      <c r="G158" s="197"/>
      <c r="H158" s="197"/>
      <c r="I158" s="197"/>
      <c r="J158" s="197">
        <f>SUMIF(Credit!$A$12:$A$371,Графики!D158,Credit!$D$12:$D$371)</f>
        <v>0</v>
      </c>
      <c r="K158">
        <f>SUMIF(Credit!$A$12:$A$371,Графики!D158,Credit!$C$12:$C$371)</f>
        <v>0</v>
      </c>
    </row>
    <row r="159" spans="2:11" x14ac:dyDescent="0.35">
      <c r="B159">
        <f t="shared" si="10"/>
        <v>153</v>
      </c>
      <c r="C159" s="174">
        <f t="shared" si="9"/>
        <v>3</v>
      </c>
      <c r="D159" s="119">
        <f t="shared" si="11"/>
        <v>50830</v>
      </c>
      <c r="E159" s="197"/>
      <c r="F159" s="197"/>
      <c r="G159" s="197"/>
      <c r="H159" s="197"/>
      <c r="I159" s="197"/>
      <c r="J159" s="197">
        <f>SUMIF(Credit!$A$12:$A$371,Графики!D159,Credit!$D$12:$D$371)</f>
        <v>0</v>
      </c>
      <c r="K159">
        <f>SUMIF(Credit!$A$12:$A$371,Графики!D159,Credit!$C$12:$C$371)</f>
        <v>0</v>
      </c>
    </row>
    <row r="160" spans="2:11" x14ac:dyDescent="0.35">
      <c r="B160">
        <f t="shared" si="10"/>
        <v>154</v>
      </c>
      <c r="C160" s="174">
        <f t="shared" si="9"/>
        <v>4</v>
      </c>
      <c r="D160" s="119">
        <f t="shared" si="11"/>
        <v>50861</v>
      </c>
      <c r="E160" s="197"/>
      <c r="F160" s="197"/>
      <c r="G160" s="197"/>
      <c r="H160" s="197"/>
      <c r="I160" s="197"/>
      <c r="J160" s="197">
        <f>SUMIF(Credit!$A$12:$A$371,Графики!D160,Credit!$D$12:$D$371)</f>
        <v>0</v>
      </c>
      <c r="K160">
        <f>SUMIF(Credit!$A$12:$A$371,Графики!D160,Credit!$C$12:$C$371)</f>
        <v>0</v>
      </c>
    </row>
    <row r="161" spans="2:11" x14ac:dyDescent="0.35">
      <c r="B161">
        <f t="shared" si="10"/>
        <v>155</v>
      </c>
      <c r="C161" s="174">
        <f t="shared" si="9"/>
        <v>5</v>
      </c>
      <c r="D161" s="119">
        <f t="shared" si="11"/>
        <v>50891</v>
      </c>
      <c r="E161" s="197"/>
      <c r="F161" s="197"/>
      <c r="G161" s="197"/>
      <c r="H161" s="197"/>
      <c r="I161" s="197"/>
      <c r="J161" s="197">
        <f>SUMIF(Credit!$A$12:$A$371,Графики!D161,Credit!$D$12:$D$371)</f>
        <v>0</v>
      </c>
      <c r="K161">
        <f>SUMIF(Credit!$A$12:$A$371,Графики!D161,Credit!$C$12:$C$371)</f>
        <v>0</v>
      </c>
    </row>
    <row r="162" spans="2:11" x14ac:dyDescent="0.35">
      <c r="B162">
        <f t="shared" si="10"/>
        <v>156</v>
      </c>
      <c r="C162" s="174">
        <f t="shared" si="9"/>
        <v>6</v>
      </c>
      <c r="D162" s="119">
        <f t="shared" si="11"/>
        <v>50922</v>
      </c>
      <c r="E162" s="197"/>
      <c r="F162" s="197"/>
      <c r="G162" s="197"/>
      <c r="H162" s="197"/>
      <c r="I162" s="197"/>
      <c r="J162" s="197">
        <f>SUMIF(Credit!$A$12:$A$371,Графики!D162,Credit!$D$12:$D$371)</f>
        <v>0</v>
      </c>
      <c r="K162">
        <f>SUMIF(Credit!$A$12:$A$371,Графики!D162,Credit!$C$12:$C$371)</f>
        <v>0</v>
      </c>
    </row>
    <row r="163" spans="2:11" x14ac:dyDescent="0.35">
      <c r="B163">
        <f t="shared" si="10"/>
        <v>157</v>
      </c>
      <c r="C163" s="174">
        <f t="shared" si="9"/>
        <v>7</v>
      </c>
      <c r="D163" s="119">
        <f t="shared" si="11"/>
        <v>50952</v>
      </c>
      <c r="E163" s="197"/>
      <c r="F163" s="197"/>
      <c r="G163" s="197"/>
      <c r="H163" s="197"/>
      <c r="I163" s="197"/>
      <c r="J163" s="197">
        <f>SUMIF(Credit!$A$12:$A$371,Графики!D163,Credit!$D$12:$D$371)</f>
        <v>0</v>
      </c>
      <c r="K163">
        <f>SUMIF(Credit!$A$12:$A$371,Графики!D163,Credit!$C$12:$C$371)</f>
        <v>0</v>
      </c>
    </row>
    <row r="164" spans="2:11" x14ac:dyDescent="0.35">
      <c r="B164">
        <f t="shared" si="10"/>
        <v>158</v>
      </c>
      <c r="C164" s="174">
        <f t="shared" si="9"/>
        <v>8</v>
      </c>
      <c r="D164" s="119">
        <f t="shared" si="11"/>
        <v>50983</v>
      </c>
      <c r="E164" s="197"/>
      <c r="F164" s="197"/>
      <c r="G164" s="197"/>
      <c r="H164" s="197"/>
      <c r="I164" s="197"/>
      <c r="J164" s="197">
        <f>SUMIF(Credit!$A$12:$A$371,Графики!D164,Credit!$D$12:$D$371)</f>
        <v>0</v>
      </c>
      <c r="K164">
        <f>SUMIF(Credit!$A$12:$A$371,Графики!D164,Credit!$C$12:$C$371)</f>
        <v>0</v>
      </c>
    </row>
    <row r="165" spans="2:11" x14ac:dyDescent="0.35">
      <c r="B165">
        <f t="shared" si="10"/>
        <v>159</v>
      </c>
      <c r="C165" s="174">
        <f t="shared" si="9"/>
        <v>9</v>
      </c>
      <c r="D165" s="119">
        <f t="shared" si="11"/>
        <v>51014</v>
      </c>
      <c r="E165" s="197"/>
      <c r="F165" s="197"/>
      <c r="G165" s="197"/>
      <c r="H165" s="197"/>
      <c r="I165" s="197"/>
      <c r="J165" s="197">
        <f>SUMIF(Credit!$A$12:$A$371,Графики!D165,Credit!$D$12:$D$371)</f>
        <v>0</v>
      </c>
      <c r="K165">
        <f>SUMIF(Credit!$A$12:$A$371,Графики!D165,Credit!$C$12:$C$371)</f>
        <v>0</v>
      </c>
    </row>
    <row r="166" spans="2:11" x14ac:dyDescent="0.35">
      <c r="B166">
        <f t="shared" si="10"/>
        <v>160</v>
      </c>
      <c r="C166" s="174">
        <f t="shared" si="9"/>
        <v>10</v>
      </c>
      <c r="D166" s="119">
        <f t="shared" si="11"/>
        <v>51044</v>
      </c>
      <c r="E166" s="197"/>
      <c r="F166" s="197"/>
      <c r="G166" s="197"/>
      <c r="H166" s="197"/>
      <c r="I166" s="197"/>
      <c r="J166" s="197">
        <f>SUMIF(Credit!$A$12:$A$371,Графики!D166,Credit!$D$12:$D$371)</f>
        <v>0</v>
      </c>
      <c r="K166">
        <f>SUMIF(Credit!$A$12:$A$371,Графики!D166,Credit!$C$12:$C$371)</f>
        <v>0</v>
      </c>
    </row>
    <row r="167" spans="2:11" x14ac:dyDescent="0.35">
      <c r="B167">
        <f t="shared" si="10"/>
        <v>161</v>
      </c>
      <c r="C167" s="174">
        <f t="shared" si="9"/>
        <v>11</v>
      </c>
      <c r="D167" s="119">
        <f t="shared" si="11"/>
        <v>51075</v>
      </c>
      <c r="E167" s="197"/>
      <c r="F167" s="197"/>
      <c r="G167" s="197"/>
      <c r="H167" s="197"/>
      <c r="I167" s="197"/>
      <c r="J167" s="197">
        <f>SUMIF(Credit!$A$12:$A$371,Графики!D167,Credit!$D$12:$D$371)</f>
        <v>0</v>
      </c>
      <c r="K167">
        <f>SUMIF(Credit!$A$12:$A$371,Графики!D167,Credit!$C$12:$C$371)</f>
        <v>0</v>
      </c>
    </row>
    <row r="168" spans="2:11" x14ac:dyDescent="0.35">
      <c r="B168">
        <f t="shared" si="10"/>
        <v>162</v>
      </c>
      <c r="C168" s="174">
        <f t="shared" si="9"/>
        <v>12</v>
      </c>
      <c r="D168" s="119">
        <f t="shared" si="11"/>
        <v>51105</v>
      </c>
      <c r="E168" s="197"/>
      <c r="F168" s="197"/>
      <c r="G168" s="197"/>
      <c r="H168" s="197"/>
      <c r="I168" s="197"/>
      <c r="J168" s="197">
        <f>SUMIF(Credit!$A$12:$A$371,Графики!D168,Credit!$D$12:$D$371)</f>
        <v>0</v>
      </c>
      <c r="K168">
        <f>SUMIF(Credit!$A$12:$A$371,Графики!D168,Credit!$C$12:$C$371)</f>
        <v>0</v>
      </c>
    </row>
    <row r="169" spans="2:11" x14ac:dyDescent="0.35">
      <c r="B169">
        <f t="shared" si="10"/>
        <v>163</v>
      </c>
      <c r="C169" s="174">
        <f t="shared" si="9"/>
        <v>1</v>
      </c>
      <c r="D169" s="119">
        <f t="shared" si="11"/>
        <v>51136</v>
      </c>
      <c r="E169" s="197"/>
      <c r="F169" s="197"/>
      <c r="G169" s="197"/>
      <c r="H169" s="197"/>
      <c r="I169" s="197"/>
      <c r="J169" s="197">
        <f>SUMIF(Credit!$A$12:$A$371,Графики!D169,Credit!$D$12:$D$371)</f>
        <v>0</v>
      </c>
      <c r="K169">
        <f>SUMIF(Credit!$A$12:$A$371,Графики!D169,Credit!$C$12:$C$371)</f>
        <v>0</v>
      </c>
    </row>
    <row r="170" spans="2:11" x14ac:dyDescent="0.35">
      <c r="B170">
        <f t="shared" si="10"/>
        <v>164</v>
      </c>
      <c r="C170" s="174">
        <f t="shared" si="9"/>
        <v>2</v>
      </c>
      <c r="D170" s="119">
        <f t="shared" si="11"/>
        <v>51167</v>
      </c>
      <c r="E170" s="197"/>
      <c r="F170" s="197"/>
      <c r="G170" s="197"/>
      <c r="H170" s="197"/>
      <c r="I170" s="197"/>
      <c r="J170" s="197">
        <f>SUMIF(Credit!$A$12:$A$371,Графики!D170,Credit!$D$12:$D$371)</f>
        <v>0</v>
      </c>
      <c r="K170">
        <f>SUMIF(Credit!$A$12:$A$371,Графики!D170,Credit!$C$12:$C$371)</f>
        <v>0</v>
      </c>
    </row>
    <row r="171" spans="2:11" x14ac:dyDescent="0.35">
      <c r="B171">
        <f t="shared" si="10"/>
        <v>165</v>
      </c>
      <c r="C171" s="174">
        <f t="shared" si="9"/>
        <v>3</v>
      </c>
      <c r="D171" s="119">
        <f t="shared" si="11"/>
        <v>51196</v>
      </c>
      <c r="E171" s="197"/>
      <c r="F171" s="197"/>
      <c r="G171" s="197"/>
      <c r="H171" s="197"/>
      <c r="I171" s="197"/>
      <c r="J171" s="197">
        <f>SUMIF(Credit!$A$12:$A$371,Графики!D171,Credit!$D$12:$D$371)</f>
        <v>0</v>
      </c>
      <c r="K171">
        <f>SUMIF(Credit!$A$12:$A$371,Графики!D171,Credit!$C$12:$C$371)</f>
        <v>0</v>
      </c>
    </row>
    <row r="172" spans="2:11" x14ac:dyDescent="0.35">
      <c r="B172">
        <f t="shared" si="10"/>
        <v>166</v>
      </c>
      <c r="C172" s="174">
        <f t="shared" si="9"/>
        <v>4</v>
      </c>
      <c r="D172" s="119">
        <f t="shared" si="11"/>
        <v>51227</v>
      </c>
      <c r="E172" s="197"/>
      <c r="F172" s="197"/>
      <c r="G172" s="197"/>
      <c r="H172" s="197"/>
      <c r="I172" s="197"/>
      <c r="J172" s="197">
        <f>SUMIF(Credit!$A$12:$A$371,Графики!D172,Credit!$D$12:$D$371)</f>
        <v>0</v>
      </c>
      <c r="K172">
        <f>SUMIF(Credit!$A$12:$A$371,Графики!D172,Credit!$C$12:$C$371)</f>
        <v>0</v>
      </c>
    </row>
    <row r="173" spans="2:11" x14ac:dyDescent="0.35">
      <c r="B173">
        <f t="shared" si="10"/>
        <v>167</v>
      </c>
      <c r="C173" s="174">
        <f t="shared" si="9"/>
        <v>5</v>
      </c>
      <c r="D173" s="119">
        <f t="shared" si="11"/>
        <v>51257</v>
      </c>
      <c r="E173" s="197"/>
      <c r="F173" s="197"/>
      <c r="G173" s="197"/>
      <c r="H173" s="197"/>
      <c r="I173" s="197"/>
      <c r="J173" s="197">
        <f>SUMIF(Credit!$A$12:$A$371,Графики!D173,Credit!$D$12:$D$371)</f>
        <v>0</v>
      </c>
      <c r="K173">
        <f>SUMIF(Credit!$A$12:$A$371,Графики!D173,Credit!$C$12:$C$371)</f>
        <v>0</v>
      </c>
    </row>
    <row r="174" spans="2:11" x14ac:dyDescent="0.35">
      <c r="B174">
        <f t="shared" si="10"/>
        <v>168</v>
      </c>
      <c r="C174" s="174">
        <f t="shared" si="9"/>
        <v>6</v>
      </c>
      <c r="D174" s="119">
        <f t="shared" si="11"/>
        <v>51288</v>
      </c>
      <c r="E174" s="197"/>
      <c r="F174" s="197"/>
      <c r="G174" s="197"/>
      <c r="H174" s="197"/>
      <c r="I174" s="197"/>
      <c r="J174" s="197">
        <f>SUMIF(Credit!$A$12:$A$371,Графики!D174,Credit!$D$12:$D$371)</f>
        <v>0</v>
      </c>
      <c r="K174">
        <f>SUMIF(Credit!$A$12:$A$371,Графики!D174,Credit!$C$12:$C$371)</f>
        <v>0</v>
      </c>
    </row>
    <row r="175" spans="2:11" x14ac:dyDescent="0.35">
      <c r="B175">
        <f t="shared" si="10"/>
        <v>169</v>
      </c>
      <c r="C175" s="174">
        <f t="shared" si="9"/>
        <v>7</v>
      </c>
      <c r="D175" s="119">
        <f t="shared" si="11"/>
        <v>51318</v>
      </c>
      <c r="E175" s="197"/>
      <c r="F175" s="197"/>
      <c r="G175" s="197"/>
      <c r="H175" s="197"/>
      <c r="I175" s="197"/>
      <c r="J175" s="197">
        <f>SUMIF(Credit!$A$12:$A$371,Графики!D175,Credit!$D$12:$D$371)</f>
        <v>0</v>
      </c>
      <c r="K175">
        <f>SUMIF(Credit!$A$12:$A$371,Графики!D175,Credit!$C$12:$C$371)</f>
        <v>0</v>
      </c>
    </row>
    <row r="176" spans="2:11" x14ac:dyDescent="0.35">
      <c r="B176">
        <f t="shared" si="10"/>
        <v>170</v>
      </c>
      <c r="C176" s="174">
        <f t="shared" si="9"/>
        <v>8</v>
      </c>
      <c r="D176" s="119">
        <f t="shared" si="11"/>
        <v>51349</v>
      </c>
      <c r="E176" s="197"/>
      <c r="F176" s="197"/>
      <c r="G176" s="197"/>
      <c r="H176" s="197"/>
      <c r="I176" s="197"/>
      <c r="J176" s="197">
        <f>SUMIF(Credit!$A$12:$A$371,Графики!D176,Credit!$D$12:$D$371)</f>
        <v>0</v>
      </c>
      <c r="K176">
        <f>SUMIF(Credit!$A$12:$A$371,Графики!D176,Credit!$C$12:$C$371)</f>
        <v>0</v>
      </c>
    </row>
    <row r="177" spans="2:11" x14ac:dyDescent="0.35">
      <c r="B177">
        <f t="shared" si="10"/>
        <v>171</v>
      </c>
      <c r="C177" s="174">
        <f t="shared" si="9"/>
        <v>9</v>
      </c>
      <c r="D177" s="119">
        <f t="shared" si="11"/>
        <v>51380</v>
      </c>
      <c r="E177" s="197"/>
      <c r="F177" s="197"/>
      <c r="G177" s="197"/>
      <c r="H177" s="197"/>
      <c r="I177" s="197"/>
      <c r="J177" s="197">
        <f>SUMIF(Credit!$A$12:$A$371,Графики!D177,Credit!$D$12:$D$371)</f>
        <v>0</v>
      </c>
      <c r="K177">
        <f>SUMIF(Credit!$A$12:$A$371,Графики!D177,Credit!$C$12:$C$371)</f>
        <v>0</v>
      </c>
    </row>
    <row r="178" spans="2:11" x14ac:dyDescent="0.35">
      <c r="B178">
        <f t="shared" si="10"/>
        <v>172</v>
      </c>
      <c r="C178" s="174">
        <f t="shared" si="9"/>
        <v>10</v>
      </c>
      <c r="D178" s="119">
        <f t="shared" si="11"/>
        <v>51410</v>
      </c>
      <c r="E178" s="197"/>
      <c r="F178" s="197"/>
      <c r="G178" s="197"/>
      <c r="H178" s="197"/>
      <c r="I178" s="197"/>
      <c r="J178" s="197">
        <f>SUMIF(Credit!$A$12:$A$371,Графики!D178,Credit!$D$12:$D$371)</f>
        <v>0</v>
      </c>
      <c r="K178">
        <f>SUMIF(Credit!$A$12:$A$371,Графики!D178,Credit!$C$12:$C$371)</f>
        <v>0</v>
      </c>
    </row>
    <row r="179" spans="2:11" x14ac:dyDescent="0.35">
      <c r="B179">
        <f t="shared" si="10"/>
        <v>173</v>
      </c>
      <c r="C179" s="174">
        <f t="shared" si="9"/>
        <v>11</v>
      </c>
      <c r="D179" s="119">
        <f t="shared" si="11"/>
        <v>51441</v>
      </c>
      <c r="E179" s="197"/>
      <c r="F179" s="197"/>
      <c r="G179" s="197"/>
      <c r="H179" s="197"/>
      <c r="I179" s="197"/>
      <c r="J179" s="197">
        <f>SUMIF(Credit!$A$12:$A$371,Графики!D179,Credit!$D$12:$D$371)</f>
        <v>0</v>
      </c>
      <c r="K179">
        <f>SUMIF(Credit!$A$12:$A$371,Графики!D179,Credit!$C$12:$C$371)</f>
        <v>0</v>
      </c>
    </row>
    <row r="180" spans="2:11" x14ac:dyDescent="0.35">
      <c r="B180">
        <f t="shared" si="10"/>
        <v>174</v>
      </c>
      <c r="C180" s="174">
        <f t="shared" si="9"/>
        <v>12</v>
      </c>
      <c r="D180" s="119">
        <f t="shared" si="11"/>
        <v>51471</v>
      </c>
      <c r="E180" s="197"/>
      <c r="F180" s="197"/>
      <c r="G180" s="197"/>
      <c r="H180" s="197"/>
      <c r="I180" s="197"/>
      <c r="J180" s="197">
        <f>SUMIF(Credit!$A$12:$A$371,Графики!D180,Credit!$D$12:$D$371)</f>
        <v>0</v>
      </c>
      <c r="K180">
        <f>SUMIF(Credit!$A$12:$A$371,Графики!D180,Credit!$C$12:$C$371)</f>
        <v>0</v>
      </c>
    </row>
    <row r="181" spans="2:11" x14ac:dyDescent="0.35">
      <c r="B181">
        <f t="shared" si="10"/>
        <v>175</v>
      </c>
      <c r="C181" s="174">
        <f t="shared" si="9"/>
        <v>1</v>
      </c>
      <c r="D181" s="119">
        <f t="shared" si="11"/>
        <v>51502</v>
      </c>
      <c r="E181" s="197"/>
      <c r="F181" s="197"/>
      <c r="G181" s="197"/>
      <c r="H181" s="197"/>
      <c r="I181" s="197"/>
      <c r="J181" s="197">
        <f>SUMIF(Credit!$A$12:$A$371,Графики!D181,Credit!$D$12:$D$371)</f>
        <v>0</v>
      </c>
      <c r="K181">
        <f>SUMIF(Credit!$A$12:$A$371,Графики!D181,Credit!$C$12:$C$371)</f>
        <v>0</v>
      </c>
    </row>
    <row r="182" spans="2:11" x14ac:dyDescent="0.35">
      <c r="B182">
        <f t="shared" si="10"/>
        <v>176</v>
      </c>
      <c r="C182" s="174">
        <f t="shared" si="9"/>
        <v>2</v>
      </c>
      <c r="D182" s="119">
        <f t="shared" si="11"/>
        <v>51533</v>
      </c>
      <c r="E182" s="197"/>
      <c r="F182" s="197"/>
      <c r="G182" s="197"/>
      <c r="H182" s="197"/>
      <c r="I182" s="197"/>
      <c r="J182" s="197">
        <f>SUMIF(Credit!$A$12:$A$371,Графики!D182,Credit!$D$12:$D$371)</f>
        <v>0</v>
      </c>
      <c r="K182">
        <f>SUMIF(Credit!$A$12:$A$371,Графики!D182,Credit!$C$12:$C$371)</f>
        <v>0</v>
      </c>
    </row>
    <row r="183" spans="2:11" x14ac:dyDescent="0.35">
      <c r="B183">
        <f t="shared" si="10"/>
        <v>177</v>
      </c>
      <c r="C183" s="174">
        <f t="shared" si="9"/>
        <v>3</v>
      </c>
      <c r="D183" s="119">
        <f t="shared" si="11"/>
        <v>51561</v>
      </c>
      <c r="E183" s="197"/>
      <c r="F183" s="197"/>
      <c r="G183" s="197"/>
      <c r="H183" s="197"/>
      <c r="I183" s="197"/>
      <c r="J183" s="197">
        <f>SUMIF(Credit!$A$12:$A$371,Графики!D183,Credit!$D$12:$D$371)</f>
        <v>0</v>
      </c>
      <c r="K183">
        <f>SUMIF(Credit!$A$12:$A$371,Графики!D183,Credit!$C$12:$C$371)</f>
        <v>0</v>
      </c>
    </row>
    <row r="184" spans="2:11" x14ac:dyDescent="0.35">
      <c r="B184">
        <f t="shared" si="10"/>
        <v>178</v>
      </c>
      <c r="C184" s="174">
        <f t="shared" si="9"/>
        <v>4</v>
      </c>
      <c r="D184" s="119">
        <f t="shared" si="11"/>
        <v>51592</v>
      </c>
      <c r="E184" s="197"/>
      <c r="F184" s="197"/>
      <c r="G184" s="197"/>
      <c r="H184" s="197"/>
      <c r="I184" s="197"/>
      <c r="J184" s="197">
        <f>SUMIF(Credit!$A$12:$A$371,Графики!D184,Credit!$D$12:$D$371)</f>
        <v>0</v>
      </c>
      <c r="K184">
        <f>SUMIF(Credit!$A$12:$A$371,Графики!D184,Credit!$C$12:$C$371)</f>
        <v>0</v>
      </c>
    </row>
    <row r="185" spans="2:11" x14ac:dyDescent="0.35">
      <c r="B185">
        <f t="shared" si="10"/>
        <v>179</v>
      </c>
      <c r="C185" s="174">
        <f t="shared" si="9"/>
        <v>5</v>
      </c>
      <c r="D185" s="119">
        <f t="shared" si="11"/>
        <v>51622</v>
      </c>
      <c r="E185" s="197"/>
      <c r="F185" s="197"/>
      <c r="G185" s="197"/>
      <c r="H185" s="197"/>
      <c r="I185" s="197"/>
      <c r="J185" s="197">
        <f>SUMIF(Credit!$A$12:$A$371,Графики!D185,Credit!$D$12:$D$371)</f>
        <v>0</v>
      </c>
      <c r="K185">
        <f>SUMIF(Credit!$A$12:$A$371,Графики!D185,Credit!$C$12:$C$371)</f>
        <v>0</v>
      </c>
    </row>
    <row r="186" spans="2:11" x14ac:dyDescent="0.35">
      <c r="B186">
        <f t="shared" si="10"/>
        <v>180</v>
      </c>
      <c r="C186" s="174">
        <f t="shared" si="9"/>
        <v>6</v>
      </c>
      <c r="D186" s="119">
        <f t="shared" si="11"/>
        <v>51653</v>
      </c>
      <c r="E186" s="197"/>
      <c r="F186" s="197"/>
      <c r="G186" s="197"/>
      <c r="H186" s="197"/>
      <c r="I186" s="197"/>
      <c r="J186" s="197">
        <f>SUMIF(Credit!$A$12:$A$371,Графики!D186,Credit!$D$12:$D$371)</f>
        <v>0</v>
      </c>
      <c r="K186">
        <f>SUMIF(Credit!$A$12:$A$371,Графики!D186,Credit!$C$12:$C$371)</f>
        <v>0</v>
      </c>
    </row>
    <row r="187" spans="2:11" x14ac:dyDescent="0.35">
      <c r="B187">
        <f t="shared" si="10"/>
        <v>181</v>
      </c>
      <c r="C187" s="174">
        <f t="shared" si="9"/>
        <v>7</v>
      </c>
      <c r="D187" s="119">
        <f t="shared" si="11"/>
        <v>51683</v>
      </c>
      <c r="E187" s="197"/>
      <c r="F187" s="197"/>
      <c r="G187" s="197"/>
      <c r="H187" s="197"/>
      <c r="I187" s="197"/>
      <c r="J187" s="197">
        <f>SUMIF(Credit!$A$12:$A$371,Графики!D187,Credit!$D$12:$D$371)</f>
        <v>0</v>
      </c>
      <c r="K187">
        <f>SUMIF(Credit!$A$12:$A$371,Графики!D187,Credit!$C$12:$C$371)</f>
        <v>0</v>
      </c>
    </row>
    <row r="188" spans="2:11" x14ac:dyDescent="0.35">
      <c r="B188">
        <f t="shared" si="10"/>
        <v>182</v>
      </c>
      <c r="C188" s="174">
        <f t="shared" si="9"/>
        <v>8</v>
      </c>
      <c r="D188" s="119">
        <f t="shared" si="11"/>
        <v>51714</v>
      </c>
      <c r="E188" s="197"/>
      <c r="F188" s="197"/>
      <c r="G188" s="197"/>
      <c r="H188" s="197"/>
      <c r="I188" s="197"/>
      <c r="J188" s="197">
        <f>SUMIF(Credit!$A$12:$A$371,Графики!D188,Credit!$D$12:$D$371)</f>
        <v>0</v>
      </c>
      <c r="K188">
        <f>SUMIF(Credit!$A$12:$A$371,Графики!D188,Credit!$C$12:$C$371)</f>
        <v>0</v>
      </c>
    </row>
    <row r="189" spans="2:11" x14ac:dyDescent="0.35">
      <c r="B189">
        <f t="shared" si="10"/>
        <v>183</v>
      </c>
      <c r="C189" s="174">
        <f t="shared" si="9"/>
        <v>9</v>
      </c>
      <c r="D189" s="119">
        <f t="shared" si="11"/>
        <v>51745</v>
      </c>
      <c r="E189" s="197"/>
      <c r="F189" s="197"/>
      <c r="G189" s="197"/>
      <c r="H189" s="197"/>
      <c r="I189" s="197"/>
      <c r="J189" s="197">
        <f>SUMIF(Credit!$A$12:$A$371,Графики!D189,Credit!$D$12:$D$371)</f>
        <v>0</v>
      </c>
      <c r="K189">
        <f>SUMIF(Credit!$A$12:$A$371,Графики!D189,Credit!$C$12:$C$371)</f>
        <v>0</v>
      </c>
    </row>
    <row r="190" spans="2:11" x14ac:dyDescent="0.35">
      <c r="B190">
        <f t="shared" si="10"/>
        <v>184</v>
      </c>
      <c r="C190" s="174">
        <f t="shared" si="9"/>
        <v>10</v>
      </c>
      <c r="D190" s="119">
        <f t="shared" si="11"/>
        <v>51775</v>
      </c>
      <c r="E190" s="197"/>
      <c r="F190" s="197"/>
      <c r="G190" s="197"/>
      <c r="H190" s="197"/>
      <c r="I190" s="197"/>
      <c r="J190" s="197">
        <f>SUMIF(Credit!$A$12:$A$371,Графики!D190,Credit!$D$12:$D$371)</f>
        <v>0</v>
      </c>
      <c r="K190">
        <f>SUMIF(Credit!$A$12:$A$371,Графики!D190,Credit!$C$12:$C$371)</f>
        <v>0</v>
      </c>
    </row>
    <row r="191" spans="2:11" x14ac:dyDescent="0.35">
      <c r="B191">
        <f t="shared" si="10"/>
        <v>185</v>
      </c>
      <c r="C191" s="174">
        <f t="shared" si="9"/>
        <v>11</v>
      </c>
      <c r="D191" s="119">
        <f t="shared" si="11"/>
        <v>51806</v>
      </c>
      <c r="E191" s="197"/>
      <c r="F191" s="197"/>
      <c r="G191" s="197"/>
      <c r="H191" s="197"/>
      <c r="I191" s="197"/>
      <c r="J191" s="197">
        <f>SUMIF(Credit!$A$12:$A$371,Графики!D191,Credit!$D$12:$D$371)</f>
        <v>0</v>
      </c>
      <c r="K191">
        <f>SUMIF(Credit!$A$12:$A$371,Графики!D191,Credit!$C$12:$C$371)</f>
        <v>0</v>
      </c>
    </row>
    <row r="192" spans="2:11" x14ac:dyDescent="0.35">
      <c r="B192">
        <f t="shared" si="10"/>
        <v>186</v>
      </c>
      <c r="C192" s="174">
        <f t="shared" si="9"/>
        <v>12</v>
      </c>
      <c r="D192" s="119">
        <f t="shared" si="11"/>
        <v>51836</v>
      </c>
      <c r="E192" s="197"/>
      <c r="F192" s="197"/>
      <c r="G192" s="197"/>
      <c r="H192" s="197"/>
      <c r="I192" s="197"/>
      <c r="J192" s="197">
        <f>SUMIF(Credit!$A$12:$A$371,Графики!D192,Credit!$D$12:$D$371)</f>
        <v>0</v>
      </c>
      <c r="K192">
        <f>SUMIF(Credit!$A$12:$A$371,Графики!D192,Credit!$C$12:$C$371)</f>
        <v>0</v>
      </c>
    </row>
    <row r="193" spans="2:11" x14ac:dyDescent="0.35">
      <c r="B193">
        <f t="shared" si="10"/>
        <v>187</v>
      </c>
      <c r="C193" s="174">
        <f t="shared" si="9"/>
        <v>1</v>
      </c>
      <c r="D193" s="119">
        <f t="shared" si="11"/>
        <v>51867</v>
      </c>
      <c r="E193" s="197"/>
      <c r="F193" s="197"/>
      <c r="G193" s="197"/>
      <c r="H193" s="197"/>
      <c r="I193" s="197"/>
      <c r="J193" s="197">
        <f>SUMIF(Credit!$A$12:$A$371,Графики!D193,Credit!$D$12:$D$371)</f>
        <v>0</v>
      </c>
      <c r="K193">
        <f>SUMIF(Credit!$A$12:$A$371,Графики!D193,Credit!$C$12:$C$371)</f>
        <v>0</v>
      </c>
    </row>
    <row r="194" spans="2:11" x14ac:dyDescent="0.35">
      <c r="B194">
        <f t="shared" si="10"/>
        <v>188</v>
      </c>
      <c r="C194" s="174">
        <f t="shared" si="9"/>
        <v>2</v>
      </c>
      <c r="D194" s="119">
        <f t="shared" si="11"/>
        <v>51898</v>
      </c>
      <c r="E194" s="197"/>
      <c r="F194" s="197"/>
      <c r="G194" s="197"/>
      <c r="H194" s="197"/>
      <c r="I194" s="197"/>
      <c r="J194" s="197">
        <f>SUMIF(Credit!$A$12:$A$371,Графики!D194,Credit!$D$12:$D$371)</f>
        <v>0</v>
      </c>
      <c r="K194">
        <f>SUMIF(Credit!$A$12:$A$371,Графики!D194,Credit!$C$12:$C$371)</f>
        <v>0</v>
      </c>
    </row>
    <row r="195" spans="2:11" x14ac:dyDescent="0.35">
      <c r="B195">
        <f t="shared" si="10"/>
        <v>189</v>
      </c>
      <c r="C195" s="174">
        <f t="shared" si="9"/>
        <v>3</v>
      </c>
      <c r="D195" s="119">
        <f t="shared" si="11"/>
        <v>51926</v>
      </c>
      <c r="E195" s="197"/>
      <c r="F195" s="197"/>
      <c r="G195" s="197"/>
      <c r="H195" s="197"/>
      <c r="I195" s="197"/>
      <c r="J195" s="197">
        <f>SUMIF(Credit!$A$12:$A$371,Графики!D195,Credit!$D$12:$D$371)</f>
        <v>0</v>
      </c>
      <c r="K195">
        <f>SUMIF(Credit!$A$12:$A$371,Графики!D195,Credit!$C$12:$C$371)</f>
        <v>0</v>
      </c>
    </row>
    <row r="196" spans="2:11" x14ac:dyDescent="0.35">
      <c r="B196">
        <f t="shared" si="10"/>
        <v>190</v>
      </c>
      <c r="C196" s="174">
        <f t="shared" si="9"/>
        <v>4</v>
      </c>
      <c r="D196" s="119">
        <f t="shared" si="11"/>
        <v>51957</v>
      </c>
      <c r="E196" s="197"/>
      <c r="F196" s="197"/>
      <c r="G196" s="197"/>
      <c r="H196" s="197"/>
      <c r="I196" s="197"/>
      <c r="J196" s="197">
        <f>SUMIF(Credit!$A$12:$A$371,Графики!D196,Credit!$D$12:$D$371)</f>
        <v>0</v>
      </c>
      <c r="K196">
        <f>SUMIF(Credit!$A$12:$A$371,Графики!D196,Credit!$C$12:$C$371)</f>
        <v>0</v>
      </c>
    </row>
    <row r="197" spans="2:11" x14ac:dyDescent="0.35">
      <c r="B197">
        <f t="shared" si="10"/>
        <v>191</v>
      </c>
      <c r="C197" s="174">
        <f t="shared" si="9"/>
        <v>5</v>
      </c>
      <c r="D197" s="119">
        <f t="shared" si="11"/>
        <v>51987</v>
      </c>
      <c r="E197" s="197"/>
      <c r="F197" s="197"/>
      <c r="G197" s="197"/>
      <c r="H197" s="197"/>
      <c r="I197" s="197"/>
      <c r="J197" s="197">
        <f>SUMIF(Credit!$A$12:$A$371,Графики!D197,Credit!$D$12:$D$371)</f>
        <v>0</v>
      </c>
      <c r="K197">
        <f>SUMIF(Credit!$A$12:$A$371,Графики!D197,Credit!$C$12:$C$371)</f>
        <v>0</v>
      </c>
    </row>
    <row r="198" spans="2:11" x14ac:dyDescent="0.35">
      <c r="B198">
        <f t="shared" si="10"/>
        <v>192</v>
      </c>
      <c r="C198" s="174">
        <f t="shared" si="9"/>
        <v>6</v>
      </c>
      <c r="D198" s="119">
        <f t="shared" si="11"/>
        <v>52018</v>
      </c>
      <c r="E198" s="197"/>
      <c r="F198" s="197"/>
      <c r="G198" s="197"/>
      <c r="H198" s="197"/>
      <c r="I198" s="197"/>
      <c r="J198" s="197">
        <f>SUMIF(Credit!$A$12:$A$371,Графики!D198,Credit!$D$12:$D$371)</f>
        <v>0</v>
      </c>
      <c r="K198">
        <f>SUMIF(Credit!$A$12:$A$371,Графики!D198,Credit!$C$12:$C$371)</f>
        <v>0</v>
      </c>
    </row>
    <row r="199" spans="2:11" x14ac:dyDescent="0.35">
      <c r="B199">
        <f t="shared" si="10"/>
        <v>193</v>
      </c>
      <c r="C199" s="174">
        <f t="shared" ref="C199:C262" si="12">MONTH(D199)</f>
        <v>7</v>
      </c>
      <c r="D199" s="119">
        <f t="shared" si="11"/>
        <v>52048</v>
      </c>
      <c r="E199" s="197"/>
      <c r="F199" s="197"/>
      <c r="G199" s="197"/>
      <c r="H199" s="197"/>
      <c r="I199" s="197"/>
      <c r="J199" s="197">
        <f>SUMIF(Credit!$A$12:$A$371,Графики!D199,Credit!$D$12:$D$371)</f>
        <v>0</v>
      </c>
      <c r="K199">
        <f>SUMIF(Credit!$A$12:$A$371,Графики!D199,Credit!$C$12:$C$371)</f>
        <v>0</v>
      </c>
    </row>
    <row r="200" spans="2:11" x14ac:dyDescent="0.35">
      <c r="B200">
        <f t="shared" ref="B200:B263" si="13">B199+1</f>
        <v>194</v>
      </c>
      <c r="C200" s="174">
        <f t="shared" si="12"/>
        <v>8</v>
      </c>
      <c r="D200" s="119">
        <f t="shared" ref="D200:D263" si="14">EDATE(D199,1)</f>
        <v>52079</v>
      </c>
      <c r="E200" s="197"/>
      <c r="F200" s="197"/>
      <c r="G200" s="197"/>
      <c r="H200" s="197"/>
      <c r="I200" s="197"/>
      <c r="J200" s="197">
        <f>SUMIF(Credit!$A$12:$A$371,Графики!D200,Credit!$D$12:$D$371)</f>
        <v>0</v>
      </c>
      <c r="K200">
        <f>SUMIF(Credit!$A$12:$A$371,Графики!D200,Credit!$C$12:$C$371)</f>
        <v>0</v>
      </c>
    </row>
    <row r="201" spans="2:11" x14ac:dyDescent="0.35">
      <c r="B201">
        <f t="shared" si="13"/>
        <v>195</v>
      </c>
      <c r="C201" s="174">
        <f t="shared" si="12"/>
        <v>9</v>
      </c>
      <c r="D201" s="119">
        <f t="shared" si="14"/>
        <v>52110</v>
      </c>
      <c r="E201" s="197"/>
      <c r="F201" s="197"/>
      <c r="G201" s="197"/>
      <c r="H201" s="197"/>
      <c r="I201" s="197"/>
      <c r="J201" s="197">
        <f>SUMIF(Credit!$A$12:$A$371,Графики!D201,Credit!$D$12:$D$371)</f>
        <v>0</v>
      </c>
      <c r="K201">
        <f>SUMIF(Credit!$A$12:$A$371,Графики!D201,Credit!$C$12:$C$371)</f>
        <v>0</v>
      </c>
    </row>
    <row r="202" spans="2:11" x14ac:dyDescent="0.35">
      <c r="B202">
        <f t="shared" si="13"/>
        <v>196</v>
      </c>
      <c r="C202" s="174">
        <f t="shared" si="12"/>
        <v>10</v>
      </c>
      <c r="D202" s="119">
        <f t="shared" si="14"/>
        <v>52140</v>
      </c>
      <c r="E202" s="197"/>
      <c r="F202" s="197"/>
      <c r="G202" s="197"/>
      <c r="H202" s="197"/>
      <c r="I202" s="197"/>
      <c r="J202" s="197">
        <f>SUMIF(Credit!$A$12:$A$371,Графики!D202,Credit!$D$12:$D$371)</f>
        <v>0</v>
      </c>
      <c r="K202">
        <f>SUMIF(Credit!$A$12:$A$371,Графики!D202,Credit!$C$12:$C$371)</f>
        <v>0</v>
      </c>
    </row>
    <row r="203" spans="2:11" x14ac:dyDescent="0.35">
      <c r="B203">
        <f t="shared" si="13"/>
        <v>197</v>
      </c>
      <c r="C203" s="174">
        <f t="shared" si="12"/>
        <v>11</v>
      </c>
      <c r="D203" s="119">
        <f t="shared" si="14"/>
        <v>52171</v>
      </c>
      <c r="E203" s="197"/>
      <c r="F203" s="197"/>
      <c r="G203" s="197"/>
      <c r="H203" s="197"/>
      <c r="I203" s="197"/>
      <c r="J203" s="197">
        <f>SUMIF(Credit!$A$12:$A$371,Графики!D203,Credit!$D$12:$D$371)</f>
        <v>0</v>
      </c>
      <c r="K203">
        <f>SUMIF(Credit!$A$12:$A$371,Графики!D203,Credit!$C$12:$C$371)</f>
        <v>0</v>
      </c>
    </row>
    <row r="204" spans="2:11" x14ac:dyDescent="0.35">
      <c r="B204">
        <f t="shared" si="13"/>
        <v>198</v>
      </c>
      <c r="C204" s="174">
        <f t="shared" si="12"/>
        <v>12</v>
      </c>
      <c r="D204" s="119">
        <f t="shared" si="14"/>
        <v>52201</v>
      </c>
      <c r="E204" s="197"/>
      <c r="F204" s="197"/>
      <c r="G204" s="197"/>
      <c r="H204" s="197"/>
      <c r="I204" s="197"/>
      <c r="J204" s="197">
        <f>SUMIF(Credit!$A$12:$A$371,Графики!D204,Credit!$D$12:$D$371)</f>
        <v>0</v>
      </c>
      <c r="K204">
        <f>SUMIF(Credit!$A$12:$A$371,Графики!D204,Credit!$C$12:$C$371)</f>
        <v>0</v>
      </c>
    </row>
    <row r="205" spans="2:11" x14ac:dyDescent="0.35">
      <c r="B205">
        <f t="shared" si="13"/>
        <v>199</v>
      </c>
      <c r="C205" s="174">
        <f t="shared" si="12"/>
        <v>1</v>
      </c>
      <c r="D205" s="119">
        <f t="shared" si="14"/>
        <v>52232</v>
      </c>
      <c r="E205" s="197"/>
      <c r="F205" s="197"/>
      <c r="G205" s="197"/>
      <c r="H205" s="197"/>
      <c r="I205" s="197"/>
      <c r="J205" s="197">
        <f>SUMIF(Credit!$A$12:$A$371,Графики!D205,Credit!$D$12:$D$371)</f>
        <v>0</v>
      </c>
      <c r="K205">
        <f>SUMIF(Credit!$A$12:$A$371,Графики!D205,Credit!$C$12:$C$371)</f>
        <v>0</v>
      </c>
    </row>
    <row r="206" spans="2:11" x14ac:dyDescent="0.35">
      <c r="B206">
        <f t="shared" si="13"/>
        <v>200</v>
      </c>
      <c r="C206" s="174">
        <f t="shared" si="12"/>
        <v>2</v>
      </c>
      <c r="D206" s="119">
        <f t="shared" si="14"/>
        <v>52263</v>
      </c>
      <c r="E206" s="197"/>
      <c r="F206" s="197"/>
      <c r="G206" s="197"/>
      <c r="H206" s="197"/>
      <c r="I206" s="197"/>
      <c r="J206" s="197">
        <f>SUMIF(Credit!$A$12:$A$371,Графики!D206,Credit!$D$12:$D$371)</f>
        <v>0</v>
      </c>
      <c r="K206">
        <f>SUMIF(Credit!$A$12:$A$371,Графики!D206,Credit!$C$12:$C$371)</f>
        <v>0</v>
      </c>
    </row>
    <row r="207" spans="2:11" x14ac:dyDescent="0.35">
      <c r="B207">
        <f t="shared" si="13"/>
        <v>201</v>
      </c>
      <c r="C207" s="174">
        <f t="shared" si="12"/>
        <v>3</v>
      </c>
      <c r="D207" s="119">
        <f t="shared" si="14"/>
        <v>52291</v>
      </c>
      <c r="E207" s="197"/>
      <c r="F207" s="197"/>
      <c r="G207" s="197"/>
      <c r="H207" s="197"/>
      <c r="I207" s="197"/>
      <c r="J207" s="197">
        <f>SUMIF(Credit!$A$12:$A$371,Графики!D207,Credit!$D$12:$D$371)</f>
        <v>0</v>
      </c>
      <c r="K207">
        <f>SUMIF(Credit!$A$12:$A$371,Графики!D207,Credit!$C$12:$C$371)</f>
        <v>0</v>
      </c>
    </row>
    <row r="208" spans="2:11" x14ac:dyDescent="0.35">
      <c r="B208">
        <f t="shared" si="13"/>
        <v>202</v>
      </c>
      <c r="C208" s="174">
        <f t="shared" si="12"/>
        <v>4</v>
      </c>
      <c r="D208" s="119">
        <f t="shared" si="14"/>
        <v>52322</v>
      </c>
      <c r="E208" s="197"/>
      <c r="F208" s="197"/>
      <c r="G208" s="197"/>
      <c r="H208" s="197"/>
      <c r="I208" s="197"/>
      <c r="J208" s="197">
        <f>SUMIF(Credit!$A$12:$A$371,Графики!D208,Credit!$D$12:$D$371)</f>
        <v>0</v>
      </c>
      <c r="K208">
        <f>SUMIF(Credit!$A$12:$A$371,Графики!D208,Credit!$C$12:$C$371)</f>
        <v>0</v>
      </c>
    </row>
    <row r="209" spans="2:11" x14ac:dyDescent="0.35">
      <c r="B209">
        <f t="shared" si="13"/>
        <v>203</v>
      </c>
      <c r="C209" s="174">
        <f t="shared" si="12"/>
        <v>5</v>
      </c>
      <c r="D209" s="119">
        <f t="shared" si="14"/>
        <v>52352</v>
      </c>
      <c r="E209" s="197"/>
      <c r="F209" s="197"/>
      <c r="G209" s="197"/>
      <c r="H209" s="197"/>
      <c r="I209" s="197"/>
      <c r="J209" s="197">
        <f>SUMIF(Credit!$A$12:$A$371,Графики!D209,Credit!$D$12:$D$371)</f>
        <v>0</v>
      </c>
      <c r="K209">
        <f>SUMIF(Credit!$A$12:$A$371,Графики!D209,Credit!$C$12:$C$371)</f>
        <v>0</v>
      </c>
    </row>
    <row r="210" spans="2:11" x14ac:dyDescent="0.35">
      <c r="B210">
        <f t="shared" si="13"/>
        <v>204</v>
      </c>
      <c r="C210" s="174">
        <f t="shared" si="12"/>
        <v>6</v>
      </c>
      <c r="D210" s="119">
        <f t="shared" si="14"/>
        <v>52383</v>
      </c>
      <c r="E210" s="197"/>
      <c r="F210" s="197"/>
      <c r="G210" s="197"/>
      <c r="H210" s="197"/>
      <c r="I210" s="197"/>
      <c r="J210" s="197">
        <f>SUMIF(Credit!$A$12:$A$371,Графики!D210,Credit!$D$12:$D$371)</f>
        <v>0</v>
      </c>
      <c r="K210">
        <f>SUMIF(Credit!$A$12:$A$371,Графики!D210,Credit!$C$12:$C$371)</f>
        <v>0</v>
      </c>
    </row>
    <row r="211" spans="2:11" x14ac:dyDescent="0.35">
      <c r="B211">
        <f t="shared" si="13"/>
        <v>205</v>
      </c>
      <c r="C211" s="174">
        <f t="shared" si="12"/>
        <v>7</v>
      </c>
      <c r="D211" s="119">
        <f t="shared" si="14"/>
        <v>52413</v>
      </c>
      <c r="E211" s="197"/>
      <c r="F211" s="197"/>
      <c r="G211" s="197"/>
      <c r="H211" s="197"/>
      <c r="I211" s="197"/>
      <c r="J211" s="197">
        <f>SUMIF(Credit!$A$12:$A$371,Графики!D211,Credit!$D$12:$D$371)</f>
        <v>0</v>
      </c>
      <c r="K211">
        <f>SUMIF(Credit!$A$12:$A$371,Графики!D211,Credit!$C$12:$C$371)</f>
        <v>0</v>
      </c>
    </row>
    <row r="212" spans="2:11" x14ac:dyDescent="0.35">
      <c r="B212">
        <f t="shared" si="13"/>
        <v>206</v>
      </c>
      <c r="C212" s="174">
        <f t="shared" si="12"/>
        <v>8</v>
      </c>
      <c r="D212" s="119">
        <f t="shared" si="14"/>
        <v>52444</v>
      </c>
      <c r="E212" s="197"/>
      <c r="F212" s="197"/>
      <c r="G212" s="197"/>
      <c r="H212" s="197"/>
      <c r="I212" s="197"/>
      <c r="J212" s="197">
        <f>SUMIF(Credit!$A$12:$A$371,Графики!D212,Credit!$D$12:$D$371)</f>
        <v>0</v>
      </c>
      <c r="K212">
        <f>SUMIF(Credit!$A$12:$A$371,Графики!D212,Credit!$C$12:$C$371)</f>
        <v>0</v>
      </c>
    </row>
    <row r="213" spans="2:11" x14ac:dyDescent="0.35">
      <c r="B213">
        <f t="shared" si="13"/>
        <v>207</v>
      </c>
      <c r="C213" s="174">
        <f t="shared" si="12"/>
        <v>9</v>
      </c>
      <c r="D213" s="119">
        <f t="shared" si="14"/>
        <v>52475</v>
      </c>
      <c r="E213" s="197"/>
      <c r="F213" s="197"/>
      <c r="G213" s="197"/>
      <c r="H213" s="197"/>
      <c r="I213" s="197"/>
      <c r="J213" s="197">
        <f>SUMIF(Credit!$A$12:$A$371,Графики!D213,Credit!$D$12:$D$371)</f>
        <v>0</v>
      </c>
      <c r="K213">
        <f>SUMIF(Credit!$A$12:$A$371,Графики!D213,Credit!$C$12:$C$371)</f>
        <v>0</v>
      </c>
    </row>
    <row r="214" spans="2:11" x14ac:dyDescent="0.35">
      <c r="B214">
        <f t="shared" si="13"/>
        <v>208</v>
      </c>
      <c r="C214" s="174">
        <f t="shared" si="12"/>
        <v>10</v>
      </c>
      <c r="D214" s="119">
        <f t="shared" si="14"/>
        <v>52505</v>
      </c>
      <c r="E214" s="197"/>
      <c r="F214" s="197"/>
      <c r="G214" s="197"/>
      <c r="H214" s="197"/>
      <c r="I214" s="197"/>
      <c r="J214" s="197">
        <f>SUMIF(Credit!$A$12:$A$371,Графики!D214,Credit!$D$12:$D$371)</f>
        <v>0</v>
      </c>
      <c r="K214">
        <f>SUMIF(Credit!$A$12:$A$371,Графики!D214,Credit!$C$12:$C$371)</f>
        <v>0</v>
      </c>
    </row>
    <row r="215" spans="2:11" x14ac:dyDescent="0.35">
      <c r="B215">
        <f t="shared" si="13"/>
        <v>209</v>
      </c>
      <c r="C215" s="174">
        <f t="shared" si="12"/>
        <v>11</v>
      </c>
      <c r="D215" s="119">
        <f t="shared" si="14"/>
        <v>52536</v>
      </c>
      <c r="E215" s="197"/>
      <c r="F215" s="197"/>
      <c r="G215" s="197"/>
      <c r="H215" s="197"/>
      <c r="I215" s="197"/>
      <c r="J215" s="197">
        <f>SUMIF(Credit!$A$12:$A$371,Графики!D215,Credit!$D$12:$D$371)</f>
        <v>0</v>
      </c>
      <c r="K215">
        <f>SUMIF(Credit!$A$12:$A$371,Графики!D215,Credit!$C$12:$C$371)</f>
        <v>0</v>
      </c>
    </row>
    <row r="216" spans="2:11" x14ac:dyDescent="0.35">
      <c r="B216">
        <f t="shared" si="13"/>
        <v>210</v>
      </c>
      <c r="C216" s="174">
        <f t="shared" si="12"/>
        <v>12</v>
      </c>
      <c r="D216" s="119">
        <f t="shared" si="14"/>
        <v>52566</v>
      </c>
      <c r="E216" s="197"/>
      <c r="F216" s="197"/>
      <c r="G216" s="197"/>
      <c r="H216" s="197"/>
      <c r="I216" s="197"/>
      <c r="J216" s="197">
        <f>SUMIF(Credit!$A$12:$A$371,Графики!D216,Credit!$D$12:$D$371)</f>
        <v>0</v>
      </c>
      <c r="K216">
        <f>SUMIF(Credit!$A$12:$A$371,Графики!D216,Credit!$C$12:$C$371)</f>
        <v>0</v>
      </c>
    </row>
    <row r="217" spans="2:11" x14ac:dyDescent="0.35">
      <c r="B217">
        <f t="shared" si="13"/>
        <v>211</v>
      </c>
      <c r="C217" s="174">
        <f t="shared" si="12"/>
        <v>1</v>
      </c>
      <c r="D217" s="119">
        <f t="shared" si="14"/>
        <v>52597</v>
      </c>
      <c r="E217" s="197"/>
      <c r="F217" s="197"/>
      <c r="G217" s="197"/>
      <c r="H217" s="197"/>
      <c r="I217" s="197"/>
      <c r="J217" s="197">
        <f>SUMIF(Credit!$A$12:$A$371,Графики!D217,Credit!$D$12:$D$371)</f>
        <v>0</v>
      </c>
      <c r="K217">
        <f>SUMIF(Credit!$A$12:$A$371,Графики!D217,Credit!$C$12:$C$371)</f>
        <v>0</v>
      </c>
    </row>
    <row r="218" spans="2:11" x14ac:dyDescent="0.35">
      <c r="B218">
        <f t="shared" si="13"/>
        <v>212</v>
      </c>
      <c r="C218" s="174">
        <f t="shared" si="12"/>
        <v>2</v>
      </c>
      <c r="D218" s="119">
        <f t="shared" si="14"/>
        <v>52628</v>
      </c>
      <c r="E218" s="197"/>
      <c r="F218" s="197"/>
      <c r="G218" s="197"/>
      <c r="H218" s="197"/>
      <c r="I218" s="197"/>
      <c r="J218" s="197">
        <f>SUMIF(Credit!$A$12:$A$371,Графики!D218,Credit!$D$12:$D$371)</f>
        <v>0</v>
      </c>
      <c r="K218">
        <f>SUMIF(Credit!$A$12:$A$371,Графики!D218,Credit!$C$12:$C$371)</f>
        <v>0</v>
      </c>
    </row>
    <row r="219" spans="2:11" x14ac:dyDescent="0.35">
      <c r="B219">
        <f t="shared" si="13"/>
        <v>213</v>
      </c>
      <c r="C219" s="174">
        <f t="shared" si="12"/>
        <v>3</v>
      </c>
      <c r="D219" s="119">
        <f t="shared" si="14"/>
        <v>52657</v>
      </c>
      <c r="E219" s="197"/>
      <c r="F219" s="197"/>
      <c r="G219" s="197"/>
      <c r="H219" s="197"/>
      <c r="I219" s="197"/>
      <c r="J219" s="197">
        <f>SUMIF(Credit!$A$12:$A$371,Графики!D219,Credit!$D$12:$D$371)</f>
        <v>0</v>
      </c>
      <c r="K219">
        <f>SUMIF(Credit!$A$12:$A$371,Графики!D219,Credit!$C$12:$C$371)</f>
        <v>0</v>
      </c>
    </row>
    <row r="220" spans="2:11" x14ac:dyDescent="0.35">
      <c r="B220">
        <f t="shared" si="13"/>
        <v>214</v>
      </c>
      <c r="C220" s="174">
        <f t="shared" si="12"/>
        <v>4</v>
      </c>
      <c r="D220" s="119">
        <f t="shared" si="14"/>
        <v>52688</v>
      </c>
      <c r="E220" s="197"/>
      <c r="F220" s="197"/>
      <c r="G220" s="197"/>
      <c r="H220" s="197"/>
      <c r="I220" s="197"/>
      <c r="J220" s="197">
        <f>SUMIF(Credit!$A$12:$A$371,Графики!D220,Credit!$D$12:$D$371)</f>
        <v>0</v>
      </c>
      <c r="K220">
        <f>SUMIF(Credit!$A$12:$A$371,Графики!D220,Credit!$C$12:$C$371)</f>
        <v>0</v>
      </c>
    </row>
    <row r="221" spans="2:11" x14ac:dyDescent="0.35">
      <c r="B221">
        <f t="shared" si="13"/>
        <v>215</v>
      </c>
      <c r="C221" s="174">
        <f t="shared" si="12"/>
        <v>5</v>
      </c>
      <c r="D221" s="119">
        <f t="shared" si="14"/>
        <v>52718</v>
      </c>
      <c r="E221" s="197"/>
      <c r="F221" s="197"/>
      <c r="G221" s="197"/>
      <c r="H221" s="197"/>
      <c r="I221" s="197"/>
      <c r="J221" s="197">
        <f>SUMIF(Credit!$A$12:$A$371,Графики!D221,Credit!$D$12:$D$371)</f>
        <v>0</v>
      </c>
      <c r="K221">
        <f>SUMIF(Credit!$A$12:$A$371,Графики!D221,Credit!$C$12:$C$371)</f>
        <v>0</v>
      </c>
    </row>
    <row r="222" spans="2:11" x14ac:dyDescent="0.35">
      <c r="B222">
        <f t="shared" si="13"/>
        <v>216</v>
      </c>
      <c r="C222" s="174">
        <f t="shared" si="12"/>
        <v>6</v>
      </c>
      <c r="D222" s="119">
        <f t="shared" si="14"/>
        <v>52749</v>
      </c>
      <c r="E222" s="197"/>
      <c r="F222" s="197"/>
      <c r="G222" s="197"/>
      <c r="H222" s="197"/>
      <c r="I222" s="197"/>
      <c r="J222" s="197">
        <f>SUMIF(Credit!$A$12:$A$371,Графики!D222,Credit!$D$12:$D$371)</f>
        <v>0</v>
      </c>
      <c r="K222">
        <f>SUMIF(Credit!$A$12:$A$371,Графики!D222,Credit!$C$12:$C$371)</f>
        <v>0</v>
      </c>
    </row>
    <row r="223" spans="2:11" x14ac:dyDescent="0.35">
      <c r="B223">
        <f t="shared" si="13"/>
        <v>217</v>
      </c>
      <c r="C223" s="174">
        <f t="shared" si="12"/>
        <v>7</v>
      </c>
      <c r="D223" s="119">
        <f t="shared" si="14"/>
        <v>52779</v>
      </c>
      <c r="E223" s="197"/>
      <c r="F223" s="197"/>
      <c r="G223" s="197"/>
      <c r="H223" s="197"/>
      <c r="I223" s="197"/>
      <c r="J223" s="197">
        <f>SUMIF(Credit!$A$12:$A$371,Графики!D223,Credit!$D$12:$D$371)</f>
        <v>0</v>
      </c>
      <c r="K223">
        <f>SUMIF(Credit!$A$12:$A$371,Графики!D223,Credit!$C$12:$C$371)</f>
        <v>0</v>
      </c>
    </row>
    <row r="224" spans="2:11" x14ac:dyDescent="0.35">
      <c r="B224">
        <f t="shared" si="13"/>
        <v>218</v>
      </c>
      <c r="C224" s="174">
        <f t="shared" si="12"/>
        <v>8</v>
      </c>
      <c r="D224" s="119">
        <f t="shared" si="14"/>
        <v>52810</v>
      </c>
      <c r="E224" s="197"/>
      <c r="F224" s="197"/>
      <c r="G224" s="197"/>
      <c r="H224" s="197"/>
      <c r="I224" s="197"/>
      <c r="J224" s="197">
        <f>SUMIF(Credit!$A$12:$A$371,Графики!D224,Credit!$D$12:$D$371)</f>
        <v>0</v>
      </c>
      <c r="K224">
        <f>SUMIF(Credit!$A$12:$A$371,Графики!D224,Credit!$C$12:$C$371)</f>
        <v>0</v>
      </c>
    </row>
    <row r="225" spans="2:11" x14ac:dyDescent="0.35">
      <c r="B225">
        <f t="shared" si="13"/>
        <v>219</v>
      </c>
      <c r="C225" s="174">
        <f t="shared" si="12"/>
        <v>9</v>
      </c>
      <c r="D225" s="119">
        <f t="shared" si="14"/>
        <v>52841</v>
      </c>
      <c r="E225" s="197"/>
      <c r="F225" s="197"/>
      <c r="G225" s="197"/>
      <c r="H225" s="197"/>
      <c r="I225" s="197"/>
      <c r="J225" s="197">
        <f>SUMIF(Credit!$A$12:$A$371,Графики!D225,Credit!$D$12:$D$371)</f>
        <v>0</v>
      </c>
      <c r="K225">
        <f>SUMIF(Credit!$A$12:$A$371,Графики!D225,Credit!$C$12:$C$371)</f>
        <v>0</v>
      </c>
    </row>
    <row r="226" spans="2:11" x14ac:dyDescent="0.35">
      <c r="B226">
        <f t="shared" si="13"/>
        <v>220</v>
      </c>
      <c r="C226" s="174">
        <f t="shared" si="12"/>
        <v>10</v>
      </c>
      <c r="D226" s="119">
        <f t="shared" si="14"/>
        <v>52871</v>
      </c>
      <c r="E226" s="197"/>
      <c r="F226" s="197"/>
      <c r="G226" s="197"/>
      <c r="H226" s="197"/>
      <c r="I226" s="197"/>
      <c r="J226" s="197">
        <f>SUMIF(Credit!$A$12:$A$371,Графики!D226,Credit!$D$12:$D$371)</f>
        <v>0</v>
      </c>
      <c r="K226">
        <f>SUMIF(Credit!$A$12:$A$371,Графики!D226,Credit!$C$12:$C$371)</f>
        <v>0</v>
      </c>
    </row>
    <row r="227" spans="2:11" x14ac:dyDescent="0.35">
      <c r="B227">
        <f t="shared" si="13"/>
        <v>221</v>
      </c>
      <c r="C227" s="174">
        <f t="shared" si="12"/>
        <v>11</v>
      </c>
      <c r="D227" s="119">
        <f t="shared" si="14"/>
        <v>52902</v>
      </c>
      <c r="E227" s="197"/>
      <c r="F227" s="197"/>
      <c r="G227" s="197"/>
      <c r="H227" s="197"/>
      <c r="I227" s="197"/>
      <c r="J227" s="197">
        <f>SUMIF(Credit!$A$12:$A$371,Графики!D227,Credit!$D$12:$D$371)</f>
        <v>0</v>
      </c>
      <c r="K227">
        <f>SUMIF(Credit!$A$12:$A$371,Графики!D227,Credit!$C$12:$C$371)</f>
        <v>0</v>
      </c>
    </row>
    <row r="228" spans="2:11" x14ac:dyDescent="0.35">
      <c r="B228">
        <f t="shared" si="13"/>
        <v>222</v>
      </c>
      <c r="C228" s="174">
        <f t="shared" si="12"/>
        <v>12</v>
      </c>
      <c r="D228" s="119">
        <f t="shared" si="14"/>
        <v>52932</v>
      </c>
      <c r="E228" s="197"/>
      <c r="F228" s="197"/>
      <c r="G228" s="197"/>
      <c r="H228" s="197"/>
      <c r="I228" s="197"/>
      <c r="J228" s="197">
        <f>SUMIF(Credit!$A$12:$A$371,Графики!D228,Credit!$D$12:$D$371)</f>
        <v>0</v>
      </c>
      <c r="K228">
        <f>SUMIF(Credit!$A$12:$A$371,Графики!D228,Credit!$C$12:$C$371)</f>
        <v>0</v>
      </c>
    </row>
    <row r="229" spans="2:11" x14ac:dyDescent="0.35">
      <c r="B229">
        <f t="shared" si="13"/>
        <v>223</v>
      </c>
      <c r="C229" s="174">
        <f t="shared" si="12"/>
        <v>1</v>
      </c>
      <c r="D229" s="119">
        <f t="shared" si="14"/>
        <v>52963</v>
      </c>
      <c r="E229" s="197"/>
      <c r="F229" s="197"/>
      <c r="G229" s="197"/>
      <c r="H229" s="197"/>
      <c r="I229" s="197"/>
      <c r="J229" s="197">
        <f>SUMIF(Credit!$A$12:$A$371,Графики!D229,Credit!$D$12:$D$371)</f>
        <v>0</v>
      </c>
      <c r="K229">
        <f>SUMIF(Credit!$A$12:$A$371,Графики!D229,Credit!$C$12:$C$371)</f>
        <v>0</v>
      </c>
    </row>
    <row r="230" spans="2:11" x14ac:dyDescent="0.35">
      <c r="B230">
        <f t="shared" si="13"/>
        <v>224</v>
      </c>
      <c r="C230" s="174">
        <f t="shared" si="12"/>
        <v>2</v>
      </c>
      <c r="D230" s="119">
        <f t="shared" si="14"/>
        <v>52994</v>
      </c>
      <c r="E230" s="197"/>
      <c r="F230" s="197"/>
      <c r="G230" s="197"/>
      <c r="H230" s="197"/>
      <c r="I230" s="197"/>
      <c r="J230" s="197">
        <f>SUMIF(Credit!$A$12:$A$371,Графики!D230,Credit!$D$12:$D$371)</f>
        <v>0</v>
      </c>
      <c r="K230">
        <f>SUMIF(Credit!$A$12:$A$371,Графики!D230,Credit!$C$12:$C$371)</f>
        <v>0</v>
      </c>
    </row>
    <row r="231" spans="2:11" x14ac:dyDescent="0.35">
      <c r="B231">
        <f t="shared" si="13"/>
        <v>225</v>
      </c>
      <c r="C231" s="174">
        <f t="shared" si="12"/>
        <v>3</v>
      </c>
      <c r="D231" s="119">
        <f t="shared" si="14"/>
        <v>53022</v>
      </c>
      <c r="E231" s="197"/>
      <c r="F231" s="197"/>
      <c r="G231" s="197"/>
      <c r="H231" s="197"/>
      <c r="I231" s="197"/>
      <c r="J231" s="197">
        <f>SUMIF(Credit!$A$12:$A$371,Графики!D231,Credit!$D$12:$D$371)</f>
        <v>0</v>
      </c>
      <c r="K231">
        <f>SUMIF(Credit!$A$12:$A$371,Графики!D231,Credit!$C$12:$C$371)</f>
        <v>0</v>
      </c>
    </row>
    <row r="232" spans="2:11" x14ac:dyDescent="0.35">
      <c r="B232">
        <f t="shared" si="13"/>
        <v>226</v>
      </c>
      <c r="C232" s="174">
        <f t="shared" si="12"/>
        <v>4</v>
      </c>
      <c r="D232" s="119">
        <f t="shared" si="14"/>
        <v>53053</v>
      </c>
      <c r="E232" s="197"/>
      <c r="F232" s="197"/>
      <c r="G232" s="197"/>
      <c r="H232" s="197"/>
      <c r="I232" s="197"/>
      <c r="J232" s="197">
        <f>SUMIF(Credit!$A$12:$A$371,Графики!D232,Credit!$D$12:$D$371)</f>
        <v>0</v>
      </c>
      <c r="K232">
        <f>SUMIF(Credit!$A$12:$A$371,Графики!D232,Credit!$C$12:$C$371)</f>
        <v>0</v>
      </c>
    </row>
    <row r="233" spans="2:11" x14ac:dyDescent="0.35">
      <c r="B233">
        <f t="shared" si="13"/>
        <v>227</v>
      </c>
      <c r="C233" s="174">
        <f t="shared" si="12"/>
        <v>5</v>
      </c>
      <c r="D233" s="119">
        <f t="shared" si="14"/>
        <v>53083</v>
      </c>
      <c r="E233" s="197"/>
      <c r="F233" s="197"/>
      <c r="G233" s="197"/>
      <c r="H233" s="197"/>
      <c r="I233" s="197"/>
      <c r="J233" s="197">
        <f>SUMIF(Credit!$A$12:$A$371,Графики!D233,Credit!$D$12:$D$371)</f>
        <v>0</v>
      </c>
      <c r="K233">
        <f>SUMIF(Credit!$A$12:$A$371,Графики!D233,Credit!$C$12:$C$371)</f>
        <v>0</v>
      </c>
    </row>
    <row r="234" spans="2:11" x14ac:dyDescent="0.35">
      <c r="B234">
        <f t="shared" si="13"/>
        <v>228</v>
      </c>
      <c r="C234" s="174">
        <f t="shared" si="12"/>
        <v>6</v>
      </c>
      <c r="D234" s="119">
        <f t="shared" si="14"/>
        <v>53114</v>
      </c>
      <c r="E234" s="197"/>
      <c r="F234" s="197"/>
      <c r="G234" s="197"/>
      <c r="H234" s="197"/>
      <c r="I234" s="197"/>
      <c r="J234" s="197">
        <f>SUMIF(Credit!$A$12:$A$371,Графики!D234,Credit!$D$12:$D$371)</f>
        <v>0</v>
      </c>
      <c r="K234">
        <f>SUMIF(Credit!$A$12:$A$371,Графики!D234,Credit!$C$12:$C$371)</f>
        <v>0</v>
      </c>
    </row>
    <row r="235" spans="2:11" x14ac:dyDescent="0.35">
      <c r="B235">
        <f t="shared" si="13"/>
        <v>229</v>
      </c>
      <c r="C235" s="174">
        <f t="shared" si="12"/>
        <v>7</v>
      </c>
      <c r="D235" s="119">
        <f t="shared" si="14"/>
        <v>53144</v>
      </c>
      <c r="E235" s="197"/>
      <c r="F235" s="197"/>
      <c r="G235" s="197"/>
      <c r="H235" s="197"/>
      <c r="I235" s="197"/>
      <c r="J235" s="197">
        <f>SUMIF(Credit!$A$12:$A$371,Графики!D235,Credit!$D$12:$D$371)</f>
        <v>0</v>
      </c>
      <c r="K235">
        <f>SUMIF(Credit!$A$12:$A$371,Графики!D235,Credit!$C$12:$C$371)</f>
        <v>0</v>
      </c>
    </row>
    <row r="236" spans="2:11" x14ac:dyDescent="0.35">
      <c r="B236">
        <f t="shared" si="13"/>
        <v>230</v>
      </c>
      <c r="C236" s="174">
        <f t="shared" si="12"/>
        <v>8</v>
      </c>
      <c r="D236" s="119">
        <f t="shared" si="14"/>
        <v>53175</v>
      </c>
      <c r="E236" s="197"/>
      <c r="F236" s="197"/>
      <c r="G236" s="197"/>
      <c r="H236" s="197"/>
      <c r="I236" s="197"/>
      <c r="J236" s="197">
        <f>SUMIF(Credit!$A$12:$A$371,Графики!D236,Credit!$D$12:$D$371)</f>
        <v>0</v>
      </c>
      <c r="K236">
        <f>SUMIF(Credit!$A$12:$A$371,Графики!D236,Credit!$C$12:$C$371)</f>
        <v>0</v>
      </c>
    </row>
    <row r="237" spans="2:11" x14ac:dyDescent="0.35">
      <c r="B237">
        <f t="shared" si="13"/>
        <v>231</v>
      </c>
      <c r="C237" s="174">
        <f t="shared" si="12"/>
        <v>9</v>
      </c>
      <c r="D237" s="119">
        <f t="shared" si="14"/>
        <v>53206</v>
      </c>
      <c r="E237" s="197"/>
      <c r="F237" s="197"/>
      <c r="G237" s="197"/>
      <c r="H237" s="197"/>
      <c r="I237" s="197"/>
      <c r="J237" s="197">
        <f>SUMIF(Credit!$A$12:$A$371,Графики!D237,Credit!$D$12:$D$371)</f>
        <v>0</v>
      </c>
      <c r="K237">
        <f>SUMIF(Credit!$A$12:$A$371,Графики!D237,Credit!$C$12:$C$371)</f>
        <v>0</v>
      </c>
    </row>
    <row r="238" spans="2:11" x14ac:dyDescent="0.35">
      <c r="B238">
        <f t="shared" si="13"/>
        <v>232</v>
      </c>
      <c r="C238" s="174">
        <f t="shared" si="12"/>
        <v>10</v>
      </c>
      <c r="D238" s="119">
        <f t="shared" si="14"/>
        <v>53236</v>
      </c>
      <c r="E238" s="197"/>
      <c r="F238" s="197"/>
      <c r="G238" s="197"/>
      <c r="H238" s="197"/>
      <c r="I238" s="197"/>
      <c r="J238" s="197">
        <f>SUMIF(Credit!$A$12:$A$371,Графики!D238,Credit!$D$12:$D$371)</f>
        <v>0</v>
      </c>
      <c r="K238">
        <f>SUMIF(Credit!$A$12:$A$371,Графики!D238,Credit!$C$12:$C$371)</f>
        <v>0</v>
      </c>
    </row>
    <row r="239" spans="2:11" x14ac:dyDescent="0.35">
      <c r="B239">
        <f t="shared" si="13"/>
        <v>233</v>
      </c>
      <c r="C239" s="174">
        <f t="shared" si="12"/>
        <v>11</v>
      </c>
      <c r="D239" s="119">
        <f t="shared" si="14"/>
        <v>53267</v>
      </c>
      <c r="E239" s="197"/>
      <c r="F239" s="197"/>
      <c r="G239" s="197"/>
      <c r="H239" s="197"/>
      <c r="I239" s="197"/>
      <c r="J239" s="197">
        <f>SUMIF(Credit!$A$12:$A$371,Графики!D239,Credit!$D$12:$D$371)</f>
        <v>0</v>
      </c>
      <c r="K239">
        <f>SUMIF(Credit!$A$12:$A$371,Графики!D239,Credit!$C$12:$C$371)</f>
        <v>0</v>
      </c>
    </row>
    <row r="240" spans="2:11" x14ac:dyDescent="0.35">
      <c r="B240">
        <f t="shared" si="13"/>
        <v>234</v>
      </c>
      <c r="C240" s="174">
        <f t="shared" si="12"/>
        <v>12</v>
      </c>
      <c r="D240" s="119">
        <f t="shared" si="14"/>
        <v>53297</v>
      </c>
      <c r="E240" s="197"/>
      <c r="F240" s="197"/>
      <c r="G240" s="197"/>
      <c r="H240" s="197"/>
      <c r="I240" s="197"/>
      <c r="J240" s="197">
        <f>SUMIF(Credit!$A$12:$A$371,Графики!D240,Credit!$D$12:$D$371)</f>
        <v>0</v>
      </c>
      <c r="K240">
        <f>SUMIF(Credit!$A$12:$A$371,Графики!D240,Credit!$C$12:$C$371)</f>
        <v>0</v>
      </c>
    </row>
    <row r="241" spans="2:11" x14ac:dyDescent="0.35">
      <c r="B241">
        <f t="shared" si="13"/>
        <v>235</v>
      </c>
      <c r="C241" s="174">
        <f t="shared" si="12"/>
        <v>1</v>
      </c>
      <c r="D241" s="119">
        <f t="shared" si="14"/>
        <v>53328</v>
      </c>
      <c r="E241" s="197"/>
      <c r="F241" s="197"/>
      <c r="G241" s="197"/>
      <c r="H241" s="197"/>
      <c r="I241" s="197"/>
      <c r="J241" s="197">
        <f>SUMIF(Credit!$A$12:$A$371,Графики!D241,Credit!$D$12:$D$371)</f>
        <v>0</v>
      </c>
      <c r="K241">
        <f>SUMIF(Credit!$A$12:$A$371,Графики!D241,Credit!$C$12:$C$371)</f>
        <v>0</v>
      </c>
    </row>
    <row r="242" spans="2:11" x14ac:dyDescent="0.35">
      <c r="B242">
        <f t="shared" si="13"/>
        <v>236</v>
      </c>
      <c r="C242" s="174">
        <f t="shared" si="12"/>
        <v>2</v>
      </c>
      <c r="D242" s="119">
        <f t="shared" si="14"/>
        <v>53359</v>
      </c>
      <c r="E242" s="197"/>
      <c r="F242" s="197"/>
      <c r="G242" s="197"/>
      <c r="H242" s="197"/>
      <c r="I242" s="197"/>
      <c r="J242" s="197">
        <f>SUMIF(Credit!$A$12:$A$371,Графики!D242,Credit!$D$12:$D$371)</f>
        <v>0</v>
      </c>
      <c r="K242">
        <f>SUMIF(Credit!$A$12:$A$371,Графики!D242,Credit!$C$12:$C$371)</f>
        <v>0</v>
      </c>
    </row>
    <row r="243" spans="2:11" x14ac:dyDescent="0.35">
      <c r="B243">
        <f t="shared" si="13"/>
        <v>237</v>
      </c>
      <c r="C243" s="174">
        <f t="shared" si="12"/>
        <v>3</v>
      </c>
      <c r="D243" s="119">
        <f t="shared" si="14"/>
        <v>53387</v>
      </c>
      <c r="E243" s="197"/>
      <c r="F243" s="197"/>
      <c r="G243" s="197"/>
      <c r="H243" s="197"/>
      <c r="I243" s="197"/>
      <c r="J243" s="197">
        <f>SUMIF(Credit!$A$12:$A$371,Графики!D243,Credit!$D$12:$D$371)</f>
        <v>0</v>
      </c>
      <c r="K243">
        <f>SUMIF(Credit!$A$12:$A$371,Графики!D243,Credit!$C$12:$C$371)</f>
        <v>0</v>
      </c>
    </row>
    <row r="244" spans="2:11" x14ac:dyDescent="0.35">
      <c r="B244">
        <f t="shared" si="13"/>
        <v>238</v>
      </c>
      <c r="C244" s="174">
        <f t="shared" si="12"/>
        <v>4</v>
      </c>
      <c r="D244" s="119">
        <f t="shared" si="14"/>
        <v>53418</v>
      </c>
      <c r="E244" s="197"/>
      <c r="F244" s="197"/>
      <c r="G244" s="197"/>
      <c r="H244" s="197"/>
      <c r="I244" s="197"/>
      <c r="J244" s="197">
        <f>SUMIF(Credit!$A$12:$A$371,Графики!D244,Credit!$D$12:$D$371)</f>
        <v>0</v>
      </c>
      <c r="K244">
        <f>SUMIF(Credit!$A$12:$A$371,Графики!D244,Credit!$C$12:$C$371)</f>
        <v>0</v>
      </c>
    </row>
    <row r="245" spans="2:11" x14ac:dyDescent="0.35">
      <c r="B245">
        <f t="shared" si="13"/>
        <v>239</v>
      </c>
      <c r="C245" s="174">
        <f t="shared" si="12"/>
        <v>5</v>
      </c>
      <c r="D245" s="119">
        <f t="shared" si="14"/>
        <v>53448</v>
      </c>
      <c r="E245" s="197"/>
      <c r="F245" s="197"/>
      <c r="G245" s="197"/>
      <c r="H245" s="197"/>
      <c r="I245" s="197"/>
      <c r="J245" s="197">
        <f>SUMIF(Credit!$A$12:$A$371,Графики!D245,Credit!$D$12:$D$371)</f>
        <v>0</v>
      </c>
      <c r="K245">
        <f>SUMIF(Credit!$A$12:$A$371,Графики!D245,Credit!$C$12:$C$371)</f>
        <v>0</v>
      </c>
    </row>
    <row r="246" spans="2:11" x14ac:dyDescent="0.35">
      <c r="B246">
        <f t="shared" si="13"/>
        <v>240</v>
      </c>
      <c r="C246" s="174">
        <f t="shared" si="12"/>
        <v>6</v>
      </c>
      <c r="D246" s="119">
        <f t="shared" si="14"/>
        <v>53479</v>
      </c>
      <c r="E246" s="197"/>
      <c r="F246" s="197"/>
      <c r="G246" s="197"/>
      <c r="H246" s="197"/>
      <c r="I246" s="197"/>
      <c r="J246" s="197">
        <f>SUMIF(Credit!$A$12:$A$371,Графики!D246,Credit!$D$12:$D$371)</f>
        <v>0</v>
      </c>
      <c r="K246">
        <f>SUMIF(Credit!$A$12:$A$371,Графики!D246,Credit!$C$12:$C$371)</f>
        <v>0</v>
      </c>
    </row>
    <row r="247" spans="2:11" x14ac:dyDescent="0.35">
      <c r="B247">
        <f t="shared" si="13"/>
        <v>241</v>
      </c>
      <c r="C247" s="174">
        <f t="shared" si="12"/>
        <v>7</v>
      </c>
      <c r="D247" s="119">
        <f t="shared" si="14"/>
        <v>53509</v>
      </c>
      <c r="E247" s="197"/>
      <c r="F247" s="197"/>
      <c r="G247" s="197"/>
      <c r="H247" s="197"/>
      <c r="I247" s="197"/>
      <c r="J247" s="197">
        <f>SUMIF(Credit!$A$12:$A$371,Графики!D247,Credit!$D$12:$D$371)</f>
        <v>0</v>
      </c>
      <c r="K247">
        <f>SUMIF(Credit!$A$12:$A$371,Графики!D247,Credit!$C$12:$C$371)</f>
        <v>0</v>
      </c>
    </row>
    <row r="248" spans="2:11" x14ac:dyDescent="0.35">
      <c r="B248">
        <f t="shared" si="13"/>
        <v>242</v>
      </c>
      <c r="C248" s="174">
        <f t="shared" si="12"/>
        <v>8</v>
      </c>
      <c r="D248" s="119">
        <f t="shared" si="14"/>
        <v>53540</v>
      </c>
      <c r="E248" s="197"/>
      <c r="F248" s="197"/>
      <c r="G248" s="197"/>
      <c r="H248" s="197"/>
      <c r="I248" s="197"/>
      <c r="J248" s="197">
        <f>SUMIF(Credit!$A$12:$A$371,Графики!D248,Credit!$D$12:$D$371)</f>
        <v>0</v>
      </c>
      <c r="K248">
        <f>SUMIF(Credit!$A$12:$A$371,Графики!D248,Credit!$C$12:$C$371)</f>
        <v>0</v>
      </c>
    </row>
    <row r="249" spans="2:11" x14ac:dyDescent="0.35">
      <c r="B249">
        <f t="shared" si="13"/>
        <v>243</v>
      </c>
      <c r="C249" s="174">
        <f t="shared" si="12"/>
        <v>9</v>
      </c>
      <c r="D249" s="119">
        <f t="shared" si="14"/>
        <v>53571</v>
      </c>
      <c r="E249" s="197"/>
      <c r="F249" s="197"/>
      <c r="G249" s="197"/>
      <c r="H249" s="197"/>
      <c r="I249" s="197"/>
      <c r="J249" s="197">
        <f>SUMIF(Credit!$A$12:$A$371,Графики!D249,Credit!$D$12:$D$371)</f>
        <v>0</v>
      </c>
      <c r="K249">
        <f>SUMIF(Credit!$A$12:$A$371,Графики!D249,Credit!$C$12:$C$371)</f>
        <v>0</v>
      </c>
    </row>
    <row r="250" spans="2:11" x14ac:dyDescent="0.35">
      <c r="B250">
        <f t="shared" si="13"/>
        <v>244</v>
      </c>
      <c r="C250" s="174">
        <f t="shared" si="12"/>
        <v>10</v>
      </c>
      <c r="D250" s="119">
        <f t="shared" si="14"/>
        <v>53601</v>
      </c>
      <c r="E250" s="197"/>
      <c r="F250" s="197"/>
      <c r="G250" s="197"/>
      <c r="H250" s="197"/>
      <c r="I250" s="197"/>
      <c r="J250" s="197">
        <f>SUMIF(Credit!$A$12:$A$371,Графики!D250,Credit!$D$12:$D$371)</f>
        <v>0</v>
      </c>
      <c r="K250">
        <f>SUMIF(Credit!$A$12:$A$371,Графики!D250,Credit!$C$12:$C$371)</f>
        <v>0</v>
      </c>
    </row>
    <row r="251" spans="2:11" x14ac:dyDescent="0.35">
      <c r="B251">
        <f t="shared" si="13"/>
        <v>245</v>
      </c>
      <c r="C251" s="174">
        <f t="shared" si="12"/>
        <v>11</v>
      </c>
      <c r="D251" s="119">
        <f t="shared" si="14"/>
        <v>53632</v>
      </c>
      <c r="E251" s="197"/>
      <c r="F251" s="197"/>
      <c r="G251" s="197"/>
      <c r="H251" s="197"/>
      <c r="I251" s="197"/>
      <c r="J251" s="197">
        <f>SUMIF(Credit!$A$12:$A$371,Графики!D251,Credit!$D$12:$D$371)</f>
        <v>0</v>
      </c>
      <c r="K251">
        <f>SUMIF(Credit!$A$12:$A$371,Графики!D251,Credit!$C$12:$C$371)</f>
        <v>0</v>
      </c>
    </row>
    <row r="252" spans="2:11" x14ac:dyDescent="0.35">
      <c r="B252">
        <f t="shared" si="13"/>
        <v>246</v>
      </c>
      <c r="C252" s="174">
        <f t="shared" si="12"/>
        <v>12</v>
      </c>
      <c r="D252" s="119">
        <f t="shared" si="14"/>
        <v>53662</v>
      </c>
      <c r="E252" s="197"/>
      <c r="F252" s="197"/>
      <c r="G252" s="197"/>
      <c r="H252" s="197"/>
      <c r="I252" s="197"/>
      <c r="J252" s="197">
        <f>SUMIF(Credit!$A$12:$A$371,Графики!D252,Credit!$D$12:$D$371)</f>
        <v>0</v>
      </c>
      <c r="K252">
        <f>SUMIF(Credit!$A$12:$A$371,Графики!D252,Credit!$C$12:$C$371)</f>
        <v>0</v>
      </c>
    </row>
    <row r="253" spans="2:11" x14ac:dyDescent="0.35">
      <c r="B253">
        <f t="shared" si="13"/>
        <v>247</v>
      </c>
      <c r="C253" s="174">
        <f t="shared" si="12"/>
        <v>1</v>
      </c>
      <c r="D253" s="119">
        <f t="shared" si="14"/>
        <v>53693</v>
      </c>
      <c r="E253" s="197"/>
      <c r="F253" s="197"/>
      <c r="G253" s="197"/>
      <c r="H253" s="197"/>
      <c r="I253" s="197"/>
      <c r="J253" s="197">
        <f>SUMIF(Credit!$A$12:$A$371,Графики!D253,Credit!$D$12:$D$371)</f>
        <v>0</v>
      </c>
      <c r="K253">
        <f>SUMIF(Credit!$A$12:$A$371,Графики!D253,Credit!$C$12:$C$371)</f>
        <v>0</v>
      </c>
    </row>
    <row r="254" spans="2:11" x14ac:dyDescent="0.35">
      <c r="B254">
        <f t="shared" si="13"/>
        <v>248</v>
      </c>
      <c r="C254" s="174">
        <f t="shared" si="12"/>
        <v>2</v>
      </c>
      <c r="D254" s="119">
        <f t="shared" si="14"/>
        <v>53724</v>
      </c>
      <c r="E254" s="197"/>
      <c r="F254" s="197"/>
      <c r="G254" s="197"/>
      <c r="H254" s="197"/>
      <c r="I254" s="197"/>
      <c r="J254" s="197">
        <f>SUMIF(Credit!$A$12:$A$371,Графики!D254,Credit!$D$12:$D$371)</f>
        <v>0</v>
      </c>
      <c r="K254">
        <f>SUMIF(Credit!$A$12:$A$371,Графики!D254,Credit!$C$12:$C$371)</f>
        <v>0</v>
      </c>
    </row>
    <row r="255" spans="2:11" x14ac:dyDescent="0.35">
      <c r="B255">
        <f t="shared" si="13"/>
        <v>249</v>
      </c>
      <c r="C255" s="174">
        <f t="shared" si="12"/>
        <v>3</v>
      </c>
      <c r="D255" s="119">
        <f t="shared" si="14"/>
        <v>53752</v>
      </c>
      <c r="E255" s="197"/>
      <c r="F255" s="197"/>
      <c r="G255" s="197"/>
      <c r="H255" s="197"/>
      <c r="I255" s="197"/>
      <c r="J255" s="197">
        <f>SUMIF(Credit!$A$12:$A$371,Графики!D255,Credit!$D$12:$D$371)</f>
        <v>0</v>
      </c>
      <c r="K255">
        <f>SUMIF(Credit!$A$12:$A$371,Графики!D255,Credit!$C$12:$C$371)</f>
        <v>0</v>
      </c>
    </row>
    <row r="256" spans="2:11" x14ac:dyDescent="0.35">
      <c r="B256">
        <f t="shared" si="13"/>
        <v>250</v>
      </c>
      <c r="C256" s="174">
        <f t="shared" si="12"/>
        <v>4</v>
      </c>
      <c r="D256" s="119">
        <f t="shared" si="14"/>
        <v>53783</v>
      </c>
      <c r="E256" s="197"/>
      <c r="F256" s="197"/>
      <c r="G256" s="197"/>
      <c r="H256" s="197"/>
      <c r="I256" s="197"/>
      <c r="J256" s="197">
        <f>SUMIF(Credit!$A$12:$A$371,Графики!D256,Credit!$D$12:$D$371)</f>
        <v>0</v>
      </c>
      <c r="K256">
        <f>SUMIF(Credit!$A$12:$A$371,Графики!D256,Credit!$C$12:$C$371)</f>
        <v>0</v>
      </c>
    </row>
    <row r="257" spans="2:11" x14ac:dyDescent="0.35">
      <c r="B257">
        <f t="shared" si="13"/>
        <v>251</v>
      </c>
      <c r="C257" s="174">
        <f t="shared" si="12"/>
        <v>5</v>
      </c>
      <c r="D257" s="119">
        <f t="shared" si="14"/>
        <v>53813</v>
      </c>
      <c r="E257" s="197"/>
      <c r="F257" s="197"/>
      <c r="G257" s="197"/>
      <c r="H257" s="197"/>
      <c r="I257" s="197"/>
      <c r="J257" s="197">
        <f>SUMIF(Credit!$A$12:$A$371,Графики!D257,Credit!$D$12:$D$371)</f>
        <v>0</v>
      </c>
      <c r="K257">
        <f>SUMIF(Credit!$A$12:$A$371,Графики!D257,Credit!$C$12:$C$371)</f>
        <v>0</v>
      </c>
    </row>
    <row r="258" spans="2:11" x14ac:dyDescent="0.35">
      <c r="B258">
        <f t="shared" si="13"/>
        <v>252</v>
      </c>
      <c r="C258" s="174">
        <f t="shared" si="12"/>
        <v>6</v>
      </c>
      <c r="D258" s="119">
        <f t="shared" si="14"/>
        <v>53844</v>
      </c>
      <c r="E258" s="197"/>
      <c r="F258" s="197"/>
      <c r="G258" s="197"/>
      <c r="H258" s="197"/>
      <c r="I258" s="197"/>
      <c r="J258" s="197">
        <f>SUMIF(Credit!$A$12:$A$371,Графики!D258,Credit!$D$12:$D$371)</f>
        <v>0</v>
      </c>
      <c r="K258">
        <f>SUMIF(Credit!$A$12:$A$371,Графики!D258,Credit!$C$12:$C$371)</f>
        <v>0</v>
      </c>
    </row>
    <row r="259" spans="2:11" x14ac:dyDescent="0.35">
      <c r="B259">
        <f t="shared" si="13"/>
        <v>253</v>
      </c>
      <c r="C259" s="174">
        <f t="shared" si="12"/>
        <v>7</v>
      </c>
      <c r="D259" s="119">
        <f t="shared" si="14"/>
        <v>53874</v>
      </c>
      <c r="E259" s="197"/>
      <c r="F259" s="197"/>
      <c r="G259" s="197"/>
      <c r="H259" s="197"/>
      <c r="I259" s="197"/>
      <c r="J259" s="197">
        <f>SUMIF(Credit!$A$12:$A$371,Графики!D259,Credit!$D$12:$D$371)</f>
        <v>0</v>
      </c>
      <c r="K259">
        <f>SUMIF(Credit!$A$12:$A$371,Графики!D259,Credit!$C$12:$C$371)</f>
        <v>0</v>
      </c>
    </row>
    <row r="260" spans="2:11" x14ac:dyDescent="0.35">
      <c r="B260">
        <f t="shared" si="13"/>
        <v>254</v>
      </c>
      <c r="C260" s="174">
        <f t="shared" si="12"/>
        <v>8</v>
      </c>
      <c r="D260" s="119">
        <f t="shared" si="14"/>
        <v>53905</v>
      </c>
      <c r="E260" s="197"/>
      <c r="F260" s="197"/>
      <c r="G260" s="197"/>
      <c r="H260" s="197"/>
      <c r="I260" s="197"/>
      <c r="J260" s="197">
        <f>SUMIF(Credit!$A$12:$A$371,Графики!D260,Credit!$D$12:$D$371)</f>
        <v>0</v>
      </c>
      <c r="K260">
        <f>SUMIF(Credit!$A$12:$A$371,Графики!D260,Credit!$C$12:$C$371)</f>
        <v>0</v>
      </c>
    </row>
    <row r="261" spans="2:11" x14ac:dyDescent="0.35">
      <c r="B261">
        <f t="shared" si="13"/>
        <v>255</v>
      </c>
      <c r="C261" s="174">
        <f t="shared" si="12"/>
        <v>9</v>
      </c>
      <c r="D261" s="119">
        <f t="shared" si="14"/>
        <v>53936</v>
      </c>
      <c r="E261" s="197"/>
      <c r="F261" s="197"/>
      <c r="G261" s="197"/>
      <c r="H261" s="197"/>
      <c r="I261" s="197"/>
      <c r="J261" s="197">
        <f>SUMIF(Credit!$A$12:$A$371,Графики!D261,Credit!$D$12:$D$371)</f>
        <v>0</v>
      </c>
      <c r="K261">
        <f>SUMIF(Credit!$A$12:$A$371,Графики!D261,Credit!$C$12:$C$371)</f>
        <v>0</v>
      </c>
    </row>
    <row r="262" spans="2:11" x14ac:dyDescent="0.35">
      <c r="B262">
        <f t="shared" si="13"/>
        <v>256</v>
      </c>
      <c r="C262" s="174">
        <f t="shared" si="12"/>
        <v>10</v>
      </c>
      <c r="D262" s="119">
        <f t="shared" si="14"/>
        <v>53966</v>
      </c>
      <c r="E262" s="197"/>
      <c r="F262" s="197"/>
      <c r="G262" s="197"/>
      <c r="H262" s="197"/>
      <c r="I262" s="197"/>
      <c r="J262" s="197">
        <f>SUMIF(Credit!$A$12:$A$371,Графики!D262,Credit!$D$12:$D$371)</f>
        <v>0</v>
      </c>
      <c r="K262">
        <f>SUMIF(Credit!$A$12:$A$371,Графики!D262,Credit!$C$12:$C$371)</f>
        <v>0</v>
      </c>
    </row>
    <row r="263" spans="2:11" x14ac:dyDescent="0.35">
      <c r="B263">
        <f t="shared" si="13"/>
        <v>257</v>
      </c>
      <c r="C263" s="174">
        <f t="shared" ref="C263:C306" si="15">MONTH(D263)</f>
        <v>11</v>
      </c>
      <c r="D263" s="119">
        <f t="shared" si="14"/>
        <v>53997</v>
      </c>
      <c r="E263" s="197"/>
      <c r="F263" s="197"/>
      <c r="G263" s="197"/>
      <c r="H263" s="197"/>
      <c r="I263" s="197"/>
      <c r="J263" s="197">
        <f>SUMIF(Credit!$A$12:$A$371,Графики!D263,Credit!$D$12:$D$371)</f>
        <v>0</v>
      </c>
      <c r="K263">
        <f>SUMIF(Credit!$A$12:$A$371,Графики!D263,Credit!$C$12:$C$371)</f>
        <v>0</v>
      </c>
    </row>
    <row r="264" spans="2:11" x14ac:dyDescent="0.35">
      <c r="B264">
        <f t="shared" ref="B264:B306" si="16">B263+1</f>
        <v>258</v>
      </c>
      <c r="C264" s="174">
        <f t="shared" si="15"/>
        <v>12</v>
      </c>
      <c r="D264" s="119">
        <f t="shared" ref="D264:D306" si="17">EDATE(D263,1)</f>
        <v>54027</v>
      </c>
      <c r="E264" s="197"/>
      <c r="F264" s="197"/>
      <c r="G264" s="197"/>
      <c r="H264" s="197"/>
      <c r="I264" s="197"/>
      <c r="J264" s="197">
        <f>SUMIF(Credit!$A$12:$A$371,Графики!D264,Credit!$D$12:$D$371)</f>
        <v>0</v>
      </c>
      <c r="K264">
        <f>SUMIF(Credit!$A$12:$A$371,Графики!D264,Credit!$C$12:$C$371)</f>
        <v>0</v>
      </c>
    </row>
    <row r="265" spans="2:11" x14ac:dyDescent="0.35">
      <c r="B265">
        <f t="shared" si="16"/>
        <v>259</v>
      </c>
      <c r="C265" s="174">
        <f t="shared" si="15"/>
        <v>1</v>
      </c>
      <c r="D265" s="119">
        <f t="shared" si="17"/>
        <v>54058</v>
      </c>
      <c r="E265" s="197"/>
      <c r="F265" s="197"/>
      <c r="G265" s="197"/>
      <c r="H265" s="197"/>
      <c r="I265" s="197"/>
      <c r="J265" s="197">
        <f>SUMIF(Credit!$A$12:$A$371,Графики!D265,Credit!$D$12:$D$371)</f>
        <v>0</v>
      </c>
      <c r="K265">
        <f>SUMIF(Credit!$A$12:$A$371,Графики!D265,Credit!$C$12:$C$371)</f>
        <v>0</v>
      </c>
    </row>
    <row r="266" spans="2:11" x14ac:dyDescent="0.35">
      <c r="B266">
        <f t="shared" si="16"/>
        <v>260</v>
      </c>
      <c r="C266" s="174">
        <f t="shared" si="15"/>
        <v>2</v>
      </c>
      <c r="D266" s="119">
        <f t="shared" si="17"/>
        <v>54089</v>
      </c>
      <c r="E266" s="197"/>
      <c r="F266" s="197"/>
      <c r="G266" s="197"/>
      <c r="H266" s="197"/>
      <c r="I266" s="197"/>
      <c r="J266" s="197">
        <f>SUMIF(Credit!$A$12:$A$371,Графики!D266,Credit!$D$12:$D$371)</f>
        <v>0</v>
      </c>
      <c r="K266">
        <f>SUMIF(Credit!$A$12:$A$371,Графики!D266,Credit!$C$12:$C$371)</f>
        <v>0</v>
      </c>
    </row>
    <row r="267" spans="2:11" x14ac:dyDescent="0.35">
      <c r="B267">
        <f t="shared" si="16"/>
        <v>261</v>
      </c>
      <c r="C267" s="174">
        <f t="shared" si="15"/>
        <v>3</v>
      </c>
      <c r="D267" s="119">
        <f t="shared" si="17"/>
        <v>54118</v>
      </c>
      <c r="E267" s="197"/>
      <c r="F267" s="197"/>
      <c r="G267" s="197"/>
      <c r="H267" s="197"/>
      <c r="I267" s="197"/>
      <c r="J267" s="197">
        <f>SUMIF(Credit!$A$12:$A$371,Графики!D267,Credit!$D$12:$D$371)</f>
        <v>0</v>
      </c>
      <c r="K267">
        <f>SUMIF(Credit!$A$12:$A$371,Графики!D267,Credit!$C$12:$C$371)</f>
        <v>0</v>
      </c>
    </row>
    <row r="268" spans="2:11" x14ac:dyDescent="0.35">
      <c r="B268">
        <f t="shared" si="16"/>
        <v>262</v>
      </c>
      <c r="C268" s="174">
        <f t="shared" si="15"/>
        <v>4</v>
      </c>
      <c r="D268" s="119">
        <f t="shared" si="17"/>
        <v>54149</v>
      </c>
      <c r="E268" s="197"/>
      <c r="F268" s="197"/>
      <c r="G268" s="197"/>
      <c r="H268" s="197"/>
      <c r="I268" s="197"/>
      <c r="J268" s="197">
        <f>SUMIF(Credit!$A$12:$A$371,Графики!D268,Credit!$D$12:$D$371)</f>
        <v>0</v>
      </c>
      <c r="K268">
        <f>SUMIF(Credit!$A$12:$A$371,Графики!D268,Credit!$C$12:$C$371)</f>
        <v>0</v>
      </c>
    </row>
    <row r="269" spans="2:11" x14ac:dyDescent="0.35">
      <c r="B269">
        <f t="shared" si="16"/>
        <v>263</v>
      </c>
      <c r="C269" s="174">
        <f t="shared" si="15"/>
        <v>5</v>
      </c>
      <c r="D269" s="119">
        <f t="shared" si="17"/>
        <v>54179</v>
      </c>
      <c r="E269" s="197"/>
      <c r="F269" s="197"/>
      <c r="G269" s="197"/>
      <c r="H269" s="197"/>
      <c r="I269" s="197"/>
      <c r="J269" s="197">
        <f>SUMIF(Credit!$A$12:$A$371,Графики!D269,Credit!$D$12:$D$371)</f>
        <v>0</v>
      </c>
      <c r="K269">
        <f>SUMIF(Credit!$A$12:$A$371,Графики!D269,Credit!$C$12:$C$371)</f>
        <v>0</v>
      </c>
    </row>
    <row r="270" spans="2:11" x14ac:dyDescent="0.35">
      <c r="B270">
        <f t="shared" si="16"/>
        <v>264</v>
      </c>
      <c r="C270" s="174">
        <f t="shared" si="15"/>
        <v>6</v>
      </c>
      <c r="D270" s="119">
        <f t="shared" si="17"/>
        <v>54210</v>
      </c>
      <c r="E270" s="197"/>
      <c r="F270" s="197"/>
      <c r="G270" s="197"/>
      <c r="H270" s="197"/>
      <c r="I270" s="197"/>
      <c r="J270" s="197">
        <f>SUMIF(Credit!$A$12:$A$371,Графики!D270,Credit!$D$12:$D$371)</f>
        <v>0</v>
      </c>
      <c r="K270">
        <f>SUMIF(Credit!$A$12:$A$371,Графики!D270,Credit!$C$12:$C$371)</f>
        <v>0</v>
      </c>
    </row>
    <row r="271" spans="2:11" x14ac:dyDescent="0.35">
      <c r="B271">
        <f t="shared" si="16"/>
        <v>265</v>
      </c>
      <c r="C271" s="174">
        <f t="shared" si="15"/>
        <v>7</v>
      </c>
      <c r="D271" s="119">
        <f t="shared" si="17"/>
        <v>54240</v>
      </c>
      <c r="E271" s="197"/>
      <c r="F271" s="197"/>
      <c r="G271" s="197"/>
      <c r="H271" s="197"/>
      <c r="I271" s="197"/>
      <c r="J271" s="197">
        <f>SUMIF(Credit!$A$12:$A$371,Графики!D271,Credit!$D$12:$D$371)</f>
        <v>0</v>
      </c>
      <c r="K271">
        <f>SUMIF(Credit!$A$12:$A$371,Графики!D271,Credit!$C$12:$C$371)</f>
        <v>0</v>
      </c>
    </row>
    <row r="272" spans="2:11" x14ac:dyDescent="0.35">
      <c r="B272">
        <f t="shared" si="16"/>
        <v>266</v>
      </c>
      <c r="C272" s="174">
        <f t="shared" si="15"/>
        <v>8</v>
      </c>
      <c r="D272" s="119">
        <f t="shared" si="17"/>
        <v>54271</v>
      </c>
      <c r="E272" s="197"/>
      <c r="F272" s="197"/>
      <c r="G272" s="197"/>
      <c r="H272" s="197"/>
      <c r="I272" s="197"/>
      <c r="J272" s="197">
        <f>SUMIF(Credit!$A$12:$A$371,Графики!D272,Credit!$D$12:$D$371)</f>
        <v>0</v>
      </c>
      <c r="K272">
        <f>SUMIF(Credit!$A$12:$A$371,Графики!D272,Credit!$C$12:$C$371)</f>
        <v>0</v>
      </c>
    </row>
    <row r="273" spans="2:11" x14ac:dyDescent="0.35">
      <c r="B273">
        <f t="shared" si="16"/>
        <v>267</v>
      </c>
      <c r="C273" s="174">
        <f t="shared" si="15"/>
        <v>9</v>
      </c>
      <c r="D273" s="119">
        <f t="shared" si="17"/>
        <v>54302</v>
      </c>
      <c r="E273" s="197"/>
      <c r="F273" s="197"/>
      <c r="G273" s="197"/>
      <c r="H273" s="197"/>
      <c r="I273" s="197"/>
      <c r="J273" s="197">
        <f>SUMIF(Credit!$A$12:$A$371,Графики!D273,Credit!$D$12:$D$371)</f>
        <v>0</v>
      </c>
      <c r="K273">
        <f>SUMIF(Credit!$A$12:$A$371,Графики!D273,Credit!$C$12:$C$371)</f>
        <v>0</v>
      </c>
    </row>
    <row r="274" spans="2:11" x14ac:dyDescent="0.35">
      <c r="B274">
        <f t="shared" si="16"/>
        <v>268</v>
      </c>
      <c r="C274" s="174">
        <f t="shared" si="15"/>
        <v>10</v>
      </c>
      <c r="D274" s="119">
        <f t="shared" si="17"/>
        <v>54332</v>
      </c>
      <c r="E274" s="197"/>
      <c r="F274" s="197"/>
      <c r="G274" s="197"/>
      <c r="H274" s="197"/>
      <c r="I274" s="197"/>
      <c r="J274" s="197">
        <f>SUMIF(Credit!$A$12:$A$371,Графики!D274,Credit!$D$12:$D$371)</f>
        <v>0</v>
      </c>
      <c r="K274">
        <f>SUMIF(Credit!$A$12:$A$371,Графики!D274,Credit!$C$12:$C$371)</f>
        <v>0</v>
      </c>
    </row>
    <row r="275" spans="2:11" x14ac:dyDescent="0.35">
      <c r="B275">
        <f t="shared" si="16"/>
        <v>269</v>
      </c>
      <c r="C275" s="174">
        <f t="shared" si="15"/>
        <v>11</v>
      </c>
      <c r="D275" s="119">
        <f t="shared" si="17"/>
        <v>54363</v>
      </c>
      <c r="E275" s="197"/>
      <c r="F275" s="197"/>
      <c r="G275" s="197"/>
      <c r="H275" s="197"/>
      <c r="I275" s="197"/>
      <c r="J275" s="197">
        <f>SUMIF(Credit!$A$12:$A$371,Графики!D275,Credit!$D$12:$D$371)</f>
        <v>0</v>
      </c>
      <c r="K275">
        <f>SUMIF(Credit!$A$12:$A$371,Графики!D275,Credit!$C$12:$C$371)</f>
        <v>0</v>
      </c>
    </row>
    <row r="276" spans="2:11" x14ac:dyDescent="0.35">
      <c r="B276">
        <f t="shared" si="16"/>
        <v>270</v>
      </c>
      <c r="C276" s="174">
        <f t="shared" si="15"/>
        <v>12</v>
      </c>
      <c r="D276" s="119">
        <f t="shared" si="17"/>
        <v>54393</v>
      </c>
      <c r="E276" s="197"/>
      <c r="F276" s="197"/>
      <c r="G276" s="197"/>
      <c r="H276" s="197"/>
      <c r="I276" s="197"/>
      <c r="J276" s="197">
        <f>SUMIF(Credit!$A$12:$A$371,Графики!D276,Credit!$D$12:$D$371)</f>
        <v>0</v>
      </c>
      <c r="K276">
        <f>SUMIF(Credit!$A$12:$A$371,Графики!D276,Credit!$C$12:$C$371)</f>
        <v>0</v>
      </c>
    </row>
    <row r="277" spans="2:11" x14ac:dyDescent="0.35">
      <c r="B277">
        <f t="shared" si="16"/>
        <v>271</v>
      </c>
      <c r="C277" s="174">
        <f t="shared" si="15"/>
        <v>1</v>
      </c>
      <c r="D277" s="119">
        <f t="shared" si="17"/>
        <v>54424</v>
      </c>
      <c r="E277" s="197"/>
      <c r="F277" s="197"/>
      <c r="G277" s="197"/>
      <c r="H277" s="197"/>
      <c r="I277" s="197"/>
      <c r="J277" s="197">
        <f>SUMIF(Credit!$A$12:$A$371,Графики!D277,Credit!$D$12:$D$371)</f>
        <v>0</v>
      </c>
      <c r="K277">
        <f>SUMIF(Credit!$A$12:$A$371,Графики!D277,Credit!$C$12:$C$371)</f>
        <v>0</v>
      </c>
    </row>
    <row r="278" spans="2:11" x14ac:dyDescent="0.35">
      <c r="B278">
        <f t="shared" si="16"/>
        <v>272</v>
      </c>
      <c r="C278" s="174">
        <f t="shared" si="15"/>
        <v>2</v>
      </c>
      <c r="D278" s="119">
        <f t="shared" si="17"/>
        <v>54455</v>
      </c>
      <c r="E278" s="197"/>
      <c r="F278" s="197"/>
      <c r="G278" s="197"/>
      <c r="H278" s="197"/>
      <c r="I278" s="197"/>
      <c r="J278" s="197">
        <f>SUMIF(Credit!$A$12:$A$371,Графики!D278,Credit!$D$12:$D$371)</f>
        <v>0</v>
      </c>
      <c r="K278">
        <f>SUMIF(Credit!$A$12:$A$371,Графики!D278,Credit!$C$12:$C$371)</f>
        <v>0</v>
      </c>
    </row>
    <row r="279" spans="2:11" x14ac:dyDescent="0.35">
      <c r="B279">
        <f t="shared" si="16"/>
        <v>273</v>
      </c>
      <c r="C279" s="174">
        <f t="shared" si="15"/>
        <v>3</v>
      </c>
      <c r="D279" s="119">
        <f t="shared" si="17"/>
        <v>54483</v>
      </c>
      <c r="E279" s="197"/>
      <c r="F279" s="197"/>
      <c r="G279" s="197"/>
      <c r="H279" s="197"/>
      <c r="I279" s="197"/>
      <c r="J279" s="197">
        <f>SUMIF(Credit!$A$12:$A$371,Графики!D279,Credit!$D$12:$D$371)</f>
        <v>0</v>
      </c>
      <c r="K279">
        <f>SUMIF(Credit!$A$12:$A$371,Графики!D279,Credit!$C$12:$C$371)</f>
        <v>0</v>
      </c>
    </row>
    <row r="280" spans="2:11" x14ac:dyDescent="0.35">
      <c r="B280">
        <f t="shared" si="16"/>
        <v>274</v>
      </c>
      <c r="C280" s="174">
        <f t="shared" si="15"/>
        <v>4</v>
      </c>
      <c r="D280" s="119">
        <f t="shared" si="17"/>
        <v>54514</v>
      </c>
      <c r="E280" s="197"/>
      <c r="F280" s="197"/>
      <c r="G280" s="197"/>
      <c r="H280" s="197"/>
      <c r="I280" s="197"/>
      <c r="J280" s="197">
        <f>SUMIF(Credit!$A$12:$A$371,Графики!D280,Credit!$D$12:$D$371)</f>
        <v>0</v>
      </c>
      <c r="K280">
        <f>SUMIF(Credit!$A$12:$A$371,Графики!D280,Credit!$C$12:$C$371)</f>
        <v>0</v>
      </c>
    </row>
    <row r="281" spans="2:11" x14ac:dyDescent="0.35">
      <c r="B281">
        <f t="shared" si="16"/>
        <v>275</v>
      </c>
      <c r="C281" s="174">
        <f t="shared" si="15"/>
        <v>5</v>
      </c>
      <c r="D281" s="119">
        <f t="shared" si="17"/>
        <v>54544</v>
      </c>
      <c r="E281" s="197"/>
      <c r="F281" s="197"/>
      <c r="G281" s="197"/>
      <c r="H281" s="197"/>
      <c r="I281" s="197"/>
      <c r="J281" s="197">
        <f>SUMIF(Credit!$A$12:$A$371,Графики!D281,Credit!$D$12:$D$371)</f>
        <v>0</v>
      </c>
      <c r="K281">
        <f>SUMIF(Credit!$A$12:$A$371,Графики!D281,Credit!$C$12:$C$371)</f>
        <v>0</v>
      </c>
    </row>
    <row r="282" spans="2:11" x14ac:dyDescent="0.35">
      <c r="B282">
        <f t="shared" si="16"/>
        <v>276</v>
      </c>
      <c r="C282" s="174">
        <f t="shared" si="15"/>
        <v>6</v>
      </c>
      <c r="D282" s="119">
        <f t="shared" si="17"/>
        <v>54575</v>
      </c>
      <c r="E282" s="197"/>
      <c r="F282" s="197"/>
      <c r="G282" s="197"/>
      <c r="H282" s="197"/>
      <c r="I282" s="197"/>
      <c r="J282" s="197">
        <f>SUMIF(Credit!$A$12:$A$371,Графики!D282,Credit!$D$12:$D$371)</f>
        <v>0</v>
      </c>
      <c r="K282">
        <f>SUMIF(Credit!$A$12:$A$371,Графики!D282,Credit!$C$12:$C$371)</f>
        <v>0</v>
      </c>
    </row>
    <row r="283" spans="2:11" x14ac:dyDescent="0.35">
      <c r="B283">
        <f t="shared" si="16"/>
        <v>277</v>
      </c>
      <c r="C283" s="174">
        <f t="shared" si="15"/>
        <v>7</v>
      </c>
      <c r="D283" s="119">
        <f t="shared" si="17"/>
        <v>54605</v>
      </c>
      <c r="E283" s="197"/>
      <c r="F283" s="197"/>
      <c r="G283" s="197"/>
      <c r="H283" s="197"/>
      <c r="I283" s="197"/>
      <c r="J283" s="197">
        <f>SUMIF(Credit!$A$12:$A$371,Графики!D283,Credit!$D$12:$D$371)</f>
        <v>0</v>
      </c>
      <c r="K283">
        <f>SUMIF(Credit!$A$12:$A$371,Графики!D283,Credit!$C$12:$C$371)</f>
        <v>0</v>
      </c>
    </row>
    <row r="284" spans="2:11" x14ac:dyDescent="0.35">
      <c r="B284">
        <f t="shared" si="16"/>
        <v>278</v>
      </c>
      <c r="C284" s="174">
        <f t="shared" si="15"/>
        <v>8</v>
      </c>
      <c r="D284" s="119">
        <f t="shared" si="17"/>
        <v>54636</v>
      </c>
      <c r="E284" s="197"/>
      <c r="F284" s="197"/>
      <c r="G284" s="197"/>
      <c r="H284" s="197"/>
      <c r="I284" s="197"/>
      <c r="J284" s="197">
        <f>SUMIF(Credit!$A$12:$A$371,Графики!D284,Credit!$D$12:$D$371)</f>
        <v>0</v>
      </c>
      <c r="K284">
        <f>SUMIF(Credit!$A$12:$A$371,Графики!D284,Credit!$C$12:$C$371)</f>
        <v>0</v>
      </c>
    </row>
    <row r="285" spans="2:11" x14ac:dyDescent="0.35">
      <c r="B285">
        <f t="shared" si="16"/>
        <v>279</v>
      </c>
      <c r="C285" s="174">
        <f t="shared" si="15"/>
        <v>9</v>
      </c>
      <c r="D285" s="119">
        <f t="shared" si="17"/>
        <v>54667</v>
      </c>
      <c r="E285" s="197"/>
      <c r="F285" s="197"/>
      <c r="G285" s="197"/>
      <c r="H285" s="197"/>
      <c r="I285" s="197"/>
      <c r="J285" s="197">
        <f>SUMIF(Credit!$A$12:$A$371,Графики!D285,Credit!$D$12:$D$371)</f>
        <v>0</v>
      </c>
      <c r="K285">
        <f>SUMIF(Credit!$A$12:$A$371,Графики!D285,Credit!$C$12:$C$371)</f>
        <v>0</v>
      </c>
    </row>
    <row r="286" spans="2:11" x14ac:dyDescent="0.35">
      <c r="B286">
        <f t="shared" si="16"/>
        <v>280</v>
      </c>
      <c r="C286" s="174">
        <f t="shared" si="15"/>
        <v>10</v>
      </c>
      <c r="D286" s="119">
        <f t="shared" si="17"/>
        <v>54697</v>
      </c>
      <c r="E286" s="197"/>
      <c r="F286" s="197"/>
      <c r="G286" s="197"/>
      <c r="H286" s="197"/>
      <c r="I286" s="197"/>
      <c r="J286" s="197">
        <f>SUMIF(Credit!$A$12:$A$371,Графики!D286,Credit!$D$12:$D$371)</f>
        <v>0</v>
      </c>
      <c r="K286">
        <f>SUMIF(Credit!$A$12:$A$371,Графики!D286,Credit!$C$12:$C$371)</f>
        <v>0</v>
      </c>
    </row>
    <row r="287" spans="2:11" x14ac:dyDescent="0.35">
      <c r="B287">
        <f t="shared" si="16"/>
        <v>281</v>
      </c>
      <c r="C287" s="174">
        <f t="shared" si="15"/>
        <v>11</v>
      </c>
      <c r="D287" s="119">
        <f t="shared" si="17"/>
        <v>54728</v>
      </c>
      <c r="E287" s="197"/>
      <c r="F287" s="197"/>
      <c r="G287" s="197"/>
      <c r="H287" s="197"/>
      <c r="I287" s="197"/>
      <c r="J287" s="197">
        <f>SUMIF(Credit!$A$12:$A$371,Графики!D287,Credit!$D$12:$D$371)</f>
        <v>0</v>
      </c>
      <c r="K287">
        <f>SUMIF(Credit!$A$12:$A$371,Графики!D287,Credit!$C$12:$C$371)</f>
        <v>0</v>
      </c>
    </row>
    <row r="288" spans="2:11" x14ac:dyDescent="0.35">
      <c r="B288">
        <f t="shared" si="16"/>
        <v>282</v>
      </c>
      <c r="C288" s="174">
        <f t="shared" si="15"/>
        <v>12</v>
      </c>
      <c r="D288" s="119">
        <f t="shared" si="17"/>
        <v>54758</v>
      </c>
      <c r="E288" s="197"/>
      <c r="F288" s="197"/>
      <c r="G288" s="197"/>
      <c r="H288" s="197"/>
      <c r="I288" s="197"/>
      <c r="J288" s="197">
        <f>SUMIF(Credit!$A$12:$A$371,Графики!D288,Credit!$D$12:$D$371)</f>
        <v>0</v>
      </c>
      <c r="K288">
        <f>SUMIF(Credit!$A$12:$A$371,Графики!D288,Credit!$C$12:$C$371)</f>
        <v>0</v>
      </c>
    </row>
    <row r="289" spans="2:11" x14ac:dyDescent="0.35">
      <c r="B289">
        <f t="shared" si="16"/>
        <v>283</v>
      </c>
      <c r="C289" s="174">
        <f t="shared" si="15"/>
        <v>1</v>
      </c>
      <c r="D289" s="119">
        <f t="shared" si="17"/>
        <v>54789</v>
      </c>
      <c r="E289" s="197"/>
      <c r="F289" s="197"/>
      <c r="G289" s="197"/>
      <c r="H289" s="197"/>
      <c r="I289" s="197"/>
      <c r="J289" s="197">
        <f>SUMIF(Credit!$A$12:$A$371,Графики!D289,Credit!$D$12:$D$371)</f>
        <v>0</v>
      </c>
      <c r="K289">
        <f>SUMIF(Credit!$A$12:$A$371,Графики!D289,Credit!$C$12:$C$371)</f>
        <v>0</v>
      </c>
    </row>
    <row r="290" spans="2:11" x14ac:dyDescent="0.35">
      <c r="B290">
        <f t="shared" si="16"/>
        <v>284</v>
      </c>
      <c r="C290" s="174">
        <f t="shared" si="15"/>
        <v>2</v>
      </c>
      <c r="D290" s="119">
        <f t="shared" si="17"/>
        <v>54820</v>
      </c>
      <c r="E290" s="197"/>
      <c r="F290" s="197"/>
      <c r="G290" s="197"/>
      <c r="H290" s="197"/>
      <c r="I290" s="197"/>
      <c r="J290" s="197">
        <f>SUMIF(Credit!$A$12:$A$371,Графики!D290,Credit!$D$12:$D$371)</f>
        <v>0</v>
      </c>
      <c r="K290">
        <f>SUMIF(Credit!$A$12:$A$371,Графики!D290,Credit!$C$12:$C$371)</f>
        <v>0</v>
      </c>
    </row>
    <row r="291" spans="2:11" x14ac:dyDescent="0.35">
      <c r="B291">
        <f t="shared" si="16"/>
        <v>285</v>
      </c>
      <c r="C291" s="174">
        <f t="shared" si="15"/>
        <v>3</v>
      </c>
      <c r="D291" s="119">
        <f t="shared" si="17"/>
        <v>54848</v>
      </c>
      <c r="E291" s="197"/>
      <c r="F291" s="197"/>
      <c r="G291" s="197"/>
      <c r="H291" s="197"/>
      <c r="I291" s="197"/>
      <c r="J291" s="197">
        <f>SUMIF(Credit!$A$12:$A$371,Графики!D291,Credit!$D$12:$D$371)</f>
        <v>0</v>
      </c>
      <c r="K291">
        <f>SUMIF(Credit!$A$12:$A$371,Графики!D291,Credit!$C$12:$C$371)</f>
        <v>0</v>
      </c>
    </row>
    <row r="292" spans="2:11" x14ac:dyDescent="0.35">
      <c r="B292">
        <f t="shared" si="16"/>
        <v>286</v>
      </c>
      <c r="C292" s="174">
        <f t="shared" si="15"/>
        <v>4</v>
      </c>
      <c r="D292" s="119">
        <f t="shared" si="17"/>
        <v>54879</v>
      </c>
      <c r="E292" s="197"/>
      <c r="F292" s="197"/>
      <c r="G292" s="197"/>
      <c r="H292" s="197"/>
      <c r="I292" s="197"/>
      <c r="J292" s="197">
        <f>SUMIF(Credit!$A$12:$A$371,Графики!D292,Credit!$D$12:$D$371)</f>
        <v>0</v>
      </c>
      <c r="K292">
        <f>SUMIF(Credit!$A$12:$A$371,Графики!D292,Credit!$C$12:$C$371)</f>
        <v>0</v>
      </c>
    </row>
    <row r="293" spans="2:11" x14ac:dyDescent="0.35">
      <c r="B293">
        <f t="shared" si="16"/>
        <v>287</v>
      </c>
      <c r="C293" s="174">
        <f t="shared" si="15"/>
        <v>5</v>
      </c>
      <c r="D293" s="119">
        <f t="shared" si="17"/>
        <v>54909</v>
      </c>
      <c r="E293" s="197"/>
      <c r="F293" s="197"/>
      <c r="G293" s="197"/>
      <c r="H293" s="197"/>
      <c r="I293" s="197"/>
      <c r="J293" s="197">
        <f>SUMIF(Credit!$A$12:$A$371,Графики!D293,Credit!$D$12:$D$371)</f>
        <v>0</v>
      </c>
      <c r="K293">
        <f>SUMIF(Credit!$A$12:$A$371,Графики!D293,Credit!$C$12:$C$371)</f>
        <v>0</v>
      </c>
    </row>
    <row r="294" spans="2:11" x14ac:dyDescent="0.35">
      <c r="B294">
        <f t="shared" si="16"/>
        <v>288</v>
      </c>
      <c r="C294" s="174">
        <f t="shared" si="15"/>
        <v>6</v>
      </c>
      <c r="D294" s="119">
        <f t="shared" si="17"/>
        <v>54940</v>
      </c>
      <c r="E294" s="197"/>
      <c r="F294" s="197"/>
      <c r="G294" s="197"/>
      <c r="H294" s="197"/>
      <c r="I294" s="197"/>
      <c r="J294" s="197">
        <f>SUMIF(Credit!$A$12:$A$371,Графики!D294,Credit!$D$12:$D$371)</f>
        <v>0</v>
      </c>
      <c r="K294">
        <f>SUMIF(Credit!$A$12:$A$371,Графики!D294,Credit!$C$12:$C$371)</f>
        <v>0</v>
      </c>
    </row>
    <row r="295" spans="2:11" x14ac:dyDescent="0.35">
      <c r="B295">
        <f t="shared" si="16"/>
        <v>289</v>
      </c>
      <c r="C295" s="174">
        <f t="shared" si="15"/>
        <v>7</v>
      </c>
      <c r="D295" s="119">
        <f t="shared" si="17"/>
        <v>54970</v>
      </c>
      <c r="E295" s="197"/>
      <c r="F295" s="197"/>
      <c r="G295" s="197"/>
      <c r="H295" s="197"/>
      <c r="I295" s="197"/>
      <c r="J295" s="197">
        <f>SUMIF(Credit!$A$12:$A$371,Графики!D295,Credit!$D$12:$D$371)</f>
        <v>0</v>
      </c>
      <c r="K295">
        <f>SUMIF(Credit!$A$12:$A$371,Графики!D295,Credit!$C$12:$C$371)</f>
        <v>0</v>
      </c>
    </row>
    <row r="296" spans="2:11" x14ac:dyDescent="0.35">
      <c r="B296">
        <f t="shared" si="16"/>
        <v>290</v>
      </c>
      <c r="C296" s="174">
        <f t="shared" si="15"/>
        <v>8</v>
      </c>
      <c r="D296" s="119">
        <f t="shared" si="17"/>
        <v>55001</v>
      </c>
      <c r="E296" s="197"/>
      <c r="F296" s="197"/>
      <c r="G296" s="197"/>
      <c r="H296" s="197"/>
      <c r="I296" s="197"/>
      <c r="J296" s="197">
        <f>SUMIF(Credit!$A$12:$A$371,Графики!D296,Credit!$D$12:$D$371)</f>
        <v>0</v>
      </c>
      <c r="K296">
        <f>SUMIF(Credit!$A$12:$A$371,Графики!D296,Credit!$C$12:$C$371)</f>
        <v>0</v>
      </c>
    </row>
    <row r="297" spans="2:11" x14ac:dyDescent="0.35">
      <c r="B297">
        <f t="shared" si="16"/>
        <v>291</v>
      </c>
      <c r="C297" s="174">
        <f t="shared" si="15"/>
        <v>9</v>
      </c>
      <c r="D297" s="119">
        <f t="shared" si="17"/>
        <v>55032</v>
      </c>
      <c r="E297" s="197"/>
      <c r="F297" s="197"/>
      <c r="G297" s="197"/>
      <c r="H297" s="197"/>
      <c r="I297" s="197"/>
      <c r="J297" s="197">
        <f>SUMIF(Credit!$A$12:$A$371,Графики!D297,Credit!$D$12:$D$371)</f>
        <v>0</v>
      </c>
      <c r="K297">
        <f>SUMIF(Credit!$A$12:$A$371,Графики!D297,Credit!$C$12:$C$371)</f>
        <v>0</v>
      </c>
    </row>
    <row r="298" spans="2:11" x14ac:dyDescent="0.35">
      <c r="B298">
        <f t="shared" si="16"/>
        <v>292</v>
      </c>
      <c r="C298" s="174">
        <f t="shared" si="15"/>
        <v>10</v>
      </c>
      <c r="D298" s="119">
        <f t="shared" si="17"/>
        <v>55062</v>
      </c>
      <c r="E298" s="197"/>
      <c r="F298" s="197"/>
      <c r="G298" s="197"/>
      <c r="H298" s="197"/>
      <c r="I298" s="197"/>
      <c r="J298" s="197">
        <f>SUMIF(Credit!$A$12:$A$371,Графики!D298,Credit!$D$12:$D$371)</f>
        <v>0</v>
      </c>
      <c r="K298">
        <f>SUMIF(Credit!$A$12:$A$371,Графики!D298,Credit!$C$12:$C$371)</f>
        <v>0</v>
      </c>
    </row>
    <row r="299" spans="2:11" x14ac:dyDescent="0.35">
      <c r="B299">
        <f t="shared" si="16"/>
        <v>293</v>
      </c>
      <c r="C299" s="174">
        <f t="shared" si="15"/>
        <v>11</v>
      </c>
      <c r="D299" s="119">
        <f t="shared" si="17"/>
        <v>55093</v>
      </c>
      <c r="E299" s="197"/>
      <c r="F299" s="197"/>
      <c r="G299" s="197"/>
      <c r="H299" s="197"/>
      <c r="I299" s="197"/>
      <c r="J299" s="197">
        <f>SUMIF(Credit!$A$12:$A$371,Графики!D299,Credit!$D$12:$D$371)</f>
        <v>0</v>
      </c>
      <c r="K299">
        <f>SUMIF(Credit!$A$12:$A$371,Графики!D299,Credit!$C$12:$C$371)</f>
        <v>0</v>
      </c>
    </row>
    <row r="300" spans="2:11" x14ac:dyDescent="0.35">
      <c r="B300">
        <f t="shared" si="16"/>
        <v>294</v>
      </c>
      <c r="C300" s="174">
        <f t="shared" si="15"/>
        <v>12</v>
      </c>
      <c r="D300" s="119">
        <f t="shared" si="17"/>
        <v>55123</v>
      </c>
      <c r="E300" s="197"/>
      <c r="F300" s="197"/>
      <c r="G300" s="197"/>
      <c r="H300" s="197"/>
      <c r="I300" s="197"/>
      <c r="J300" s="197">
        <f>SUMIF(Credit!$A$12:$A$371,Графики!D300,Credit!$D$12:$D$371)</f>
        <v>0</v>
      </c>
      <c r="K300">
        <f>SUMIF(Credit!$A$12:$A$371,Графики!D300,Credit!$C$12:$C$371)</f>
        <v>0</v>
      </c>
    </row>
    <row r="301" spans="2:11" x14ac:dyDescent="0.35">
      <c r="B301">
        <f t="shared" si="16"/>
        <v>295</v>
      </c>
      <c r="C301" s="174">
        <f t="shared" si="15"/>
        <v>1</v>
      </c>
      <c r="D301" s="119">
        <f t="shared" si="17"/>
        <v>55154</v>
      </c>
      <c r="E301" s="197"/>
      <c r="F301" s="197"/>
      <c r="G301" s="197"/>
      <c r="H301" s="197"/>
      <c r="I301" s="197"/>
      <c r="J301" s="197">
        <f>SUMIF(Credit!$A$12:$A$371,Графики!D301,Credit!$D$12:$D$371)</f>
        <v>0</v>
      </c>
      <c r="K301">
        <f>SUMIF(Credit!$A$12:$A$371,Графики!D301,Credit!$C$12:$C$371)</f>
        <v>0</v>
      </c>
    </row>
    <row r="302" spans="2:11" x14ac:dyDescent="0.35">
      <c r="B302">
        <f t="shared" si="16"/>
        <v>296</v>
      </c>
      <c r="C302" s="174">
        <f t="shared" si="15"/>
        <v>2</v>
      </c>
      <c r="D302" s="119">
        <f t="shared" si="17"/>
        <v>55185</v>
      </c>
      <c r="E302" s="197"/>
      <c r="F302" s="197"/>
      <c r="G302" s="197"/>
      <c r="H302" s="197"/>
      <c r="I302" s="197"/>
      <c r="J302" s="197">
        <f>SUMIF(Credit!$A$12:$A$371,Графики!D302,Credit!$D$12:$D$371)</f>
        <v>0</v>
      </c>
      <c r="K302">
        <f>SUMIF(Credit!$A$12:$A$371,Графики!D302,Credit!$C$12:$C$371)</f>
        <v>0</v>
      </c>
    </row>
    <row r="303" spans="2:11" x14ac:dyDescent="0.35">
      <c r="B303">
        <f t="shared" si="16"/>
        <v>297</v>
      </c>
      <c r="C303" s="174">
        <f t="shared" si="15"/>
        <v>3</v>
      </c>
      <c r="D303" s="119">
        <f t="shared" si="17"/>
        <v>55213</v>
      </c>
      <c r="E303" s="197"/>
      <c r="F303" s="197"/>
      <c r="G303" s="197"/>
      <c r="H303" s="197"/>
      <c r="I303" s="197"/>
      <c r="J303" s="197">
        <f>SUMIF(Credit!$A$12:$A$371,Графики!D303,Credit!$D$12:$D$371)</f>
        <v>0</v>
      </c>
      <c r="K303">
        <f>SUMIF(Credit!$A$12:$A$371,Графики!D303,Credit!$C$12:$C$371)</f>
        <v>0</v>
      </c>
    </row>
    <row r="304" spans="2:11" x14ac:dyDescent="0.35">
      <c r="B304">
        <f t="shared" si="16"/>
        <v>298</v>
      </c>
      <c r="C304" s="174">
        <f t="shared" si="15"/>
        <v>4</v>
      </c>
      <c r="D304" s="119">
        <f t="shared" si="17"/>
        <v>55244</v>
      </c>
      <c r="E304" s="197"/>
      <c r="F304" s="197"/>
      <c r="G304" s="197"/>
      <c r="H304" s="197"/>
      <c r="I304" s="197"/>
      <c r="J304" s="197">
        <f>SUMIF(Credit!$A$12:$A$371,Графики!D304,Credit!$D$12:$D$371)</f>
        <v>0</v>
      </c>
      <c r="K304">
        <f>SUMIF(Credit!$A$12:$A$371,Графики!D304,Credit!$C$12:$C$371)</f>
        <v>0</v>
      </c>
    </row>
    <row r="305" spans="2:11" x14ac:dyDescent="0.35">
      <c r="B305">
        <f t="shared" si="16"/>
        <v>299</v>
      </c>
      <c r="C305" s="174">
        <f t="shared" si="15"/>
        <v>5</v>
      </c>
      <c r="D305" s="119">
        <f t="shared" si="17"/>
        <v>55274</v>
      </c>
      <c r="E305" s="197"/>
      <c r="F305" s="197"/>
      <c r="G305" s="197"/>
      <c r="H305" s="197"/>
      <c r="I305" s="197"/>
      <c r="J305" s="197">
        <f>SUMIF(Credit!$A$12:$A$371,Графики!D305,Credit!$D$12:$D$371)</f>
        <v>0</v>
      </c>
      <c r="K305">
        <f>SUMIF(Credit!$A$12:$A$371,Графики!D305,Credit!$C$12:$C$371)</f>
        <v>0</v>
      </c>
    </row>
    <row r="306" spans="2:11" x14ac:dyDescent="0.35">
      <c r="B306">
        <f t="shared" si="16"/>
        <v>300</v>
      </c>
      <c r="C306" s="174">
        <f t="shared" si="15"/>
        <v>6</v>
      </c>
      <c r="D306" s="119">
        <f t="shared" si="17"/>
        <v>55305</v>
      </c>
      <c r="E306" s="197"/>
      <c r="F306" s="197"/>
      <c r="G306" s="197"/>
      <c r="H306" s="197"/>
      <c r="I306" s="197"/>
      <c r="J306" s="197">
        <f>SUMIF(Credit!$A$12:$A$371,Графики!D306,Credit!$D$12:$D$371)</f>
        <v>0</v>
      </c>
      <c r="K306">
        <f>SUMIF(Credit!$A$12:$A$371,Графики!D306,Credit!$C$12:$C$371)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77DD-D361-4734-9B4F-C8E6BA3B336B}">
  <dimension ref="B2:C8"/>
  <sheetViews>
    <sheetView zoomScale="179" workbookViewId="0">
      <selection activeCell="C2" sqref="C2"/>
    </sheetView>
  </sheetViews>
  <sheetFormatPr defaultColWidth="8.90625" defaultRowHeight="14.5" x14ac:dyDescent="0.35"/>
  <cols>
    <col min="1" max="1" width="8.90625" style="114"/>
    <col min="2" max="2" width="28.36328125" style="114" bestFit="1" customWidth="1"/>
    <col min="3" max="3" width="14.453125" style="114" bestFit="1" customWidth="1"/>
    <col min="4" max="16384" width="8.90625" style="114"/>
  </cols>
  <sheetData>
    <row r="2" spans="2:3" x14ac:dyDescent="0.35">
      <c r="B2" s="112" t="s">
        <v>165</v>
      </c>
      <c r="C2" s="113">
        <f>C3/1.16</f>
        <v>4937406830.1724138</v>
      </c>
    </row>
    <row r="3" spans="2:3" x14ac:dyDescent="0.35">
      <c r="B3" s="112" t="s">
        <v>166</v>
      </c>
      <c r="C3" s="113">
        <f>'PnL все'!B40+'PnL все'!B50+'PnL все'!B53+'PnL все'!B61</f>
        <v>5727391923</v>
      </c>
    </row>
    <row r="4" spans="2:3" x14ac:dyDescent="0.35">
      <c r="B4" s="112" t="s">
        <v>167</v>
      </c>
      <c r="C4" s="113">
        <f>C3-C2</f>
        <v>789985092.82758617</v>
      </c>
    </row>
    <row r="5" spans="2:3" x14ac:dyDescent="0.35">
      <c r="B5" s="112" t="s">
        <v>168</v>
      </c>
      <c r="C5" s="113">
        <f>'PnL все'!B34/1.16</f>
        <v>9235603448.2758636</v>
      </c>
    </row>
    <row r="6" spans="2:3" x14ac:dyDescent="0.35">
      <c r="B6" s="112" t="s">
        <v>169</v>
      </c>
      <c r="C6" s="113">
        <f>'PnL все'!B34</f>
        <v>10713300000</v>
      </c>
    </row>
    <row r="7" spans="2:3" x14ac:dyDescent="0.35">
      <c r="B7" s="112" t="s">
        <v>170</v>
      </c>
      <c r="C7" s="113">
        <f>C6-C5</f>
        <v>1477696551.7241364</v>
      </c>
    </row>
    <row r="8" spans="2:3" x14ac:dyDescent="0.35">
      <c r="B8" s="112" t="s">
        <v>171</v>
      </c>
      <c r="C8" s="113">
        <f>C7-C4</f>
        <v>687711458.89655018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17DCB-0F62-411A-9772-ADAF118D48EB}">
  <dimension ref="B1:EQ40"/>
  <sheetViews>
    <sheetView topLeftCell="B1" zoomScale="90" zoomScaleNormal="90" workbookViewId="0">
      <pane xSplit="3" ySplit="5" topLeftCell="E6" activePane="bottomRight" state="frozen"/>
      <selection pane="topRight"/>
      <selection pane="bottomLeft"/>
      <selection pane="bottomRight" activeCell="K26" sqref="K26"/>
    </sheetView>
  </sheetViews>
  <sheetFormatPr defaultRowHeight="14.5" x14ac:dyDescent="0.35"/>
  <cols>
    <col min="2" max="2" width="22" customWidth="1"/>
    <col min="3" max="3" width="22" bestFit="1" customWidth="1"/>
    <col min="4" max="4" width="19.6328125" bestFit="1" customWidth="1"/>
    <col min="5" max="5" width="22" bestFit="1" customWidth="1"/>
    <col min="6" max="6" width="14.36328125" bestFit="1" customWidth="1"/>
    <col min="7" max="11" width="13.36328125" bestFit="1" customWidth="1"/>
    <col min="12" max="12" width="16.6328125" bestFit="1" customWidth="1"/>
    <col min="13" max="14" width="13.36328125" bestFit="1" customWidth="1"/>
    <col min="15" max="15" width="16.453125" bestFit="1" customWidth="1"/>
    <col min="16" max="16" width="14.453125" customWidth="1"/>
    <col min="17" max="28" width="13.36328125" bestFit="1" customWidth="1"/>
    <col min="29" max="36" width="13.90625" customWidth="1"/>
    <col min="37" max="40" width="15.453125" customWidth="1"/>
    <col min="41" max="46" width="15.08984375" customWidth="1"/>
    <col min="47" max="52" width="16.6328125" customWidth="1"/>
    <col min="53" max="59" width="18.36328125" customWidth="1"/>
    <col min="60" max="60" width="15.453125" customWidth="1"/>
    <col min="61" max="79" width="14.90625" customWidth="1"/>
    <col min="80" max="88" width="12.453125" customWidth="1"/>
    <col min="89" max="89" width="13.6328125" customWidth="1"/>
    <col min="90" max="90" width="12.453125" customWidth="1"/>
    <col min="91" max="91" width="14.36328125" customWidth="1"/>
    <col min="92" max="92" width="13.36328125" customWidth="1"/>
    <col min="93" max="93" width="13.08984375" customWidth="1"/>
    <col min="94" max="94" width="12.453125" customWidth="1"/>
    <col min="95" max="95" width="13" customWidth="1"/>
    <col min="96" max="96" width="12.90625" customWidth="1"/>
    <col min="97" max="97" width="12.54296875" customWidth="1"/>
    <col min="98" max="98" width="13" customWidth="1"/>
    <col min="99" max="99" width="13.54296875" customWidth="1"/>
    <col min="100" max="100" width="12.08984375" customWidth="1"/>
    <col min="101" max="112" width="9.08984375" bestFit="1" customWidth="1"/>
    <col min="118" max="118" width="9.08984375" bestFit="1" customWidth="1"/>
  </cols>
  <sheetData>
    <row r="1" spans="2:147" x14ac:dyDescent="0.35">
      <c r="I1" t="s">
        <v>172</v>
      </c>
    </row>
    <row r="2" spans="2:147" x14ac:dyDescent="0.35">
      <c r="C2" t="s">
        <v>173</v>
      </c>
      <c r="D2" s="197">
        <f>'Dashboard все'!C25</f>
        <v>6901</v>
      </c>
      <c r="I2" s="222" t="s">
        <v>252</v>
      </c>
      <c r="J2" s="199">
        <v>0.03</v>
      </c>
      <c r="K2">
        <v>4</v>
      </c>
      <c r="L2" s="199">
        <f>J2*K2</f>
        <v>0.12</v>
      </c>
    </row>
    <row r="3" spans="2:147" x14ac:dyDescent="0.35">
      <c r="C3" t="s">
        <v>175</v>
      </c>
      <c r="D3" s="197">
        <f>'Dashboard все'!C26</f>
        <v>6901</v>
      </c>
      <c r="I3" s="222" t="s">
        <v>253</v>
      </c>
      <c r="J3" s="199">
        <v>3.1E-2</v>
      </c>
      <c r="K3">
        <f>8-5+1</f>
        <v>4</v>
      </c>
      <c r="L3" s="199">
        <f>J3*K3</f>
        <v>0.124</v>
      </c>
    </row>
    <row r="4" spans="2:147" x14ac:dyDescent="0.35">
      <c r="C4" t="s">
        <v>177</v>
      </c>
      <c r="D4" s="197">
        <v>1</v>
      </c>
      <c r="I4" s="222" t="s">
        <v>254</v>
      </c>
      <c r="J4" s="199">
        <v>3.2000000000000001E-2</v>
      </c>
      <c r="K4">
        <f>13-9+1</f>
        <v>5</v>
      </c>
      <c r="L4" s="199">
        <f t="shared" ref="L4:L5" si="0">J4*K4</f>
        <v>0.16</v>
      </c>
      <c r="O4" s="218"/>
    </row>
    <row r="5" spans="2:147" x14ac:dyDescent="0.35">
      <c r="C5" t="s">
        <v>180</v>
      </c>
      <c r="D5" s="197">
        <f>'PnL все'!B34</f>
        <v>10713300000</v>
      </c>
      <c r="I5" s="222" t="s">
        <v>255</v>
      </c>
      <c r="J5" s="199">
        <v>3.3000000000000002E-2</v>
      </c>
      <c r="K5">
        <f>18-14+1</f>
        <v>5</v>
      </c>
      <c r="L5" s="199">
        <f t="shared" si="0"/>
        <v>0.16500000000000001</v>
      </c>
      <c r="O5" s="218"/>
      <c r="P5" s="218"/>
    </row>
    <row r="6" spans="2:147" x14ac:dyDescent="0.35">
      <c r="C6" t="s">
        <v>182</v>
      </c>
      <c r="D6" s="197">
        <f>D5/D4</f>
        <v>10713300000</v>
      </c>
      <c r="I6" s="222" t="s">
        <v>256</v>
      </c>
      <c r="J6" s="199">
        <f>L6/K6</f>
        <v>7.1833333333333318E-2</v>
      </c>
      <c r="K6">
        <f>24-19+1</f>
        <v>6</v>
      </c>
      <c r="L6" s="199">
        <f>L10-L2-L3-L4-L5</f>
        <v>0.43099999999999994</v>
      </c>
    </row>
    <row r="7" spans="2:147" x14ac:dyDescent="0.35">
      <c r="D7" s="197"/>
      <c r="I7" s="222" t="s">
        <v>257</v>
      </c>
      <c r="J7" s="199">
        <v>3.5999999999999997E-2</v>
      </c>
      <c r="K7">
        <f>29-25+1</f>
        <v>5</v>
      </c>
      <c r="L7" s="199"/>
    </row>
    <row r="8" spans="2:147" x14ac:dyDescent="0.35">
      <c r="D8" s="197"/>
      <c r="I8" s="222" t="s">
        <v>258</v>
      </c>
      <c r="J8" s="199"/>
      <c r="K8">
        <f>33-30+1</f>
        <v>4</v>
      </c>
      <c r="L8" s="199"/>
    </row>
    <row r="9" spans="2:147" x14ac:dyDescent="0.35">
      <c r="D9" s="197">
        <f>D6-B14</f>
        <v>0</v>
      </c>
      <c r="I9" s="222"/>
      <c r="J9" s="199"/>
      <c r="L9" s="199"/>
    </row>
    <row r="10" spans="2:147" x14ac:dyDescent="0.35">
      <c r="D10" s="221"/>
      <c r="I10" s="231" t="s">
        <v>103</v>
      </c>
      <c r="J10" s="232">
        <v>0.01</v>
      </c>
      <c r="K10" s="231">
        <f>SUM(K2:K9)</f>
        <v>33</v>
      </c>
      <c r="L10" s="232">
        <v>1</v>
      </c>
    </row>
    <row r="11" spans="2:147" x14ac:dyDescent="0.35">
      <c r="D11" s="221"/>
      <c r="I11" s="222"/>
      <c r="J11" s="199"/>
      <c r="L11" s="211"/>
    </row>
    <row r="12" spans="2:147" x14ac:dyDescent="0.35">
      <c r="B12" s="197"/>
      <c r="F12" s="197"/>
    </row>
    <row r="13" spans="2:147" x14ac:dyDescent="0.35">
      <c r="E13" s="201">
        <f>DCF!D6</f>
        <v>46204</v>
      </c>
      <c r="F13" s="201">
        <f t="shared" ref="F13:AK13" si="1">EDATE(E13,1)</f>
        <v>46235</v>
      </c>
      <c r="G13" s="201">
        <f t="shared" si="1"/>
        <v>46266</v>
      </c>
      <c r="H13" s="201">
        <f t="shared" si="1"/>
        <v>46296</v>
      </c>
      <c r="I13" s="201">
        <f t="shared" si="1"/>
        <v>46327</v>
      </c>
      <c r="J13" s="201">
        <f t="shared" si="1"/>
        <v>46357</v>
      </c>
      <c r="K13" s="201">
        <f t="shared" si="1"/>
        <v>46388</v>
      </c>
      <c r="L13" s="201">
        <f t="shared" si="1"/>
        <v>46419</v>
      </c>
      <c r="M13" s="201">
        <f t="shared" si="1"/>
        <v>46447</v>
      </c>
      <c r="N13" s="201">
        <f t="shared" si="1"/>
        <v>46478</v>
      </c>
      <c r="O13" s="201">
        <f t="shared" si="1"/>
        <v>46508</v>
      </c>
      <c r="P13" s="201">
        <f t="shared" si="1"/>
        <v>46539</v>
      </c>
      <c r="Q13" s="201">
        <f t="shared" si="1"/>
        <v>46569</v>
      </c>
      <c r="R13" s="201">
        <f t="shared" si="1"/>
        <v>46600</v>
      </c>
      <c r="S13" s="201">
        <f t="shared" si="1"/>
        <v>46631</v>
      </c>
      <c r="T13" s="201">
        <f t="shared" si="1"/>
        <v>46661</v>
      </c>
      <c r="U13" s="201">
        <f t="shared" si="1"/>
        <v>46692</v>
      </c>
      <c r="V13" s="201">
        <f t="shared" si="1"/>
        <v>46722</v>
      </c>
      <c r="W13" s="201">
        <f t="shared" si="1"/>
        <v>46753</v>
      </c>
      <c r="X13" s="201">
        <f t="shared" si="1"/>
        <v>46784</v>
      </c>
      <c r="Y13" s="201">
        <f t="shared" si="1"/>
        <v>46813</v>
      </c>
      <c r="Z13" s="201">
        <f t="shared" si="1"/>
        <v>46844</v>
      </c>
      <c r="AA13" s="201">
        <f t="shared" si="1"/>
        <v>46874</v>
      </c>
      <c r="AB13" s="201">
        <f t="shared" si="1"/>
        <v>46905</v>
      </c>
      <c r="AC13" s="201">
        <f t="shared" si="1"/>
        <v>46935</v>
      </c>
      <c r="AD13" s="201">
        <f t="shared" si="1"/>
        <v>46966</v>
      </c>
      <c r="AE13" s="201">
        <f t="shared" si="1"/>
        <v>46997</v>
      </c>
      <c r="AF13" s="201">
        <f t="shared" si="1"/>
        <v>47027</v>
      </c>
      <c r="AG13" s="201">
        <f t="shared" si="1"/>
        <v>47058</v>
      </c>
      <c r="AH13" s="201">
        <f t="shared" si="1"/>
        <v>47088</v>
      </c>
      <c r="AI13" s="201">
        <f t="shared" si="1"/>
        <v>47119</v>
      </c>
      <c r="AJ13" s="201">
        <f t="shared" si="1"/>
        <v>47150</v>
      </c>
      <c r="AK13" s="201">
        <f t="shared" si="1"/>
        <v>47178</v>
      </c>
      <c r="AL13" s="201">
        <f t="shared" ref="AL13:BQ13" si="2">EDATE(AK13,1)</f>
        <v>47209</v>
      </c>
      <c r="AM13" s="201">
        <f t="shared" si="2"/>
        <v>47239</v>
      </c>
      <c r="AN13" s="201">
        <f t="shared" si="2"/>
        <v>47270</v>
      </c>
      <c r="AO13" s="201">
        <f t="shared" si="2"/>
        <v>47300</v>
      </c>
      <c r="AP13" s="201">
        <f t="shared" si="2"/>
        <v>47331</v>
      </c>
      <c r="AQ13" s="201">
        <f t="shared" si="2"/>
        <v>47362</v>
      </c>
      <c r="AR13" s="201">
        <f t="shared" si="2"/>
        <v>47392</v>
      </c>
      <c r="AS13" s="201">
        <f t="shared" si="2"/>
        <v>47423</v>
      </c>
      <c r="AT13" s="201">
        <f t="shared" si="2"/>
        <v>47453</v>
      </c>
      <c r="AU13" s="201">
        <f t="shared" si="2"/>
        <v>47484</v>
      </c>
      <c r="AV13" s="201">
        <f t="shared" si="2"/>
        <v>47515</v>
      </c>
      <c r="AW13" s="201">
        <f t="shared" si="2"/>
        <v>47543</v>
      </c>
      <c r="AX13" s="201">
        <f t="shared" si="2"/>
        <v>47574</v>
      </c>
      <c r="AY13" s="201">
        <f t="shared" si="2"/>
        <v>47604</v>
      </c>
      <c r="AZ13" s="201">
        <f t="shared" si="2"/>
        <v>47635</v>
      </c>
      <c r="BA13" s="201">
        <f t="shared" si="2"/>
        <v>47665</v>
      </c>
      <c r="BB13" s="201">
        <f t="shared" si="2"/>
        <v>47696</v>
      </c>
      <c r="BC13" s="201">
        <f t="shared" si="2"/>
        <v>47727</v>
      </c>
      <c r="BD13" s="201">
        <f t="shared" si="2"/>
        <v>47757</v>
      </c>
      <c r="BE13" s="201">
        <f t="shared" si="2"/>
        <v>47788</v>
      </c>
      <c r="BF13" s="201">
        <f t="shared" si="2"/>
        <v>47818</v>
      </c>
      <c r="BG13" s="201">
        <f t="shared" si="2"/>
        <v>47849</v>
      </c>
      <c r="BH13" s="201">
        <f t="shared" si="2"/>
        <v>47880</v>
      </c>
      <c r="BI13" s="201">
        <f t="shared" si="2"/>
        <v>47908</v>
      </c>
      <c r="BJ13" s="201">
        <f t="shared" si="2"/>
        <v>47939</v>
      </c>
      <c r="BK13" s="201">
        <f t="shared" si="2"/>
        <v>47969</v>
      </c>
      <c r="BL13" s="201">
        <f t="shared" si="2"/>
        <v>48000</v>
      </c>
      <c r="BM13" s="201">
        <f t="shared" si="2"/>
        <v>48030</v>
      </c>
      <c r="BN13" s="201">
        <f t="shared" si="2"/>
        <v>48061</v>
      </c>
      <c r="BO13" s="201">
        <f t="shared" si="2"/>
        <v>48092</v>
      </c>
      <c r="BP13" s="201">
        <f t="shared" si="2"/>
        <v>48122</v>
      </c>
      <c r="BQ13" s="201">
        <f t="shared" si="2"/>
        <v>48153</v>
      </c>
      <c r="BR13" s="201">
        <f t="shared" ref="BR13:CW13" si="3">EDATE(BQ13,1)</f>
        <v>48183</v>
      </c>
      <c r="BS13" s="201">
        <f t="shared" si="3"/>
        <v>48214</v>
      </c>
      <c r="BT13" s="201">
        <f t="shared" si="3"/>
        <v>48245</v>
      </c>
      <c r="BU13" s="201">
        <f t="shared" si="3"/>
        <v>48274</v>
      </c>
      <c r="BV13" s="201">
        <f t="shared" si="3"/>
        <v>48305</v>
      </c>
      <c r="BW13" s="201">
        <f t="shared" si="3"/>
        <v>48335</v>
      </c>
      <c r="BX13" s="201">
        <f t="shared" si="3"/>
        <v>48366</v>
      </c>
      <c r="BY13" s="201">
        <f t="shared" si="3"/>
        <v>48396</v>
      </c>
      <c r="BZ13" s="201">
        <f t="shared" si="3"/>
        <v>48427</v>
      </c>
      <c r="CA13" s="201">
        <f t="shared" si="3"/>
        <v>48458</v>
      </c>
      <c r="CB13" s="201">
        <f t="shared" si="3"/>
        <v>48488</v>
      </c>
      <c r="CC13" s="201">
        <f t="shared" si="3"/>
        <v>48519</v>
      </c>
      <c r="CD13" s="201">
        <f t="shared" si="3"/>
        <v>48549</v>
      </c>
      <c r="CE13" s="201">
        <f t="shared" si="3"/>
        <v>48580</v>
      </c>
      <c r="CF13" s="201">
        <f t="shared" si="3"/>
        <v>48611</v>
      </c>
      <c r="CG13" s="201">
        <f t="shared" si="3"/>
        <v>48639</v>
      </c>
      <c r="CH13" s="201">
        <f t="shared" si="3"/>
        <v>48670</v>
      </c>
      <c r="CI13" s="201">
        <f t="shared" si="3"/>
        <v>48700</v>
      </c>
      <c r="CJ13" s="201">
        <f t="shared" si="3"/>
        <v>48731</v>
      </c>
      <c r="CK13" s="201">
        <f t="shared" si="3"/>
        <v>48761</v>
      </c>
      <c r="CL13" s="201">
        <f t="shared" si="3"/>
        <v>48792</v>
      </c>
      <c r="CM13" s="201">
        <f t="shared" si="3"/>
        <v>48823</v>
      </c>
      <c r="CN13" s="201">
        <f t="shared" si="3"/>
        <v>48853</v>
      </c>
      <c r="CO13" s="201">
        <f t="shared" si="3"/>
        <v>48884</v>
      </c>
      <c r="CP13" s="201">
        <f t="shared" si="3"/>
        <v>48914</v>
      </c>
      <c r="CQ13" s="201">
        <f t="shared" si="3"/>
        <v>48945</v>
      </c>
      <c r="CR13" s="201">
        <f t="shared" si="3"/>
        <v>48976</v>
      </c>
      <c r="CS13" s="201">
        <f t="shared" si="3"/>
        <v>49004</v>
      </c>
      <c r="CT13" s="201">
        <f t="shared" si="3"/>
        <v>49035</v>
      </c>
      <c r="CU13" s="201">
        <f t="shared" si="3"/>
        <v>49065</v>
      </c>
      <c r="CV13" s="201">
        <f t="shared" si="3"/>
        <v>49096</v>
      </c>
      <c r="CW13" s="201">
        <f t="shared" si="3"/>
        <v>49126</v>
      </c>
      <c r="CX13" s="201">
        <f t="shared" ref="CX13:EC13" si="4">EDATE(CW13,1)</f>
        <v>49157</v>
      </c>
      <c r="CY13" s="201">
        <f t="shared" si="4"/>
        <v>49188</v>
      </c>
      <c r="CZ13" s="201">
        <f t="shared" si="4"/>
        <v>49218</v>
      </c>
      <c r="DA13" s="201">
        <f t="shared" si="4"/>
        <v>49249</v>
      </c>
      <c r="DB13" s="201">
        <f t="shared" si="4"/>
        <v>49279</v>
      </c>
      <c r="DC13" s="201">
        <f t="shared" si="4"/>
        <v>49310</v>
      </c>
      <c r="DD13" s="201">
        <f t="shared" si="4"/>
        <v>49341</v>
      </c>
      <c r="DE13" s="201">
        <f t="shared" si="4"/>
        <v>49369</v>
      </c>
      <c r="DF13" s="201">
        <f t="shared" si="4"/>
        <v>49400</v>
      </c>
      <c r="DG13" s="201">
        <f t="shared" si="4"/>
        <v>49430</v>
      </c>
      <c r="DH13" s="201">
        <f t="shared" si="4"/>
        <v>49461</v>
      </c>
      <c r="DI13" s="201">
        <f t="shared" si="4"/>
        <v>49491</v>
      </c>
      <c r="DJ13" s="201">
        <f t="shared" si="4"/>
        <v>49522</v>
      </c>
      <c r="DK13" s="201">
        <f t="shared" si="4"/>
        <v>49553</v>
      </c>
      <c r="DL13" s="201">
        <f t="shared" si="4"/>
        <v>49583</v>
      </c>
      <c r="DM13" s="201">
        <f t="shared" si="4"/>
        <v>49614</v>
      </c>
      <c r="DN13" s="201">
        <f t="shared" si="4"/>
        <v>49644</v>
      </c>
      <c r="DO13" s="201">
        <f t="shared" si="4"/>
        <v>49675</v>
      </c>
      <c r="DP13" s="201">
        <f t="shared" si="4"/>
        <v>49706</v>
      </c>
      <c r="DQ13" s="201">
        <f t="shared" si="4"/>
        <v>49735</v>
      </c>
      <c r="DR13" s="201">
        <f t="shared" si="4"/>
        <v>49766</v>
      </c>
      <c r="DS13" s="201">
        <f t="shared" si="4"/>
        <v>49796</v>
      </c>
      <c r="DT13" s="201">
        <f t="shared" si="4"/>
        <v>49827</v>
      </c>
      <c r="DU13" s="201">
        <f t="shared" si="4"/>
        <v>49857</v>
      </c>
      <c r="DV13" s="201">
        <f t="shared" si="4"/>
        <v>49888</v>
      </c>
      <c r="DW13" s="201">
        <f t="shared" si="4"/>
        <v>49919</v>
      </c>
      <c r="DX13" s="201">
        <f t="shared" si="4"/>
        <v>49949</v>
      </c>
      <c r="DY13" s="201">
        <f t="shared" si="4"/>
        <v>49980</v>
      </c>
      <c r="DZ13" s="201">
        <f t="shared" si="4"/>
        <v>50010</v>
      </c>
      <c r="EA13" s="201">
        <f t="shared" si="4"/>
        <v>50041</v>
      </c>
      <c r="EB13" s="201">
        <f t="shared" si="4"/>
        <v>50072</v>
      </c>
      <c r="EC13" s="201">
        <f t="shared" si="4"/>
        <v>50100</v>
      </c>
      <c r="ED13" s="201">
        <f t="shared" ref="ED13:EQ13" si="5">EDATE(EC13,1)</f>
        <v>50131</v>
      </c>
      <c r="EE13" s="201">
        <f t="shared" si="5"/>
        <v>50161</v>
      </c>
      <c r="EF13" s="201">
        <f t="shared" si="5"/>
        <v>50192</v>
      </c>
      <c r="EG13" s="201">
        <f t="shared" si="5"/>
        <v>50222</v>
      </c>
      <c r="EH13" s="201">
        <f t="shared" si="5"/>
        <v>50253</v>
      </c>
      <c r="EI13" s="201">
        <f t="shared" si="5"/>
        <v>50284</v>
      </c>
      <c r="EJ13" s="201">
        <f t="shared" si="5"/>
        <v>50314</v>
      </c>
      <c r="EK13" s="201">
        <f t="shared" si="5"/>
        <v>50345</v>
      </c>
      <c r="EL13" s="201">
        <f t="shared" si="5"/>
        <v>50375</v>
      </c>
      <c r="EM13" s="201">
        <f t="shared" si="5"/>
        <v>50406</v>
      </c>
      <c r="EN13" s="201">
        <f t="shared" si="5"/>
        <v>50437</v>
      </c>
      <c r="EO13" s="201">
        <f t="shared" si="5"/>
        <v>50465</v>
      </c>
      <c r="EP13" s="201">
        <f t="shared" si="5"/>
        <v>50496</v>
      </c>
      <c r="EQ13" s="201">
        <f t="shared" si="5"/>
        <v>50526</v>
      </c>
    </row>
    <row r="14" spans="2:147" x14ac:dyDescent="0.35">
      <c r="B14" s="197">
        <f>SUM(B15:B34)</f>
        <v>10713300000</v>
      </c>
      <c r="C14" s="197"/>
      <c r="D14" t="s">
        <v>193</v>
      </c>
      <c r="E14" s="198">
        <v>1</v>
      </c>
      <c r="F14" s="198">
        <f>E14+1</f>
        <v>2</v>
      </c>
      <c r="G14" s="198">
        <f t="shared" ref="G14:BR14" si="6">F14+1</f>
        <v>3</v>
      </c>
      <c r="H14" s="198">
        <f t="shared" si="6"/>
        <v>4</v>
      </c>
      <c r="I14" s="198">
        <f t="shared" si="6"/>
        <v>5</v>
      </c>
      <c r="J14" s="198">
        <f t="shared" si="6"/>
        <v>6</v>
      </c>
      <c r="K14" s="198">
        <f t="shared" si="6"/>
        <v>7</v>
      </c>
      <c r="L14" s="198">
        <f t="shared" si="6"/>
        <v>8</v>
      </c>
      <c r="M14" s="198">
        <f t="shared" si="6"/>
        <v>9</v>
      </c>
      <c r="N14" s="198">
        <f t="shared" si="6"/>
        <v>10</v>
      </c>
      <c r="O14" s="198">
        <f t="shared" si="6"/>
        <v>11</v>
      </c>
      <c r="P14" s="198">
        <f t="shared" si="6"/>
        <v>12</v>
      </c>
      <c r="Q14" s="198">
        <f t="shared" si="6"/>
        <v>13</v>
      </c>
      <c r="R14" s="198">
        <f t="shared" si="6"/>
        <v>14</v>
      </c>
      <c r="S14" s="198">
        <f t="shared" si="6"/>
        <v>15</v>
      </c>
      <c r="T14" s="198">
        <f t="shared" si="6"/>
        <v>16</v>
      </c>
      <c r="U14" s="198">
        <f t="shared" si="6"/>
        <v>17</v>
      </c>
      <c r="V14" s="198">
        <f t="shared" si="6"/>
        <v>18</v>
      </c>
      <c r="W14" s="198">
        <f t="shared" si="6"/>
        <v>19</v>
      </c>
      <c r="X14" s="198">
        <f t="shared" si="6"/>
        <v>20</v>
      </c>
      <c r="Y14" s="198">
        <f t="shared" si="6"/>
        <v>21</v>
      </c>
      <c r="Z14" s="198">
        <f t="shared" si="6"/>
        <v>22</v>
      </c>
      <c r="AA14" s="198">
        <f t="shared" si="6"/>
        <v>23</v>
      </c>
      <c r="AB14" s="198">
        <f t="shared" si="6"/>
        <v>24</v>
      </c>
      <c r="AC14" s="198">
        <f t="shared" si="6"/>
        <v>25</v>
      </c>
      <c r="AD14" s="198">
        <f t="shared" si="6"/>
        <v>26</v>
      </c>
      <c r="AE14" s="198">
        <f t="shared" si="6"/>
        <v>27</v>
      </c>
      <c r="AF14" s="198">
        <f t="shared" si="6"/>
        <v>28</v>
      </c>
      <c r="AG14" s="198">
        <f t="shared" si="6"/>
        <v>29</v>
      </c>
      <c r="AH14" s="198">
        <f t="shared" si="6"/>
        <v>30</v>
      </c>
      <c r="AI14" s="198">
        <f t="shared" si="6"/>
        <v>31</v>
      </c>
      <c r="AJ14" s="198">
        <f t="shared" si="6"/>
        <v>32</v>
      </c>
      <c r="AK14" s="198">
        <f t="shared" si="6"/>
        <v>33</v>
      </c>
      <c r="AL14" s="198">
        <f t="shared" si="6"/>
        <v>34</v>
      </c>
      <c r="AM14" s="198">
        <f t="shared" si="6"/>
        <v>35</v>
      </c>
      <c r="AN14" s="198">
        <f t="shared" si="6"/>
        <v>36</v>
      </c>
      <c r="AO14" s="198">
        <f t="shared" si="6"/>
        <v>37</v>
      </c>
      <c r="AP14" s="198">
        <f t="shared" si="6"/>
        <v>38</v>
      </c>
      <c r="AQ14" s="198">
        <f t="shared" si="6"/>
        <v>39</v>
      </c>
      <c r="AR14" s="198">
        <f t="shared" si="6"/>
        <v>40</v>
      </c>
      <c r="AS14" s="198">
        <f t="shared" si="6"/>
        <v>41</v>
      </c>
      <c r="AT14" s="198">
        <f t="shared" si="6"/>
        <v>42</v>
      </c>
      <c r="AU14" s="198">
        <f t="shared" si="6"/>
        <v>43</v>
      </c>
      <c r="AV14" s="198">
        <f t="shared" si="6"/>
        <v>44</v>
      </c>
      <c r="AW14" s="198">
        <f t="shared" si="6"/>
        <v>45</v>
      </c>
      <c r="AX14" s="198">
        <f t="shared" si="6"/>
        <v>46</v>
      </c>
      <c r="AY14" s="198">
        <f t="shared" si="6"/>
        <v>47</v>
      </c>
      <c r="AZ14" s="198">
        <f t="shared" si="6"/>
        <v>48</v>
      </c>
      <c r="BA14" s="198">
        <f t="shared" si="6"/>
        <v>49</v>
      </c>
      <c r="BB14" s="198">
        <f t="shared" si="6"/>
        <v>50</v>
      </c>
      <c r="BC14" s="198">
        <f t="shared" si="6"/>
        <v>51</v>
      </c>
      <c r="BD14" s="198">
        <f t="shared" si="6"/>
        <v>52</v>
      </c>
      <c r="BE14" s="198">
        <f t="shared" si="6"/>
        <v>53</v>
      </c>
      <c r="BF14" s="198">
        <f t="shared" si="6"/>
        <v>54</v>
      </c>
      <c r="BG14" s="198">
        <f t="shared" si="6"/>
        <v>55</v>
      </c>
      <c r="BH14" s="198">
        <f t="shared" si="6"/>
        <v>56</v>
      </c>
      <c r="BI14" s="198">
        <f t="shared" si="6"/>
        <v>57</v>
      </c>
      <c r="BJ14" s="198">
        <f t="shared" si="6"/>
        <v>58</v>
      </c>
      <c r="BK14" s="198">
        <f t="shared" si="6"/>
        <v>59</v>
      </c>
      <c r="BL14" s="198">
        <f t="shared" si="6"/>
        <v>60</v>
      </c>
      <c r="BM14" s="198">
        <f t="shared" si="6"/>
        <v>61</v>
      </c>
      <c r="BN14" s="198">
        <f t="shared" si="6"/>
        <v>62</v>
      </c>
      <c r="BO14" s="198">
        <f t="shared" si="6"/>
        <v>63</v>
      </c>
      <c r="BP14" s="198">
        <f t="shared" si="6"/>
        <v>64</v>
      </c>
      <c r="BQ14" s="198">
        <f t="shared" si="6"/>
        <v>65</v>
      </c>
      <c r="BR14" s="198">
        <f t="shared" si="6"/>
        <v>66</v>
      </c>
      <c r="BS14" s="198">
        <f t="shared" ref="BS14:ED14" si="7">BR14+1</f>
        <v>67</v>
      </c>
      <c r="BT14" s="198">
        <f t="shared" si="7"/>
        <v>68</v>
      </c>
      <c r="BU14" s="198">
        <f t="shared" si="7"/>
        <v>69</v>
      </c>
      <c r="BV14" s="198">
        <f t="shared" si="7"/>
        <v>70</v>
      </c>
      <c r="BW14" s="198">
        <f t="shared" si="7"/>
        <v>71</v>
      </c>
      <c r="BX14" s="198">
        <f t="shared" si="7"/>
        <v>72</v>
      </c>
      <c r="BY14" s="198">
        <f t="shared" si="7"/>
        <v>73</v>
      </c>
      <c r="BZ14" s="198">
        <f t="shared" si="7"/>
        <v>74</v>
      </c>
      <c r="CA14" s="198">
        <f t="shared" si="7"/>
        <v>75</v>
      </c>
      <c r="CB14" s="198">
        <f t="shared" si="7"/>
        <v>76</v>
      </c>
      <c r="CC14" s="198">
        <f t="shared" si="7"/>
        <v>77</v>
      </c>
      <c r="CD14" s="198">
        <f t="shared" si="7"/>
        <v>78</v>
      </c>
      <c r="CE14" s="198">
        <f t="shared" si="7"/>
        <v>79</v>
      </c>
      <c r="CF14" s="198">
        <f t="shared" si="7"/>
        <v>80</v>
      </c>
      <c r="CG14" s="198">
        <f t="shared" si="7"/>
        <v>81</v>
      </c>
      <c r="CH14" s="198">
        <f t="shared" si="7"/>
        <v>82</v>
      </c>
      <c r="CI14" s="198">
        <f t="shared" si="7"/>
        <v>83</v>
      </c>
      <c r="CJ14" s="198">
        <f t="shared" si="7"/>
        <v>84</v>
      </c>
      <c r="CK14" s="198">
        <f t="shared" si="7"/>
        <v>85</v>
      </c>
      <c r="CL14" s="198">
        <f t="shared" si="7"/>
        <v>86</v>
      </c>
      <c r="CM14" s="198">
        <f t="shared" si="7"/>
        <v>87</v>
      </c>
      <c r="CN14" s="198">
        <f t="shared" si="7"/>
        <v>88</v>
      </c>
      <c r="CO14" s="198">
        <f t="shared" si="7"/>
        <v>89</v>
      </c>
      <c r="CP14" s="198">
        <f t="shared" si="7"/>
        <v>90</v>
      </c>
      <c r="CQ14" s="198">
        <f t="shared" si="7"/>
        <v>91</v>
      </c>
      <c r="CR14" s="198">
        <f t="shared" si="7"/>
        <v>92</v>
      </c>
      <c r="CS14" s="198">
        <f t="shared" si="7"/>
        <v>93</v>
      </c>
      <c r="CT14" s="198">
        <f t="shared" si="7"/>
        <v>94</v>
      </c>
      <c r="CU14" s="198">
        <f t="shared" si="7"/>
        <v>95</v>
      </c>
      <c r="CV14" s="198">
        <f t="shared" si="7"/>
        <v>96</v>
      </c>
      <c r="CW14" s="198">
        <f t="shared" si="7"/>
        <v>97</v>
      </c>
      <c r="CX14" s="198">
        <f t="shared" si="7"/>
        <v>98</v>
      </c>
      <c r="CY14" s="198">
        <f t="shared" si="7"/>
        <v>99</v>
      </c>
      <c r="CZ14" s="198">
        <f t="shared" si="7"/>
        <v>100</v>
      </c>
      <c r="DA14" s="198">
        <f t="shared" si="7"/>
        <v>101</v>
      </c>
      <c r="DB14" s="198">
        <f t="shared" si="7"/>
        <v>102</v>
      </c>
      <c r="DC14" s="198">
        <f t="shared" si="7"/>
        <v>103</v>
      </c>
      <c r="DD14" s="198">
        <f t="shared" si="7"/>
        <v>104</v>
      </c>
      <c r="DE14" s="198">
        <f t="shared" si="7"/>
        <v>105</v>
      </c>
      <c r="DF14" s="198">
        <f t="shared" si="7"/>
        <v>106</v>
      </c>
      <c r="DG14" s="198">
        <f t="shared" si="7"/>
        <v>107</v>
      </c>
      <c r="DH14" s="198">
        <f t="shared" si="7"/>
        <v>108</v>
      </c>
      <c r="DI14" s="198">
        <f t="shared" si="7"/>
        <v>109</v>
      </c>
      <c r="DJ14" s="198">
        <f t="shared" si="7"/>
        <v>110</v>
      </c>
      <c r="DK14" s="198">
        <f t="shared" si="7"/>
        <v>111</v>
      </c>
      <c r="DL14" s="198">
        <f t="shared" si="7"/>
        <v>112</v>
      </c>
      <c r="DM14" s="198">
        <f t="shared" si="7"/>
        <v>113</v>
      </c>
      <c r="DN14" s="198">
        <f t="shared" si="7"/>
        <v>114</v>
      </c>
      <c r="DO14" s="198">
        <f t="shared" si="7"/>
        <v>115</v>
      </c>
      <c r="DP14" s="198">
        <f t="shared" si="7"/>
        <v>116</v>
      </c>
      <c r="DQ14" s="198">
        <f t="shared" si="7"/>
        <v>117</v>
      </c>
      <c r="DR14" s="198">
        <f t="shared" si="7"/>
        <v>118</v>
      </c>
      <c r="DS14" s="198">
        <f t="shared" si="7"/>
        <v>119</v>
      </c>
      <c r="DT14" s="198">
        <f t="shared" si="7"/>
        <v>120</v>
      </c>
      <c r="DU14" s="198">
        <f t="shared" si="7"/>
        <v>121</v>
      </c>
      <c r="DV14" s="198">
        <f t="shared" si="7"/>
        <v>122</v>
      </c>
      <c r="DW14" s="198">
        <f t="shared" si="7"/>
        <v>123</v>
      </c>
      <c r="DX14" s="198">
        <f t="shared" si="7"/>
        <v>124</v>
      </c>
      <c r="DY14" s="198">
        <f t="shared" si="7"/>
        <v>125</v>
      </c>
      <c r="DZ14" s="198">
        <f t="shared" si="7"/>
        <v>126</v>
      </c>
      <c r="EA14" s="198">
        <f t="shared" si="7"/>
        <v>127</v>
      </c>
      <c r="EB14" s="198">
        <f t="shared" si="7"/>
        <v>128</v>
      </c>
      <c r="EC14" s="198">
        <f t="shared" si="7"/>
        <v>129</v>
      </c>
      <c r="ED14" s="198">
        <f t="shared" si="7"/>
        <v>130</v>
      </c>
      <c r="EE14" s="198">
        <f t="shared" ref="EE14:EQ14" si="8">ED14+1</f>
        <v>131</v>
      </c>
      <c r="EF14" s="198">
        <f t="shared" si="8"/>
        <v>132</v>
      </c>
      <c r="EG14" s="198">
        <f t="shared" si="8"/>
        <v>133</v>
      </c>
      <c r="EH14" s="198">
        <f t="shared" si="8"/>
        <v>134</v>
      </c>
      <c r="EI14" s="198">
        <f t="shared" si="8"/>
        <v>135</v>
      </c>
      <c r="EJ14" s="198">
        <f t="shared" si="8"/>
        <v>136</v>
      </c>
      <c r="EK14" s="198">
        <f t="shared" si="8"/>
        <v>137</v>
      </c>
      <c r="EL14" s="198">
        <f t="shared" si="8"/>
        <v>138</v>
      </c>
      <c r="EM14" s="198">
        <f t="shared" si="8"/>
        <v>139</v>
      </c>
      <c r="EN14" s="198">
        <f t="shared" si="8"/>
        <v>140</v>
      </c>
      <c r="EO14" s="198">
        <f t="shared" si="8"/>
        <v>141</v>
      </c>
      <c r="EP14" s="198">
        <f t="shared" si="8"/>
        <v>142</v>
      </c>
      <c r="EQ14" s="198">
        <f t="shared" si="8"/>
        <v>143</v>
      </c>
    </row>
    <row r="15" spans="2:147" x14ac:dyDescent="0.35">
      <c r="B15" s="197">
        <f>SUM(E15:EQ15)</f>
        <v>10713300000</v>
      </c>
      <c r="C15" s="197">
        <f t="shared" ref="C15:C34" si="9">IF(D15&lt;=$D$4,1,0)</f>
        <v>1</v>
      </c>
      <c r="D15">
        <v>1</v>
      </c>
      <c r="E15" s="197">
        <f>$J$2*$D$6</f>
        <v>321399000</v>
      </c>
      <c r="F15" s="197">
        <f t="shared" ref="F15:G15" si="10">$J$2*$D$6</f>
        <v>321399000</v>
      </c>
      <c r="G15" s="197">
        <f t="shared" si="10"/>
        <v>321399000</v>
      </c>
      <c r="H15" s="197">
        <f>$J$2*$D$6</f>
        <v>321399000</v>
      </c>
      <c r="I15" s="197">
        <f>$J$3*$D$6</f>
        <v>332112300</v>
      </c>
      <c r="J15" s="197">
        <f t="shared" ref="J15:L15" si="11">$J$3*$D$6</f>
        <v>332112300</v>
      </c>
      <c r="K15" s="197">
        <f t="shared" si="11"/>
        <v>332112300</v>
      </c>
      <c r="L15" s="197">
        <f t="shared" si="11"/>
        <v>332112300</v>
      </c>
      <c r="M15" s="197">
        <f>$J$4*$D$6</f>
        <v>342825600</v>
      </c>
      <c r="N15" s="197">
        <f t="shared" ref="N15:P15" si="12">$J$4*$D$6</f>
        <v>342825600</v>
      </c>
      <c r="O15" s="197">
        <f t="shared" si="12"/>
        <v>342825600</v>
      </c>
      <c r="P15" s="197">
        <f t="shared" si="12"/>
        <v>342825600</v>
      </c>
      <c r="Q15" s="197">
        <f>$J$4*$D$6</f>
        <v>342825600</v>
      </c>
      <c r="R15" s="197">
        <f>$J$5*$D$6</f>
        <v>353538900</v>
      </c>
      <c r="S15" s="197">
        <f t="shared" ref="S15:V15" si="13">$J$5*$D$6</f>
        <v>353538900</v>
      </c>
      <c r="T15" s="197">
        <f t="shared" si="13"/>
        <v>353538900</v>
      </c>
      <c r="U15" s="197">
        <f t="shared" si="13"/>
        <v>353538900</v>
      </c>
      <c r="V15" s="197">
        <f t="shared" si="13"/>
        <v>353538900</v>
      </c>
      <c r="W15" s="197">
        <f>$J$6*$D$6</f>
        <v>769572049.99999988</v>
      </c>
      <c r="X15" s="197">
        <f t="shared" ref="X15:AB15" si="14">$J$6*$D$6</f>
        <v>769572049.99999988</v>
      </c>
      <c r="Y15" s="197">
        <f t="shared" si="14"/>
        <v>769572049.99999988</v>
      </c>
      <c r="Z15" s="197">
        <f t="shared" si="14"/>
        <v>769572049.99999988</v>
      </c>
      <c r="AA15" s="197">
        <f t="shared" si="14"/>
        <v>769572049.99999988</v>
      </c>
      <c r="AB15" s="197">
        <f t="shared" si="14"/>
        <v>769572049.99999988</v>
      </c>
      <c r="AC15" s="197">
        <v>0</v>
      </c>
      <c r="AD15" s="197">
        <v>0</v>
      </c>
      <c r="AE15" s="197">
        <v>0</v>
      </c>
      <c r="AF15" s="197">
        <v>0</v>
      </c>
      <c r="AG15" s="197">
        <v>0</v>
      </c>
      <c r="AH15" s="197">
        <f>$J$8*$D$6</f>
        <v>0</v>
      </c>
      <c r="AI15" s="197">
        <f>$J$8*$D$6</f>
        <v>0</v>
      </c>
      <c r="AJ15" s="197">
        <f t="shared" ref="AJ15:AK15" si="15">$J$8*$D$6</f>
        <v>0</v>
      </c>
      <c r="AK15" s="197">
        <f t="shared" si="15"/>
        <v>0</v>
      </c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197"/>
      <c r="BX15" s="197"/>
      <c r="BY15" s="197"/>
      <c r="BZ15" s="197"/>
      <c r="CA15" s="197"/>
      <c r="CB15" s="197"/>
      <c r="CC15" s="197"/>
      <c r="CD15" s="197"/>
      <c r="CE15" s="197"/>
      <c r="CF15" s="197"/>
      <c r="CG15" s="197"/>
      <c r="CH15" s="197"/>
      <c r="CI15" s="197"/>
      <c r="CJ15" s="197"/>
      <c r="CK15" s="197"/>
      <c r="CL15" s="197"/>
      <c r="CM15" s="197"/>
      <c r="CN15" s="197"/>
      <c r="CO15" s="197"/>
      <c r="CP15" s="197"/>
      <c r="CQ15" s="197"/>
      <c r="CR15" s="197"/>
      <c r="CS15" s="197"/>
    </row>
    <row r="16" spans="2:147" x14ac:dyDescent="0.35">
      <c r="B16" s="197">
        <f t="shared" ref="B16:B34" si="16">SUM(E16:EQ16)</f>
        <v>0</v>
      </c>
      <c r="C16" s="197">
        <f t="shared" si="9"/>
        <v>0</v>
      </c>
      <c r="D16" s="197">
        <f>D15+C15</f>
        <v>2</v>
      </c>
      <c r="K16" s="197">
        <f>IF($C16=1,E$15,0)</f>
        <v>0</v>
      </c>
      <c r="L16" s="197">
        <f t="shared" ref="L16:AG16" si="17">IF($C$16=1,F15,0)</f>
        <v>0</v>
      </c>
      <c r="M16" s="197">
        <f t="shared" si="17"/>
        <v>0</v>
      </c>
      <c r="N16" s="197">
        <f>IF($C$16=1,H15,0)</f>
        <v>0</v>
      </c>
      <c r="O16" s="197">
        <f t="shared" si="17"/>
        <v>0</v>
      </c>
      <c r="P16" s="197">
        <f>IF($C$16=1,J15,0)</f>
        <v>0</v>
      </c>
      <c r="Q16" s="197">
        <f>IF($C$16=1,K15,0)</f>
        <v>0</v>
      </c>
      <c r="R16" s="197">
        <f t="shared" si="17"/>
        <v>0</v>
      </c>
      <c r="S16" s="197">
        <f t="shared" si="17"/>
        <v>0</v>
      </c>
      <c r="T16" s="197">
        <f t="shared" si="17"/>
        <v>0</v>
      </c>
      <c r="U16" s="197">
        <f t="shared" si="17"/>
        <v>0</v>
      </c>
      <c r="V16" s="197">
        <f t="shared" si="17"/>
        <v>0</v>
      </c>
      <c r="W16" s="197">
        <f t="shared" si="17"/>
        <v>0</v>
      </c>
      <c r="X16" s="197">
        <f t="shared" si="17"/>
        <v>0</v>
      </c>
      <c r="Y16" s="197">
        <f t="shared" si="17"/>
        <v>0</v>
      </c>
      <c r="Z16" s="197">
        <f t="shared" si="17"/>
        <v>0</v>
      </c>
      <c r="AA16" s="197">
        <f t="shared" si="17"/>
        <v>0</v>
      </c>
      <c r="AB16" s="197">
        <f t="shared" si="17"/>
        <v>0</v>
      </c>
      <c r="AC16" s="197">
        <f t="shared" si="17"/>
        <v>0</v>
      </c>
      <c r="AD16" s="197">
        <f t="shared" si="17"/>
        <v>0</v>
      </c>
      <c r="AE16" s="197">
        <f t="shared" si="17"/>
        <v>0</v>
      </c>
      <c r="AF16" s="197">
        <f t="shared" si="17"/>
        <v>0</v>
      </c>
      <c r="AG16" s="197">
        <f t="shared" si="17"/>
        <v>0</v>
      </c>
      <c r="AH16" s="197">
        <f>IF($C$16=1,AB15,0)</f>
        <v>0</v>
      </c>
      <c r="AI16" s="197">
        <f t="shared" ref="AI16:CT16" si="18">IF($C$16=1,AC15,0)</f>
        <v>0</v>
      </c>
      <c r="AJ16" s="197">
        <f t="shared" si="18"/>
        <v>0</v>
      </c>
      <c r="AK16" s="197">
        <f t="shared" si="18"/>
        <v>0</v>
      </c>
      <c r="AL16" s="197">
        <f t="shared" si="18"/>
        <v>0</v>
      </c>
      <c r="AM16" s="197">
        <f t="shared" si="18"/>
        <v>0</v>
      </c>
      <c r="AN16" s="197">
        <f t="shared" si="18"/>
        <v>0</v>
      </c>
      <c r="AO16" s="197">
        <f t="shared" si="18"/>
        <v>0</v>
      </c>
      <c r="AP16" s="197">
        <f t="shared" si="18"/>
        <v>0</v>
      </c>
      <c r="AQ16" s="197">
        <f t="shared" si="18"/>
        <v>0</v>
      </c>
      <c r="AR16" s="197">
        <f t="shared" si="18"/>
        <v>0</v>
      </c>
      <c r="AS16" s="197">
        <f t="shared" si="18"/>
        <v>0</v>
      </c>
      <c r="AT16" s="197">
        <f t="shared" si="18"/>
        <v>0</v>
      </c>
      <c r="AU16" s="197">
        <f t="shared" si="18"/>
        <v>0</v>
      </c>
      <c r="AV16" s="197">
        <f t="shared" si="18"/>
        <v>0</v>
      </c>
      <c r="AW16" s="197">
        <f t="shared" si="18"/>
        <v>0</v>
      </c>
      <c r="AX16" s="197">
        <f t="shared" si="18"/>
        <v>0</v>
      </c>
      <c r="AY16" s="197">
        <f t="shared" si="18"/>
        <v>0</v>
      </c>
      <c r="AZ16" s="197">
        <f t="shared" si="18"/>
        <v>0</v>
      </c>
      <c r="BA16" s="197">
        <f t="shared" si="18"/>
        <v>0</v>
      </c>
      <c r="BB16" s="197">
        <f t="shared" si="18"/>
        <v>0</v>
      </c>
      <c r="BC16" s="197">
        <f t="shared" si="18"/>
        <v>0</v>
      </c>
      <c r="BD16" s="197">
        <f t="shared" si="18"/>
        <v>0</v>
      </c>
      <c r="BE16" s="197">
        <f t="shared" si="18"/>
        <v>0</v>
      </c>
      <c r="BF16" s="197">
        <f t="shared" si="18"/>
        <v>0</v>
      </c>
      <c r="BG16" s="197">
        <f t="shared" si="18"/>
        <v>0</v>
      </c>
      <c r="BH16" s="197">
        <f t="shared" si="18"/>
        <v>0</v>
      </c>
      <c r="BI16" s="197">
        <f t="shared" si="18"/>
        <v>0</v>
      </c>
      <c r="BJ16" s="197">
        <f t="shared" si="18"/>
        <v>0</v>
      </c>
      <c r="BK16" s="197">
        <f t="shared" si="18"/>
        <v>0</v>
      </c>
      <c r="BL16" s="197">
        <f t="shared" si="18"/>
        <v>0</v>
      </c>
      <c r="BM16" s="197">
        <f t="shared" si="18"/>
        <v>0</v>
      </c>
      <c r="BN16" s="197">
        <f t="shared" si="18"/>
        <v>0</v>
      </c>
      <c r="BO16" s="197">
        <f t="shared" si="18"/>
        <v>0</v>
      </c>
      <c r="BP16" s="197">
        <f t="shared" si="18"/>
        <v>0</v>
      </c>
      <c r="BQ16" s="197">
        <f t="shared" si="18"/>
        <v>0</v>
      </c>
      <c r="BR16" s="197">
        <f t="shared" si="18"/>
        <v>0</v>
      </c>
      <c r="BS16" s="197">
        <f t="shared" si="18"/>
        <v>0</v>
      </c>
      <c r="BT16" s="197">
        <f t="shared" si="18"/>
        <v>0</v>
      </c>
      <c r="BU16" s="197">
        <f t="shared" si="18"/>
        <v>0</v>
      </c>
      <c r="BV16" s="197">
        <f t="shared" si="18"/>
        <v>0</v>
      </c>
      <c r="BW16" s="197">
        <f t="shared" si="18"/>
        <v>0</v>
      </c>
      <c r="BX16" s="197">
        <f t="shared" si="18"/>
        <v>0</v>
      </c>
      <c r="BY16" s="197">
        <f t="shared" si="18"/>
        <v>0</v>
      </c>
      <c r="BZ16" s="197">
        <f t="shared" si="18"/>
        <v>0</v>
      </c>
      <c r="CA16" s="197">
        <f t="shared" si="18"/>
        <v>0</v>
      </c>
      <c r="CB16" s="197">
        <f t="shared" si="18"/>
        <v>0</v>
      </c>
      <c r="CC16" s="197">
        <f t="shared" si="18"/>
        <v>0</v>
      </c>
      <c r="CD16" s="197">
        <f t="shared" si="18"/>
        <v>0</v>
      </c>
      <c r="CE16" s="197">
        <f t="shared" si="18"/>
        <v>0</v>
      </c>
      <c r="CF16" s="197">
        <f t="shared" si="18"/>
        <v>0</v>
      </c>
      <c r="CG16" s="197">
        <f t="shared" si="18"/>
        <v>0</v>
      </c>
      <c r="CH16" s="197">
        <f t="shared" si="18"/>
        <v>0</v>
      </c>
      <c r="CI16" s="197">
        <f t="shared" si="18"/>
        <v>0</v>
      </c>
      <c r="CJ16" s="197">
        <f t="shared" si="18"/>
        <v>0</v>
      </c>
      <c r="CK16" s="197">
        <f t="shared" si="18"/>
        <v>0</v>
      </c>
      <c r="CL16" s="197">
        <f t="shared" si="18"/>
        <v>0</v>
      </c>
      <c r="CM16" s="197">
        <f t="shared" si="18"/>
        <v>0</v>
      </c>
      <c r="CN16" s="197">
        <f t="shared" si="18"/>
        <v>0</v>
      </c>
      <c r="CO16" s="197">
        <f t="shared" si="18"/>
        <v>0</v>
      </c>
      <c r="CP16" s="197">
        <f t="shared" si="18"/>
        <v>0</v>
      </c>
      <c r="CQ16" s="197">
        <f t="shared" si="18"/>
        <v>0</v>
      </c>
      <c r="CR16" s="197">
        <f t="shared" si="18"/>
        <v>0</v>
      </c>
      <c r="CS16" s="197">
        <f t="shared" si="18"/>
        <v>0</v>
      </c>
      <c r="CT16" s="197">
        <f t="shared" si="18"/>
        <v>0</v>
      </c>
      <c r="CU16" s="197">
        <f t="shared" ref="CU16:CY16" si="19">IF($C$16=1,CO15,0)</f>
        <v>0</v>
      </c>
      <c r="CV16" s="197">
        <f t="shared" si="19"/>
        <v>0</v>
      </c>
      <c r="CW16" s="197">
        <f t="shared" si="19"/>
        <v>0</v>
      </c>
      <c r="CX16" s="197">
        <f t="shared" si="19"/>
        <v>0</v>
      </c>
      <c r="CY16" s="197">
        <f t="shared" si="19"/>
        <v>0</v>
      </c>
    </row>
    <row r="17" spans="2:130" x14ac:dyDescent="0.35">
      <c r="B17" s="197">
        <f t="shared" si="16"/>
        <v>0</v>
      </c>
      <c r="C17" s="197">
        <f t="shared" si="9"/>
        <v>0</v>
      </c>
      <c r="D17">
        <v>3</v>
      </c>
      <c r="Q17" s="197">
        <f>IF($C17=1,E$15,0)</f>
        <v>0</v>
      </c>
      <c r="R17" s="197">
        <f t="shared" ref="R17:AN17" si="20">IF($C17=1,F$15,0)</f>
        <v>0</v>
      </c>
      <c r="S17" s="197">
        <f t="shared" si="20"/>
        <v>0</v>
      </c>
      <c r="T17" s="197">
        <f t="shared" si="20"/>
        <v>0</v>
      </c>
      <c r="U17" s="197">
        <f t="shared" si="20"/>
        <v>0</v>
      </c>
      <c r="V17" s="197">
        <f t="shared" si="20"/>
        <v>0</v>
      </c>
      <c r="W17" s="197">
        <f t="shared" si="20"/>
        <v>0</v>
      </c>
      <c r="X17" s="197">
        <f t="shared" si="20"/>
        <v>0</v>
      </c>
      <c r="Y17" s="197">
        <f t="shared" si="20"/>
        <v>0</v>
      </c>
      <c r="Z17" s="197">
        <f t="shared" si="20"/>
        <v>0</v>
      </c>
      <c r="AA17" s="197">
        <f t="shared" si="20"/>
        <v>0</v>
      </c>
      <c r="AB17" s="197">
        <f t="shared" si="20"/>
        <v>0</v>
      </c>
      <c r="AC17" s="197">
        <f t="shared" si="20"/>
        <v>0</v>
      </c>
      <c r="AD17" s="197">
        <f t="shared" si="20"/>
        <v>0</v>
      </c>
      <c r="AE17" s="197">
        <f t="shared" si="20"/>
        <v>0</v>
      </c>
      <c r="AF17" s="197">
        <f t="shared" si="20"/>
        <v>0</v>
      </c>
      <c r="AG17" s="197">
        <f t="shared" si="20"/>
        <v>0</v>
      </c>
      <c r="AH17" s="197">
        <f t="shared" si="20"/>
        <v>0</v>
      </c>
      <c r="AI17" s="197">
        <f t="shared" si="20"/>
        <v>0</v>
      </c>
      <c r="AJ17" s="197">
        <f t="shared" si="20"/>
        <v>0</v>
      </c>
      <c r="AK17" s="197">
        <f t="shared" si="20"/>
        <v>0</v>
      </c>
      <c r="AL17" s="197">
        <f t="shared" si="20"/>
        <v>0</v>
      </c>
      <c r="AM17" s="197">
        <f t="shared" si="20"/>
        <v>0</v>
      </c>
      <c r="AN17" s="197">
        <f t="shared" si="20"/>
        <v>0</v>
      </c>
      <c r="AO17" s="197">
        <f t="shared" ref="AO17" si="21">IF($C17=1,AC$15,0)</f>
        <v>0</v>
      </c>
      <c r="AP17" s="197">
        <f t="shared" ref="AP17" si="22">IF($C17=1,AD$15,0)</f>
        <v>0</v>
      </c>
      <c r="AQ17" s="197">
        <f t="shared" ref="AQ17" si="23">IF($C17=1,AE$15,0)</f>
        <v>0</v>
      </c>
      <c r="AR17" s="197">
        <f t="shared" ref="AR17" si="24">IF($C17=1,AF$15,0)</f>
        <v>0</v>
      </c>
      <c r="AS17" s="197">
        <f t="shared" ref="AS17" si="25">IF($C17=1,AG$15,0)</f>
        <v>0</v>
      </c>
      <c r="AT17" s="197">
        <f t="shared" ref="AT17" si="26">IF($C17=1,AH$15,0)</f>
        <v>0</v>
      </c>
      <c r="AU17" s="197">
        <f t="shared" ref="AU17" si="27">IF($C17=1,AI$15,0)</f>
        <v>0</v>
      </c>
      <c r="AV17" s="197">
        <f t="shared" ref="AV17" si="28">IF($C17=1,AJ$15,0)</f>
        <v>0</v>
      </c>
      <c r="AW17" s="197">
        <f t="shared" ref="AW17" si="29">IF($C17=1,AK$15,0)</f>
        <v>0</v>
      </c>
      <c r="AX17" s="197">
        <f t="shared" ref="AX17" si="30">IF($C17=1,AL$15,0)</f>
        <v>0</v>
      </c>
      <c r="AY17" s="197">
        <f t="shared" ref="AY17" si="31">IF($C17=1,AM$15,0)</f>
        <v>0</v>
      </c>
      <c r="AZ17" s="197">
        <f t="shared" ref="AZ17" si="32">IF($C17=1,AN$15,0)</f>
        <v>0</v>
      </c>
      <c r="BA17" s="197">
        <f t="shared" ref="BA17" si="33">IF($C17=1,AO$15,0)</f>
        <v>0</v>
      </c>
      <c r="BB17" s="197">
        <f t="shared" ref="BB17" si="34">IF($C17=1,AP$15,0)</f>
        <v>0</v>
      </c>
      <c r="BC17" s="197">
        <f t="shared" ref="BC17" si="35">IF($C17=1,AQ$15,0)</f>
        <v>0</v>
      </c>
      <c r="BD17" s="197">
        <f t="shared" ref="BD17" si="36">IF($C17=1,AR$15,0)</f>
        <v>0</v>
      </c>
      <c r="BE17" s="197">
        <f t="shared" ref="BE17" si="37">IF($C17=1,AS$15,0)</f>
        <v>0</v>
      </c>
      <c r="BF17" s="197">
        <f t="shared" ref="BF17" si="38">IF($C17=1,AT$15,0)</f>
        <v>0</v>
      </c>
      <c r="BG17" s="197">
        <f t="shared" ref="BG17" si="39">IF($C17=1,AU$15,0)</f>
        <v>0</v>
      </c>
      <c r="BH17" s="197">
        <f t="shared" ref="BH17" si="40">IF($C17=1,AV$15,0)</f>
        <v>0</v>
      </c>
      <c r="BI17" s="197">
        <f t="shared" ref="BI17" si="41">IF($C17=1,AW$15,0)</f>
        <v>0</v>
      </c>
      <c r="BJ17" s="197">
        <f t="shared" ref="BJ17" si="42">IF($C17=1,AX$15,0)</f>
        <v>0</v>
      </c>
      <c r="BK17" s="197">
        <f t="shared" ref="BK17" si="43">IF($C17=1,AY$15,0)</f>
        <v>0</v>
      </c>
      <c r="BL17" s="197">
        <f t="shared" ref="BL17" si="44">IF($C17=1,AZ$15,0)</f>
        <v>0</v>
      </c>
      <c r="BM17" s="197">
        <f t="shared" ref="BM17" si="45">IF($C17=1,BA$15,0)</f>
        <v>0</v>
      </c>
      <c r="BN17" s="197">
        <f t="shared" ref="BN17" si="46">IF($C17=1,BB$15,0)</f>
        <v>0</v>
      </c>
      <c r="BO17" s="197">
        <f t="shared" ref="BO17" si="47">IF($C17=1,BC$15,0)</f>
        <v>0</v>
      </c>
      <c r="BP17" s="197">
        <f t="shared" ref="BP17" si="48">IF($C17=1,BD$15,0)</f>
        <v>0</v>
      </c>
      <c r="BQ17" s="197">
        <f t="shared" ref="BQ17" si="49">IF($C17=1,BE$15,0)</f>
        <v>0</v>
      </c>
      <c r="BR17" s="197">
        <f t="shared" ref="BR17" si="50">IF($C17=1,BF$15,0)</f>
        <v>0</v>
      </c>
      <c r="BS17" s="197">
        <f t="shared" ref="BS17" si="51">IF($C17=1,BG$15,0)</f>
        <v>0</v>
      </c>
      <c r="BT17" s="197">
        <f t="shared" ref="BT17" si="52">IF($C17=1,BH$15,0)</f>
        <v>0</v>
      </c>
      <c r="BU17" s="197">
        <f t="shared" ref="BU17" si="53">IF($C17=1,BI$15,0)</f>
        <v>0</v>
      </c>
      <c r="BV17" s="197">
        <f t="shared" ref="BV17" si="54">IF($C17=1,BJ$15,0)</f>
        <v>0</v>
      </c>
      <c r="BW17" s="197">
        <f t="shared" ref="BW17" si="55">IF($C17=1,BK$15,0)</f>
        <v>0</v>
      </c>
      <c r="BX17" s="197">
        <f t="shared" ref="BX17" si="56">IF($C17=1,BL$15,0)</f>
        <v>0</v>
      </c>
      <c r="BY17" s="197">
        <f t="shared" ref="BY17" si="57">IF($C17=1,BM$15,0)</f>
        <v>0</v>
      </c>
      <c r="BZ17" s="197">
        <f t="shared" ref="BZ17" si="58">IF($C17=1,BN$15,0)</f>
        <v>0</v>
      </c>
      <c r="CA17" s="197">
        <f t="shared" ref="CA17" si="59">IF($C17=1,BO$15,0)</f>
        <v>0</v>
      </c>
      <c r="CB17" s="197">
        <f t="shared" ref="CB17" si="60">IF($C17=1,BP$15,0)</f>
        <v>0</v>
      </c>
      <c r="CC17" s="197">
        <f t="shared" ref="CC17" si="61">IF($C17=1,BQ$15,0)</f>
        <v>0</v>
      </c>
      <c r="CD17" s="197">
        <f t="shared" ref="CD17" si="62">IF($C17=1,BR$15,0)</f>
        <v>0</v>
      </c>
      <c r="CE17" s="197">
        <f t="shared" ref="CE17" si="63">IF($C17=1,BS$15,0)</f>
        <v>0</v>
      </c>
      <c r="CF17" s="197">
        <f t="shared" ref="CF17" si="64">IF($C17=1,BT$15,0)</f>
        <v>0</v>
      </c>
      <c r="CG17" s="197">
        <f t="shared" ref="CG17" si="65">IF($C17=1,BU$15,0)</f>
        <v>0</v>
      </c>
      <c r="CH17" s="197">
        <f t="shared" ref="CH17" si="66">IF($C17=1,BV$15,0)</f>
        <v>0</v>
      </c>
      <c r="CI17" s="197">
        <f t="shared" ref="CI17" si="67">IF($C17=1,BW$15,0)</f>
        <v>0</v>
      </c>
      <c r="CJ17" s="197">
        <f t="shared" ref="CJ17" si="68">IF($C17=1,BX$15,0)</f>
        <v>0</v>
      </c>
      <c r="CK17" s="197">
        <f t="shared" ref="CK17" si="69">IF($C17=1,BY$15,0)</f>
        <v>0</v>
      </c>
      <c r="CL17" s="197">
        <f t="shared" ref="CL17" si="70">IF($C17=1,BZ$15,0)</f>
        <v>0</v>
      </c>
      <c r="CM17" s="197">
        <f t="shared" ref="CM17" si="71">IF($C17=1,CA$15,0)</f>
        <v>0</v>
      </c>
      <c r="CN17" s="197">
        <f>IF($C17=1,CB$15,0)</f>
        <v>0</v>
      </c>
      <c r="CO17" s="197">
        <f t="shared" ref="CO17" si="72">IF($C17=1,CC$15,0)</f>
        <v>0</v>
      </c>
      <c r="CP17" s="197">
        <f t="shared" ref="CP17" si="73">IF($C17=1,CD$15,0)</f>
        <v>0</v>
      </c>
      <c r="CQ17" s="197">
        <f t="shared" ref="CQ17" si="74">IF($C17=1,CE$15,0)</f>
        <v>0</v>
      </c>
      <c r="CR17" s="197">
        <f t="shared" ref="CR17" si="75">IF($C17=1,CF$15,0)</f>
        <v>0</v>
      </c>
      <c r="CS17" s="197">
        <f t="shared" ref="CS17" si="76">IF($C17=1,CG$15,0)</f>
        <v>0</v>
      </c>
      <c r="CT17" s="197">
        <f>IF($C17=1,CH$15,0)</f>
        <v>0</v>
      </c>
      <c r="CU17" s="197">
        <f>IF($C17=1,CI$15,0)</f>
        <v>0</v>
      </c>
      <c r="CV17" s="197">
        <f>IF($C17=1,CJ$15,0)</f>
        <v>0</v>
      </c>
      <c r="CW17" s="197">
        <f t="shared" ref="CW17" si="77">IF($C17=1,CK$15,0)</f>
        <v>0</v>
      </c>
      <c r="CX17" s="197">
        <f t="shared" ref="CX17" si="78">IF($C17=1,CL$15,0)</f>
        <v>0</v>
      </c>
      <c r="CY17" s="197">
        <f t="shared" ref="CY17" si="79">IF($C17=1,CM$15,0)</f>
        <v>0</v>
      </c>
      <c r="CZ17" s="197">
        <f t="shared" ref="CZ17" si="80">IF($C17=1,CN$15,0)</f>
        <v>0</v>
      </c>
    </row>
    <row r="18" spans="2:130" x14ac:dyDescent="0.35">
      <c r="B18" s="197">
        <f t="shared" si="16"/>
        <v>0</v>
      </c>
      <c r="C18" s="197">
        <f t="shared" si="9"/>
        <v>0</v>
      </c>
      <c r="D18">
        <v>4</v>
      </c>
      <c r="W18" s="197">
        <f t="shared" ref="W18:AT18" si="81">IF($C18=1,E$15,0)</f>
        <v>0</v>
      </c>
      <c r="X18" s="197">
        <f t="shared" si="81"/>
        <v>0</v>
      </c>
      <c r="Y18" s="197">
        <f t="shared" si="81"/>
        <v>0</v>
      </c>
      <c r="Z18" s="197">
        <f t="shared" si="81"/>
        <v>0</v>
      </c>
      <c r="AA18" s="197">
        <f t="shared" si="81"/>
        <v>0</v>
      </c>
      <c r="AB18" s="197">
        <f t="shared" si="81"/>
        <v>0</v>
      </c>
      <c r="AC18" s="197">
        <f t="shared" si="81"/>
        <v>0</v>
      </c>
      <c r="AD18" s="197">
        <f t="shared" si="81"/>
        <v>0</v>
      </c>
      <c r="AE18" s="197">
        <f t="shared" si="81"/>
        <v>0</v>
      </c>
      <c r="AF18" s="197">
        <f t="shared" si="81"/>
        <v>0</v>
      </c>
      <c r="AG18" s="197">
        <f t="shared" si="81"/>
        <v>0</v>
      </c>
      <c r="AH18" s="197">
        <f t="shared" si="81"/>
        <v>0</v>
      </c>
      <c r="AI18" s="197">
        <f t="shared" si="81"/>
        <v>0</v>
      </c>
      <c r="AJ18" s="197">
        <f t="shared" si="81"/>
        <v>0</v>
      </c>
      <c r="AK18" s="197">
        <f t="shared" si="81"/>
        <v>0</v>
      </c>
      <c r="AL18" s="197">
        <f t="shared" si="81"/>
        <v>0</v>
      </c>
      <c r="AM18" s="197">
        <f t="shared" si="81"/>
        <v>0</v>
      </c>
      <c r="AN18" s="197">
        <f t="shared" si="81"/>
        <v>0</v>
      </c>
      <c r="AO18" s="197">
        <f t="shared" si="81"/>
        <v>0</v>
      </c>
      <c r="AP18" s="197">
        <f t="shared" si="81"/>
        <v>0</v>
      </c>
      <c r="AQ18" s="197">
        <f t="shared" si="81"/>
        <v>0</v>
      </c>
      <c r="AR18" s="197">
        <f t="shared" si="81"/>
        <v>0</v>
      </c>
      <c r="AS18" s="197">
        <f t="shared" si="81"/>
        <v>0</v>
      </c>
      <c r="AT18" s="197">
        <f t="shared" si="81"/>
        <v>0</v>
      </c>
    </row>
    <row r="19" spans="2:130" x14ac:dyDescent="0.35">
      <c r="B19" s="197">
        <f t="shared" si="16"/>
        <v>0</v>
      </c>
      <c r="C19" s="197">
        <f t="shared" si="9"/>
        <v>0</v>
      </c>
      <c r="D19">
        <v>5</v>
      </c>
      <c r="AC19" s="197">
        <f t="shared" ref="AC19:AZ19" si="82">IF($C19=1,E$15,0)</f>
        <v>0</v>
      </c>
      <c r="AD19" s="197">
        <f t="shared" si="82"/>
        <v>0</v>
      </c>
      <c r="AE19" s="197">
        <f t="shared" si="82"/>
        <v>0</v>
      </c>
      <c r="AF19" s="197">
        <f t="shared" si="82"/>
        <v>0</v>
      </c>
      <c r="AG19" s="197">
        <f t="shared" si="82"/>
        <v>0</v>
      </c>
      <c r="AH19" s="197">
        <f t="shared" si="82"/>
        <v>0</v>
      </c>
      <c r="AI19" s="197">
        <f t="shared" si="82"/>
        <v>0</v>
      </c>
      <c r="AJ19" s="197">
        <f t="shared" si="82"/>
        <v>0</v>
      </c>
      <c r="AK19" s="197">
        <f t="shared" si="82"/>
        <v>0</v>
      </c>
      <c r="AL19" s="197">
        <f t="shared" si="82"/>
        <v>0</v>
      </c>
      <c r="AM19" s="197">
        <f t="shared" si="82"/>
        <v>0</v>
      </c>
      <c r="AN19" s="197">
        <f t="shared" si="82"/>
        <v>0</v>
      </c>
      <c r="AO19" s="197">
        <f t="shared" si="82"/>
        <v>0</v>
      </c>
      <c r="AP19" s="197">
        <f t="shared" si="82"/>
        <v>0</v>
      </c>
      <c r="AQ19" s="197">
        <f t="shared" si="82"/>
        <v>0</v>
      </c>
      <c r="AR19" s="197">
        <f t="shared" si="82"/>
        <v>0</v>
      </c>
      <c r="AS19" s="197">
        <f t="shared" si="82"/>
        <v>0</v>
      </c>
      <c r="AT19" s="197">
        <f t="shared" si="82"/>
        <v>0</v>
      </c>
      <c r="AU19" s="197">
        <f t="shared" si="82"/>
        <v>0</v>
      </c>
      <c r="AV19" s="197">
        <f t="shared" si="82"/>
        <v>0</v>
      </c>
      <c r="AW19" s="197">
        <f t="shared" si="82"/>
        <v>0</v>
      </c>
      <c r="AX19" s="197">
        <f t="shared" si="82"/>
        <v>0</v>
      </c>
      <c r="AY19" s="197">
        <f t="shared" si="82"/>
        <v>0</v>
      </c>
      <c r="AZ19" s="197">
        <f t="shared" si="82"/>
        <v>0</v>
      </c>
    </row>
    <row r="20" spans="2:130" x14ac:dyDescent="0.35">
      <c r="B20" s="197">
        <f t="shared" si="16"/>
        <v>0</v>
      </c>
      <c r="C20" s="197">
        <f t="shared" si="9"/>
        <v>0</v>
      </c>
      <c r="D20">
        <v>6</v>
      </c>
      <c r="AC20" s="197"/>
      <c r="AD20" s="197"/>
      <c r="AE20" s="197"/>
      <c r="AF20" s="197"/>
      <c r="AG20" s="197"/>
      <c r="AH20" s="197"/>
      <c r="AI20" s="197">
        <f t="shared" ref="AI20:BF20" si="83">IF($C20=1,E$15,0)</f>
        <v>0</v>
      </c>
      <c r="AJ20" s="197">
        <f t="shared" si="83"/>
        <v>0</v>
      </c>
      <c r="AK20" s="197">
        <f t="shared" si="83"/>
        <v>0</v>
      </c>
      <c r="AL20" s="197">
        <f t="shared" si="83"/>
        <v>0</v>
      </c>
      <c r="AM20" s="197">
        <f t="shared" si="83"/>
        <v>0</v>
      </c>
      <c r="AN20" s="197">
        <f t="shared" si="83"/>
        <v>0</v>
      </c>
      <c r="AO20" s="197">
        <f t="shared" si="83"/>
        <v>0</v>
      </c>
      <c r="AP20" s="197">
        <f t="shared" si="83"/>
        <v>0</v>
      </c>
      <c r="AQ20" s="197">
        <f t="shared" si="83"/>
        <v>0</v>
      </c>
      <c r="AR20" s="197">
        <f t="shared" si="83"/>
        <v>0</v>
      </c>
      <c r="AS20" s="197">
        <f t="shared" si="83"/>
        <v>0</v>
      </c>
      <c r="AT20" s="197">
        <f t="shared" si="83"/>
        <v>0</v>
      </c>
      <c r="AU20" s="197">
        <f t="shared" si="83"/>
        <v>0</v>
      </c>
      <c r="AV20" s="197">
        <f t="shared" si="83"/>
        <v>0</v>
      </c>
      <c r="AW20" s="197">
        <f t="shared" si="83"/>
        <v>0</v>
      </c>
      <c r="AX20" s="197">
        <f t="shared" si="83"/>
        <v>0</v>
      </c>
      <c r="AY20" s="197">
        <f t="shared" si="83"/>
        <v>0</v>
      </c>
      <c r="AZ20" s="197">
        <f t="shared" si="83"/>
        <v>0</v>
      </c>
      <c r="BA20" s="197">
        <f t="shared" si="83"/>
        <v>0</v>
      </c>
      <c r="BB20" s="197">
        <f t="shared" si="83"/>
        <v>0</v>
      </c>
      <c r="BC20" s="197">
        <f t="shared" si="83"/>
        <v>0</v>
      </c>
      <c r="BD20" s="197">
        <f t="shared" si="83"/>
        <v>0</v>
      </c>
      <c r="BE20" s="197">
        <f t="shared" si="83"/>
        <v>0</v>
      </c>
      <c r="BF20" s="197">
        <f t="shared" si="83"/>
        <v>0</v>
      </c>
    </row>
    <row r="21" spans="2:130" x14ac:dyDescent="0.35">
      <c r="B21" s="197">
        <f t="shared" si="16"/>
        <v>0</v>
      </c>
      <c r="C21" s="197">
        <f t="shared" si="9"/>
        <v>0</v>
      </c>
      <c r="D21">
        <v>7</v>
      </c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>
        <f t="shared" ref="AO21:BL21" si="84">IF($C21=1,E$15,0)</f>
        <v>0</v>
      </c>
      <c r="AP21" s="197">
        <f t="shared" si="84"/>
        <v>0</v>
      </c>
      <c r="AQ21" s="197">
        <f t="shared" si="84"/>
        <v>0</v>
      </c>
      <c r="AR21" s="197">
        <f t="shared" si="84"/>
        <v>0</v>
      </c>
      <c r="AS21" s="197">
        <f t="shared" si="84"/>
        <v>0</v>
      </c>
      <c r="AT21" s="197">
        <f t="shared" si="84"/>
        <v>0</v>
      </c>
      <c r="AU21" s="197">
        <f t="shared" si="84"/>
        <v>0</v>
      </c>
      <c r="AV21" s="197">
        <f t="shared" si="84"/>
        <v>0</v>
      </c>
      <c r="AW21" s="197">
        <f t="shared" si="84"/>
        <v>0</v>
      </c>
      <c r="AX21" s="197">
        <f t="shared" si="84"/>
        <v>0</v>
      </c>
      <c r="AY21" s="197">
        <f t="shared" si="84"/>
        <v>0</v>
      </c>
      <c r="AZ21" s="197">
        <f t="shared" si="84"/>
        <v>0</v>
      </c>
      <c r="BA21" s="197">
        <f t="shared" si="84"/>
        <v>0</v>
      </c>
      <c r="BB21" s="197">
        <f t="shared" si="84"/>
        <v>0</v>
      </c>
      <c r="BC21" s="197">
        <f t="shared" si="84"/>
        <v>0</v>
      </c>
      <c r="BD21" s="197">
        <f t="shared" si="84"/>
        <v>0</v>
      </c>
      <c r="BE21" s="197">
        <f t="shared" si="84"/>
        <v>0</v>
      </c>
      <c r="BF21" s="197">
        <f t="shared" si="84"/>
        <v>0</v>
      </c>
      <c r="BG21" s="197">
        <f t="shared" si="84"/>
        <v>0</v>
      </c>
      <c r="BH21" s="197">
        <f t="shared" si="84"/>
        <v>0</v>
      </c>
      <c r="BI21" s="197">
        <f t="shared" si="84"/>
        <v>0</v>
      </c>
      <c r="BJ21" s="197">
        <f t="shared" si="84"/>
        <v>0</v>
      </c>
      <c r="BK21" s="197">
        <f t="shared" si="84"/>
        <v>0</v>
      </c>
      <c r="BL21" s="197">
        <f t="shared" si="84"/>
        <v>0</v>
      </c>
    </row>
    <row r="22" spans="2:130" x14ac:dyDescent="0.35">
      <c r="B22" s="197">
        <f t="shared" si="16"/>
        <v>0</v>
      </c>
      <c r="C22" s="197">
        <f t="shared" si="9"/>
        <v>0</v>
      </c>
      <c r="D22">
        <v>8</v>
      </c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U22" s="197">
        <f t="shared" ref="AU22:BR22" si="85">IF($C22=1,E$15,0)</f>
        <v>0</v>
      </c>
      <c r="AV22" s="197">
        <f t="shared" si="85"/>
        <v>0</v>
      </c>
      <c r="AW22" s="197">
        <f t="shared" si="85"/>
        <v>0</v>
      </c>
      <c r="AX22" s="197">
        <f t="shared" si="85"/>
        <v>0</v>
      </c>
      <c r="AY22" s="197">
        <f t="shared" si="85"/>
        <v>0</v>
      </c>
      <c r="AZ22" s="197">
        <f t="shared" si="85"/>
        <v>0</v>
      </c>
      <c r="BA22" s="197">
        <f t="shared" si="85"/>
        <v>0</v>
      </c>
      <c r="BB22" s="197">
        <f t="shared" si="85"/>
        <v>0</v>
      </c>
      <c r="BC22" s="197">
        <f t="shared" si="85"/>
        <v>0</v>
      </c>
      <c r="BD22" s="197">
        <f t="shared" si="85"/>
        <v>0</v>
      </c>
      <c r="BE22" s="197">
        <f t="shared" si="85"/>
        <v>0</v>
      </c>
      <c r="BF22" s="197">
        <f t="shared" si="85"/>
        <v>0</v>
      </c>
      <c r="BG22" s="197">
        <f t="shared" si="85"/>
        <v>0</v>
      </c>
      <c r="BH22" s="197">
        <f t="shared" si="85"/>
        <v>0</v>
      </c>
      <c r="BI22" s="197">
        <f t="shared" si="85"/>
        <v>0</v>
      </c>
      <c r="BJ22" s="197">
        <f t="shared" si="85"/>
        <v>0</v>
      </c>
      <c r="BK22" s="197">
        <f t="shared" si="85"/>
        <v>0</v>
      </c>
      <c r="BL22" s="197">
        <f t="shared" si="85"/>
        <v>0</v>
      </c>
      <c r="BM22" s="197">
        <f t="shared" si="85"/>
        <v>0</v>
      </c>
      <c r="BN22" s="197">
        <f t="shared" si="85"/>
        <v>0</v>
      </c>
      <c r="BO22" s="197">
        <f t="shared" si="85"/>
        <v>0</v>
      </c>
      <c r="BP22" s="197">
        <f t="shared" si="85"/>
        <v>0</v>
      </c>
      <c r="BQ22" s="197">
        <f t="shared" si="85"/>
        <v>0</v>
      </c>
      <c r="BR22" s="197">
        <f t="shared" si="85"/>
        <v>0</v>
      </c>
    </row>
    <row r="23" spans="2:130" x14ac:dyDescent="0.35">
      <c r="B23" s="197">
        <f>SUM(AC23:EQ23)</f>
        <v>0</v>
      </c>
      <c r="C23" s="197">
        <f t="shared" si="9"/>
        <v>0</v>
      </c>
      <c r="D23">
        <v>9</v>
      </c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BA23" s="197">
        <f t="shared" ref="BA23:BX23" si="86">IF($C23=1,E$15,0)</f>
        <v>0</v>
      </c>
      <c r="BB23" s="197">
        <f t="shared" si="86"/>
        <v>0</v>
      </c>
      <c r="BC23" s="197">
        <f t="shared" si="86"/>
        <v>0</v>
      </c>
      <c r="BD23" s="197">
        <f t="shared" si="86"/>
        <v>0</v>
      </c>
      <c r="BE23" s="197">
        <f t="shared" si="86"/>
        <v>0</v>
      </c>
      <c r="BF23" s="197">
        <f t="shared" si="86"/>
        <v>0</v>
      </c>
      <c r="BG23" s="197">
        <f t="shared" si="86"/>
        <v>0</v>
      </c>
      <c r="BH23" s="197">
        <f t="shared" si="86"/>
        <v>0</v>
      </c>
      <c r="BI23" s="197">
        <f t="shared" si="86"/>
        <v>0</v>
      </c>
      <c r="BJ23" s="197">
        <f t="shared" si="86"/>
        <v>0</v>
      </c>
      <c r="BK23" s="197">
        <f t="shared" si="86"/>
        <v>0</v>
      </c>
      <c r="BL23" s="197">
        <f t="shared" si="86"/>
        <v>0</v>
      </c>
      <c r="BM23" s="197">
        <f t="shared" si="86"/>
        <v>0</v>
      </c>
      <c r="BN23" s="197">
        <f t="shared" si="86"/>
        <v>0</v>
      </c>
      <c r="BO23" s="197">
        <f t="shared" si="86"/>
        <v>0</v>
      </c>
      <c r="BP23" s="197">
        <f t="shared" si="86"/>
        <v>0</v>
      </c>
      <c r="BQ23" s="197">
        <f t="shared" si="86"/>
        <v>0</v>
      </c>
      <c r="BR23" s="197">
        <f t="shared" si="86"/>
        <v>0</v>
      </c>
      <c r="BS23" s="197">
        <f t="shared" si="86"/>
        <v>0</v>
      </c>
      <c r="BT23" s="197">
        <f t="shared" si="86"/>
        <v>0</v>
      </c>
      <c r="BU23" s="197">
        <f t="shared" si="86"/>
        <v>0</v>
      </c>
      <c r="BV23" s="197">
        <f t="shared" si="86"/>
        <v>0</v>
      </c>
      <c r="BW23" s="197">
        <f t="shared" si="86"/>
        <v>0</v>
      </c>
      <c r="BX23" s="197">
        <f t="shared" si="86"/>
        <v>0</v>
      </c>
    </row>
    <row r="24" spans="2:130" x14ac:dyDescent="0.35">
      <c r="B24" s="197">
        <f>SUM(AC24:EQ24)</f>
        <v>0</v>
      </c>
      <c r="C24" s="197">
        <f t="shared" si="9"/>
        <v>0</v>
      </c>
      <c r="D24">
        <v>10</v>
      </c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BG24" s="197">
        <f t="shared" ref="BG24:CD24" si="87">IF($C24=1,E$15,0)</f>
        <v>0</v>
      </c>
      <c r="BH24" s="197">
        <f t="shared" si="87"/>
        <v>0</v>
      </c>
      <c r="BI24" s="197">
        <f t="shared" si="87"/>
        <v>0</v>
      </c>
      <c r="BJ24" s="197">
        <f t="shared" si="87"/>
        <v>0</v>
      </c>
      <c r="BK24" s="197">
        <f t="shared" si="87"/>
        <v>0</v>
      </c>
      <c r="BL24" s="197">
        <f t="shared" si="87"/>
        <v>0</v>
      </c>
      <c r="BM24" s="197">
        <f t="shared" si="87"/>
        <v>0</v>
      </c>
      <c r="BN24" s="197">
        <f t="shared" si="87"/>
        <v>0</v>
      </c>
      <c r="BO24" s="197">
        <f t="shared" si="87"/>
        <v>0</v>
      </c>
      <c r="BP24" s="197">
        <f t="shared" si="87"/>
        <v>0</v>
      </c>
      <c r="BQ24" s="197">
        <f t="shared" si="87"/>
        <v>0</v>
      </c>
      <c r="BR24" s="197">
        <f t="shared" si="87"/>
        <v>0</v>
      </c>
      <c r="BS24" s="197">
        <f t="shared" si="87"/>
        <v>0</v>
      </c>
      <c r="BT24" s="197">
        <f t="shared" si="87"/>
        <v>0</v>
      </c>
      <c r="BU24" s="197">
        <f t="shared" si="87"/>
        <v>0</v>
      </c>
      <c r="BV24" s="197">
        <f t="shared" si="87"/>
        <v>0</v>
      </c>
      <c r="BW24" s="197">
        <f t="shared" si="87"/>
        <v>0</v>
      </c>
      <c r="BX24" s="197">
        <f t="shared" si="87"/>
        <v>0</v>
      </c>
      <c r="BY24" s="197">
        <f t="shared" si="87"/>
        <v>0</v>
      </c>
      <c r="BZ24" s="197">
        <f t="shared" si="87"/>
        <v>0</v>
      </c>
      <c r="CA24" s="197">
        <f t="shared" si="87"/>
        <v>0</v>
      </c>
      <c r="CB24" s="197">
        <f t="shared" si="87"/>
        <v>0</v>
      </c>
      <c r="CC24" s="197">
        <f t="shared" si="87"/>
        <v>0</v>
      </c>
      <c r="CD24" s="197">
        <f t="shared" si="87"/>
        <v>0</v>
      </c>
    </row>
    <row r="25" spans="2:130" x14ac:dyDescent="0.35">
      <c r="B25" s="197">
        <f>SUM(AC25:EQ25)</f>
        <v>0</v>
      </c>
      <c r="C25" s="197">
        <f t="shared" si="9"/>
        <v>0</v>
      </c>
      <c r="D25">
        <v>11</v>
      </c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BM25" s="197">
        <f t="shared" ref="BM25:CJ25" si="88">IF($C25=1,E$15,0)</f>
        <v>0</v>
      </c>
      <c r="BN25" s="197">
        <f t="shared" si="88"/>
        <v>0</v>
      </c>
      <c r="BO25" s="197">
        <f t="shared" si="88"/>
        <v>0</v>
      </c>
      <c r="BP25" s="197">
        <f t="shared" si="88"/>
        <v>0</v>
      </c>
      <c r="BQ25" s="197">
        <f t="shared" si="88"/>
        <v>0</v>
      </c>
      <c r="BR25" s="197">
        <f t="shared" si="88"/>
        <v>0</v>
      </c>
      <c r="BS25" s="197">
        <f t="shared" si="88"/>
        <v>0</v>
      </c>
      <c r="BT25" s="197">
        <f t="shared" si="88"/>
        <v>0</v>
      </c>
      <c r="BU25" s="197">
        <f t="shared" si="88"/>
        <v>0</v>
      </c>
      <c r="BV25" s="197">
        <f t="shared" si="88"/>
        <v>0</v>
      </c>
      <c r="BW25" s="197">
        <f t="shared" si="88"/>
        <v>0</v>
      </c>
      <c r="BX25" s="197">
        <f t="shared" si="88"/>
        <v>0</v>
      </c>
      <c r="BY25" s="197">
        <f t="shared" si="88"/>
        <v>0</v>
      </c>
      <c r="BZ25" s="197">
        <f t="shared" si="88"/>
        <v>0</v>
      </c>
      <c r="CA25" s="197">
        <f t="shared" si="88"/>
        <v>0</v>
      </c>
      <c r="CB25" s="197">
        <f t="shared" si="88"/>
        <v>0</v>
      </c>
      <c r="CC25" s="197">
        <f t="shared" si="88"/>
        <v>0</v>
      </c>
      <c r="CD25" s="197">
        <f t="shared" si="88"/>
        <v>0</v>
      </c>
      <c r="CE25" s="197">
        <f t="shared" si="88"/>
        <v>0</v>
      </c>
      <c r="CF25" s="197">
        <f t="shared" si="88"/>
        <v>0</v>
      </c>
      <c r="CG25" s="197">
        <f t="shared" si="88"/>
        <v>0</v>
      </c>
      <c r="CH25" s="197">
        <f t="shared" si="88"/>
        <v>0</v>
      </c>
      <c r="CI25" s="197">
        <f t="shared" si="88"/>
        <v>0</v>
      </c>
      <c r="CJ25" s="197">
        <f t="shared" si="88"/>
        <v>0</v>
      </c>
    </row>
    <row r="26" spans="2:130" x14ac:dyDescent="0.35">
      <c r="B26" s="197">
        <f t="shared" si="16"/>
        <v>0</v>
      </c>
      <c r="C26" s="197">
        <f t="shared" si="9"/>
        <v>0</v>
      </c>
      <c r="D26">
        <v>12</v>
      </c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BS26" s="197">
        <f t="shared" ref="BS26:CP26" si="89">IF($C26=1,K$15,0)</f>
        <v>0</v>
      </c>
      <c r="BT26" s="197">
        <f t="shared" si="89"/>
        <v>0</v>
      </c>
      <c r="BU26" s="197">
        <f t="shared" si="89"/>
        <v>0</v>
      </c>
      <c r="BV26" s="197">
        <f t="shared" si="89"/>
        <v>0</v>
      </c>
      <c r="BW26" s="197">
        <f t="shared" si="89"/>
        <v>0</v>
      </c>
      <c r="BX26" s="197">
        <f t="shared" si="89"/>
        <v>0</v>
      </c>
      <c r="BY26" s="197">
        <f t="shared" si="89"/>
        <v>0</v>
      </c>
      <c r="BZ26" s="197">
        <f t="shared" si="89"/>
        <v>0</v>
      </c>
      <c r="CA26" s="197">
        <f t="shared" si="89"/>
        <v>0</v>
      </c>
      <c r="CB26" s="197">
        <f t="shared" si="89"/>
        <v>0</v>
      </c>
      <c r="CC26" s="197">
        <f t="shared" si="89"/>
        <v>0</v>
      </c>
      <c r="CD26" s="197">
        <f t="shared" si="89"/>
        <v>0</v>
      </c>
      <c r="CE26" s="197">
        <f t="shared" si="89"/>
        <v>0</v>
      </c>
      <c r="CF26" s="197">
        <f t="shared" si="89"/>
        <v>0</v>
      </c>
      <c r="CG26" s="197">
        <f t="shared" si="89"/>
        <v>0</v>
      </c>
      <c r="CH26" s="197">
        <f t="shared" si="89"/>
        <v>0</v>
      </c>
      <c r="CI26" s="197">
        <f t="shared" si="89"/>
        <v>0</v>
      </c>
      <c r="CJ26" s="197">
        <f t="shared" si="89"/>
        <v>0</v>
      </c>
      <c r="CK26" s="197">
        <f t="shared" si="89"/>
        <v>0</v>
      </c>
      <c r="CL26" s="197">
        <f t="shared" si="89"/>
        <v>0</v>
      </c>
      <c r="CM26" s="197">
        <f t="shared" si="89"/>
        <v>0</v>
      </c>
      <c r="CN26" s="197">
        <f t="shared" si="89"/>
        <v>0</v>
      </c>
      <c r="CO26" s="197">
        <f t="shared" si="89"/>
        <v>0</v>
      </c>
      <c r="CP26" s="197">
        <f t="shared" si="89"/>
        <v>0</v>
      </c>
    </row>
    <row r="27" spans="2:130" x14ac:dyDescent="0.35">
      <c r="B27" s="197">
        <f t="shared" si="16"/>
        <v>0</v>
      </c>
      <c r="C27" s="197">
        <f t="shared" si="9"/>
        <v>0</v>
      </c>
      <c r="D27">
        <v>13</v>
      </c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BY27" s="197">
        <f t="shared" ref="BY27:CV27" si="90">IF($C27=1,Q$15,0)</f>
        <v>0</v>
      </c>
      <c r="BZ27" s="197">
        <f t="shared" si="90"/>
        <v>0</v>
      </c>
      <c r="CA27" s="197">
        <f t="shared" si="90"/>
        <v>0</v>
      </c>
      <c r="CB27" s="197">
        <f t="shared" si="90"/>
        <v>0</v>
      </c>
      <c r="CC27" s="197">
        <f t="shared" si="90"/>
        <v>0</v>
      </c>
      <c r="CD27" s="197">
        <f t="shared" si="90"/>
        <v>0</v>
      </c>
      <c r="CE27" s="197">
        <f t="shared" si="90"/>
        <v>0</v>
      </c>
      <c r="CF27" s="197">
        <f t="shared" si="90"/>
        <v>0</v>
      </c>
      <c r="CG27" s="197">
        <f t="shared" si="90"/>
        <v>0</v>
      </c>
      <c r="CH27" s="197">
        <f t="shared" si="90"/>
        <v>0</v>
      </c>
      <c r="CI27" s="197">
        <f t="shared" si="90"/>
        <v>0</v>
      </c>
      <c r="CJ27" s="197">
        <f t="shared" si="90"/>
        <v>0</v>
      </c>
      <c r="CK27" s="197">
        <f t="shared" si="90"/>
        <v>0</v>
      </c>
      <c r="CL27" s="197">
        <f t="shared" si="90"/>
        <v>0</v>
      </c>
      <c r="CM27" s="197">
        <f t="shared" si="90"/>
        <v>0</v>
      </c>
      <c r="CN27" s="197">
        <f t="shared" si="90"/>
        <v>0</v>
      </c>
      <c r="CO27" s="197">
        <f t="shared" si="90"/>
        <v>0</v>
      </c>
      <c r="CP27" s="197">
        <f t="shared" si="90"/>
        <v>0</v>
      </c>
      <c r="CQ27" s="197">
        <f t="shared" si="90"/>
        <v>0</v>
      </c>
      <c r="CR27" s="197">
        <f t="shared" si="90"/>
        <v>0</v>
      </c>
      <c r="CS27" s="197">
        <f t="shared" si="90"/>
        <v>0</v>
      </c>
      <c r="CT27" s="197">
        <f t="shared" si="90"/>
        <v>0</v>
      </c>
      <c r="CU27" s="197">
        <f t="shared" si="90"/>
        <v>0</v>
      </c>
      <c r="CV27" s="197">
        <f t="shared" si="90"/>
        <v>0</v>
      </c>
    </row>
    <row r="28" spans="2:130" x14ac:dyDescent="0.35">
      <c r="B28" s="197">
        <f t="shared" si="16"/>
        <v>0</v>
      </c>
      <c r="C28" s="197">
        <f t="shared" si="9"/>
        <v>0</v>
      </c>
      <c r="D28">
        <v>14</v>
      </c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CE28" s="197">
        <f t="shared" ref="CE28:DB28" si="91">IF($C28=1,W$15,0)</f>
        <v>0</v>
      </c>
      <c r="CF28" s="197">
        <f t="shared" si="91"/>
        <v>0</v>
      </c>
      <c r="CG28" s="197">
        <f t="shared" si="91"/>
        <v>0</v>
      </c>
      <c r="CH28" s="197">
        <f t="shared" si="91"/>
        <v>0</v>
      </c>
      <c r="CI28" s="197">
        <f t="shared" si="91"/>
        <v>0</v>
      </c>
      <c r="CJ28" s="197">
        <f t="shared" si="91"/>
        <v>0</v>
      </c>
      <c r="CK28" s="197">
        <f t="shared" si="91"/>
        <v>0</v>
      </c>
      <c r="CL28" s="197">
        <f t="shared" si="91"/>
        <v>0</v>
      </c>
      <c r="CM28" s="197">
        <f t="shared" si="91"/>
        <v>0</v>
      </c>
      <c r="CN28" s="197">
        <f t="shared" si="91"/>
        <v>0</v>
      </c>
      <c r="CO28" s="197">
        <f t="shared" si="91"/>
        <v>0</v>
      </c>
      <c r="CP28" s="197">
        <f t="shared" si="91"/>
        <v>0</v>
      </c>
      <c r="CQ28" s="197">
        <f t="shared" si="91"/>
        <v>0</v>
      </c>
      <c r="CR28" s="197">
        <f t="shared" si="91"/>
        <v>0</v>
      </c>
      <c r="CS28" s="197">
        <f t="shared" si="91"/>
        <v>0</v>
      </c>
      <c r="CT28" s="197">
        <f t="shared" si="91"/>
        <v>0</v>
      </c>
      <c r="CU28" s="197">
        <f t="shared" si="91"/>
        <v>0</v>
      </c>
      <c r="CV28" s="197">
        <f t="shared" si="91"/>
        <v>0</v>
      </c>
      <c r="CW28" s="197">
        <f t="shared" si="91"/>
        <v>0</v>
      </c>
      <c r="CX28" s="197">
        <f t="shared" si="91"/>
        <v>0</v>
      </c>
      <c r="CY28" s="197">
        <f t="shared" si="91"/>
        <v>0</v>
      </c>
      <c r="CZ28" s="197">
        <f t="shared" si="91"/>
        <v>0</v>
      </c>
      <c r="DA28" s="197">
        <f t="shared" si="91"/>
        <v>0</v>
      </c>
      <c r="DB28" s="197">
        <f t="shared" si="91"/>
        <v>0</v>
      </c>
    </row>
    <row r="29" spans="2:130" x14ac:dyDescent="0.35">
      <c r="B29" s="197">
        <f t="shared" si="16"/>
        <v>0</v>
      </c>
      <c r="C29" s="197">
        <f t="shared" si="9"/>
        <v>0</v>
      </c>
      <c r="D29">
        <v>15</v>
      </c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CK29" s="197">
        <f t="shared" ref="CK29:DH29" si="92">IF($C29=1,AC$15,0)</f>
        <v>0</v>
      </c>
      <c r="CL29" s="197">
        <f t="shared" si="92"/>
        <v>0</v>
      </c>
      <c r="CM29" s="197">
        <f t="shared" si="92"/>
        <v>0</v>
      </c>
      <c r="CN29" s="197">
        <f t="shared" si="92"/>
        <v>0</v>
      </c>
      <c r="CO29" s="197">
        <f t="shared" si="92"/>
        <v>0</v>
      </c>
      <c r="CP29" s="197">
        <f t="shared" si="92"/>
        <v>0</v>
      </c>
      <c r="CQ29" s="197">
        <f t="shared" si="92"/>
        <v>0</v>
      </c>
      <c r="CR29" s="197">
        <f t="shared" si="92"/>
        <v>0</v>
      </c>
      <c r="CS29" s="197">
        <f t="shared" si="92"/>
        <v>0</v>
      </c>
      <c r="CT29" s="197">
        <f t="shared" si="92"/>
        <v>0</v>
      </c>
      <c r="CU29" s="197">
        <f t="shared" si="92"/>
        <v>0</v>
      </c>
      <c r="CV29" s="197">
        <f t="shared" si="92"/>
        <v>0</v>
      </c>
      <c r="CW29" s="197">
        <f t="shared" si="92"/>
        <v>0</v>
      </c>
      <c r="CX29" s="197">
        <f t="shared" si="92"/>
        <v>0</v>
      </c>
      <c r="CY29" s="197">
        <f t="shared" si="92"/>
        <v>0</v>
      </c>
      <c r="CZ29" s="197">
        <f t="shared" si="92"/>
        <v>0</v>
      </c>
      <c r="DA29" s="197">
        <f t="shared" si="92"/>
        <v>0</v>
      </c>
      <c r="DB29" s="197">
        <f t="shared" si="92"/>
        <v>0</v>
      </c>
      <c r="DC29" s="197">
        <f t="shared" si="92"/>
        <v>0</v>
      </c>
      <c r="DD29" s="197">
        <f t="shared" si="92"/>
        <v>0</v>
      </c>
      <c r="DE29" s="197">
        <f t="shared" si="92"/>
        <v>0</v>
      </c>
      <c r="DF29" s="197">
        <f t="shared" si="92"/>
        <v>0</v>
      </c>
      <c r="DG29" s="197">
        <f t="shared" si="92"/>
        <v>0</v>
      </c>
      <c r="DH29" s="197">
        <f t="shared" si="92"/>
        <v>0</v>
      </c>
    </row>
    <row r="30" spans="2:130" x14ac:dyDescent="0.35">
      <c r="B30" s="197">
        <f t="shared" si="16"/>
        <v>0</v>
      </c>
      <c r="C30" s="197">
        <f t="shared" si="9"/>
        <v>0</v>
      </c>
      <c r="D30">
        <v>16</v>
      </c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CQ30" s="197">
        <f t="shared" ref="CQ30:DN30" si="93">IF($C30=1,AI$15,0)</f>
        <v>0</v>
      </c>
      <c r="CR30" s="197">
        <f t="shared" si="93"/>
        <v>0</v>
      </c>
      <c r="CS30" s="197">
        <f t="shared" si="93"/>
        <v>0</v>
      </c>
      <c r="CT30" s="197">
        <f t="shared" si="93"/>
        <v>0</v>
      </c>
      <c r="CU30" s="197">
        <f t="shared" si="93"/>
        <v>0</v>
      </c>
      <c r="CV30" s="197">
        <f t="shared" si="93"/>
        <v>0</v>
      </c>
      <c r="CW30" s="197">
        <f t="shared" si="93"/>
        <v>0</v>
      </c>
      <c r="CX30" s="197">
        <f t="shared" si="93"/>
        <v>0</v>
      </c>
      <c r="CY30" s="197">
        <f t="shared" si="93"/>
        <v>0</v>
      </c>
      <c r="CZ30" s="197">
        <f t="shared" si="93"/>
        <v>0</v>
      </c>
      <c r="DA30" s="197">
        <f t="shared" si="93"/>
        <v>0</v>
      </c>
      <c r="DB30" s="197">
        <f t="shared" si="93"/>
        <v>0</v>
      </c>
      <c r="DC30" s="197">
        <f t="shared" si="93"/>
        <v>0</v>
      </c>
      <c r="DD30" s="197">
        <f t="shared" si="93"/>
        <v>0</v>
      </c>
      <c r="DE30" s="197">
        <f t="shared" si="93"/>
        <v>0</v>
      </c>
      <c r="DF30" s="197">
        <f t="shared" si="93"/>
        <v>0</v>
      </c>
      <c r="DG30" s="197">
        <f t="shared" si="93"/>
        <v>0</v>
      </c>
      <c r="DH30" s="197">
        <f t="shared" si="93"/>
        <v>0</v>
      </c>
      <c r="DI30" s="197">
        <f t="shared" si="93"/>
        <v>0</v>
      </c>
      <c r="DJ30" s="197">
        <f t="shared" si="93"/>
        <v>0</v>
      </c>
      <c r="DK30" s="197">
        <f t="shared" si="93"/>
        <v>0</v>
      </c>
      <c r="DL30" s="197">
        <f t="shared" si="93"/>
        <v>0</v>
      </c>
      <c r="DM30" s="197">
        <f t="shared" si="93"/>
        <v>0</v>
      </c>
      <c r="DN30" s="197">
        <f t="shared" si="93"/>
        <v>0</v>
      </c>
    </row>
    <row r="31" spans="2:130" x14ac:dyDescent="0.35">
      <c r="B31" s="197">
        <f t="shared" si="16"/>
        <v>0</v>
      </c>
      <c r="C31" s="197">
        <f t="shared" si="9"/>
        <v>0</v>
      </c>
      <c r="D31">
        <v>17</v>
      </c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CW31" s="197">
        <f t="shared" ref="CW31:DT31" si="94">IF($C31=1,AO$15,0)</f>
        <v>0</v>
      </c>
      <c r="CX31" s="197">
        <f t="shared" si="94"/>
        <v>0</v>
      </c>
      <c r="CY31" s="197">
        <f t="shared" si="94"/>
        <v>0</v>
      </c>
      <c r="CZ31" s="197">
        <f t="shared" si="94"/>
        <v>0</v>
      </c>
      <c r="DA31" s="197">
        <f t="shared" si="94"/>
        <v>0</v>
      </c>
      <c r="DB31" s="197">
        <f t="shared" si="94"/>
        <v>0</v>
      </c>
      <c r="DC31" s="197">
        <f t="shared" si="94"/>
        <v>0</v>
      </c>
      <c r="DD31" s="197">
        <f t="shared" si="94"/>
        <v>0</v>
      </c>
      <c r="DE31" s="197">
        <f t="shared" si="94"/>
        <v>0</v>
      </c>
      <c r="DF31" s="197">
        <f t="shared" si="94"/>
        <v>0</v>
      </c>
      <c r="DG31" s="197">
        <f t="shared" si="94"/>
        <v>0</v>
      </c>
      <c r="DH31" s="197">
        <f t="shared" si="94"/>
        <v>0</v>
      </c>
      <c r="DI31" s="197">
        <f t="shared" si="94"/>
        <v>0</v>
      </c>
      <c r="DJ31" s="197">
        <f t="shared" si="94"/>
        <v>0</v>
      </c>
      <c r="DK31" s="197">
        <f t="shared" si="94"/>
        <v>0</v>
      </c>
      <c r="DL31" s="197">
        <f t="shared" si="94"/>
        <v>0</v>
      </c>
      <c r="DM31" s="197">
        <f t="shared" si="94"/>
        <v>0</v>
      </c>
      <c r="DN31" s="197">
        <f t="shared" si="94"/>
        <v>0</v>
      </c>
      <c r="DO31" s="197">
        <f t="shared" si="94"/>
        <v>0</v>
      </c>
      <c r="DP31" s="197">
        <f t="shared" si="94"/>
        <v>0</v>
      </c>
      <c r="DQ31" s="197">
        <f t="shared" si="94"/>
        <v>0</v>
      </c>
      <c r="DR31" s="197">
        <f t="shared" si="94"/>
        <v>0</v>
      </c>
      <c r="DS31" s="197">
        <f t="shared" si="94"/>
        <v>0</v>
      </c>
      <c r="DT31" s="197">
        <f t="shared" si="94"/>
        <v>0</v>
      </c>
    </row>
    <row r="32" spans="2:130" x14ac:dyDescent="0.35">
      <c r="B32" s="197">
        <f t="shared" si="16"/>
        <v>0</v>
      </c>
      <c r="C32" s="197">
        <f t="shared" si="9"/>
        <v>0</v>
      </c>
      <c r="D32">
        <v>18</v>
      </c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DC32" s="197">
        <f t="shared" ref="DC32:DZ32" si="95">IF($C32=1,AU$15,0)</f>
        <v>0</v>
      </c>
      <c r="DD32" s="197">
        <f t="shared" si="95"/>
        <v>0</v>
      </c>
      <c r="DE32" s="197">
        <f t="shared" si="95"/>
        <v>0</v>
      </c>
      <c r="DF32" s="197">
        <f t="shared" si="95"/>
        <v>0</v>
      </c>
      <c r="DG32" s="197">
        <f t="shared" si="95"/>
        <v>0</v>
      </c>
      <c r="DH32" s="197">
        <f t="shared" si="95"/>
        <v>0</v>
      </c>
      <c r="DI32" s="197">
        <f t="shared" si="95"/>
        <v>0</v>
      </c>
      <c r="DJ32" s="197">
        <f t="shared" si="95"/>
        <v>0</v>
      </c>
      <c r="DK32" s="197">
        <f t="shared" si="95"/>
        <v>0</v>
      </c>
      <c r="DL32" s="197">
        <f t="shared" si="95"/>
        <v>0</v>
      </c>
      <c r="DM32" s="197">
        <f t="shared" si="95"/>
        <v>0</v>
      </c>
      <c r="DN32" s="197">
        <f t="shared" si="95"/>
        <v>0</v>
      </c>
      <c r="DO32" s="197">
        <f t="shared" si="95"/>
        <v>0</v>
      </c>
      <c r="DP32" s="197">
        <f t="shared" si="95"/>
        <v>0</v>
      </c>
      <c r="DQ32" s="197">
        <f t="shared" si="95"/>
        <v>0</v>
      </c>
      <c r="DR32" s="197">
        <f t="shared" si="95"/>
        <v>0</v>
      </c>
      <c r="DS32" s="197">
        <f t="shared" si="95"/>
        <v>0</v>
      </c>
      <c r="DT32" s="197">
        <f t="shared" si="95"/>
        <v>0</v>
      </c>
      <c r="DU32" s="197">
        <f t="shared" si="95"/>
        <v>0</v>
      </c>
      <c r="DV32" s="197">
        <f t="shared" si="95"/>
        <v>0</v>
      </c>
      <c r="DW32" s="197">
        <f t="shared" si="95"/>
        <v>0</v>
      </c>
      <c r="DX32" s="197">
        <f t="shared" si="95"/>
        <v>0</v>
      </c>
      <c r="DY32" s="197">
        <f t="shared" si="95"/>
        <v>0</v>
      </c>
      <c r="DZ32" s="197">
        <f t="shared" si="95"/>
        <v>0</v>
      </c>
    </row>
    <row r="33" spans="2:147" x14ac:dyDescent="0.35">
      <c r="B33" s="197">
        <f t="shared" si="16"/>
        <v>0</v>
      </c>
      <c r="C33" s="197">
        <f t="shared" si="9"/>
        <v>0</v>
      </c>
      <c r="D33">
        <v>19</v>
      </c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DI33" s="197">
        <f t="shared" ref="DI33:EF33" si="96">IF($C33=1,BA$15,0)</f>
        <v>0</v>
      </c>
      <c r="DJ33" s="197">
        <f t="shared" si="96"/>
        <v>0</v>
      </c>
      <c r="DK33" s="197">
        <f t="shared" si="96"/>
        <v>0</v>
      </c>
      <c r="DL33" s="197">
        <f t="shared" si="96"/>
        <v>0</v>
      </c>
      <c r="DM33" s="197">
        <f t="shared" si="96"/>
        <v>0</v>
      </c>
      <c r="DN33" s="197">
        <f t="shared" si="96"/>
        <v>0</v>
      </c>
      <c r="DO33" s="197">
        <f t="shared" si="96"/>
        <v>0</v>
      </c>
      <c r="DP33" s="197">
        <f t="shared" si="96"/>
        <v>0</v>
      </c>
      <c r="DQ33" s="197">
        <f t="shared" si="96"/>
        <v>0</v>
      </c>
      <c r="DR33" s="197">
        <f t="shared" si="96"/>
        <v>0</v>
      </c>
      <c r="DS33" s="197">
        <f t="shared" si="96"/>
        <v>0</v>
      </c>
      <c r="DT33" s="197">
        <f t="shared" si="96"/>
        <v>0</v>
      </c>
      <c r="DU33" s="197">
        <f t="shared" si="96"/>
        <v>0</v>
      </c>
      <c r="DV33" s="197">
        <f t="shared" si="96"/>
        <v>0</v>
      </c>
      <c r="DW33" s="197">
        <f t="shared" si="96"/>
        <v>0</v>
      </c>
      <c r="DX33" s="197">
        <f t="shared" si="96"/>
        <v>0</v>
      </c>
      <c r="DY33" s="197">
        <f t="shared" si="96"/>
        <v>0</v>
      </c>
      <c r="DZ33" s="197">
        <f t="shared" si="96"/>
        <v>0</v>
      </c>
      <c r="EA33" s="197">
        <f t="shared" si="96"/>
        <v>0</v>
      </c>
      <c r="EB33" s="197">
        <f t="shared" si="96"/>
        <v>0</v>
      </c>
      <c r="EC33" s="197">
        <f t="shared" si="96"/>
        <v>0</v>
      </c>
      <c r="ED33" s="197">
        <f t="shared" si="96"/>
        <v>0</v>
      </c>
      <c r="EE33" s="197">
        <f t="shared" si="96"/>
        <v>0</v>
      </c>
      <c r="EF33" s="197">
        <f t="shared" si="96"/>
        <v>0</v>
      </c>
    </row>
    <row r="34" spans="2:147" x14ac:dyDescent="0.35">
      <c r="B34" s="197">
        <f t="shared" si="16"/>
        <v>0</v>
      </c>
      <c r="C34" s="197">
        <f t="shared" si="9"/>
        <v>0</v>
      </c>
      <c r="D34">
        <v>20</v>
      </c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DO34" s="197">
        <f t="shared" ref="DO34:EL34" si="97">IF($C34=1,BG$15,0)</f>
        <v>0</v>
      </c>
      <c r="DP34" s="197">
        <f t="shared" si="97"/>
        <v>0</v>
      </c>
      <c r="DQ34" s="197">
        <f t="shared" si="97"/>
        <v>0</v>
      </c>
      <c r="DR34" s="197">
        <f t="shared" si="97"/>
        <v>0</v>
      </c>
      <c r="DS34" s="197">
        <f t="shared" si="97"/>
        <v>0</v>
      </c>
      <c r="DT34" s="197">
        <f t="shared" si="97"/>
        <v>0</v>
      </c>
      <c r="DU34" s="197">
        <f t="shared" si="97"/>
        <v>0</v>
      </c>
      <c r="DV34" s="197">
        <f t="shared" si="97"/>
        <v>0</v>
      </c>
      <c r="DW34" s="197">
        <f t="shared" si="97"/>
        <v>0</v>
      </c>
      <c r="DX34" s="197">
        <f t="shared" si="97"/>
        <v>0</v>
      </c>
      <c r="DY34" s="197">
        <f t="shared" si="97"/>
        <v>0</v>
      </c>
      <c r="DZ34" s="197">
        <f t="shared" si="97"/>
        <v>0</v>
      </c>
      <c r="EA34" s="197">
        <f t="shared" si="97"/>
        <v>0</v>
      </c>
      <c r="EB34" s="197">
        <f t="shared" si="97"/>
        <v>0</v>
      </c>
      <c r="EC34" s="197">
        <f t="shared" si="97"/>
        <v>0</v>
      </c>
      <c r="ED34" s="197">
        <f t="shared" si="97"/>
        <v>0</v>
      </c>
      <c r="EE34" s="197">
        <f t="shared" si="97"/>
        <v>0</v>
      </c>
      <c r="EF34" s="197">
        <f t="shared" si="97"/>
        <v>0</v>
      </c>
      <c r="EG34" s="197">
        <f t="shared" si="97"/>
        <v>0</v>
      </c>
      <c r="EH34" s="197">
        <f t="shared" si="97"/>
        <v>0</v>
      </c>
      <c r="EI34" s="197">
        <f t="shared" si="97"/>
        <v>0</v>
      </c>
      <c r="EJ34" s="197">
        <f t="shared" si="97"/>
        <v>0</v>
      </c>
      <c r="EK34" s="197">
        <f t="shared" si="97"/>
        <v>0</v>
      </c>
      <c r="EL34" s="197">
        <f t="shared" si="97"/>
        <v>0</v>
      </c>
    </row>
    <row r="36" spans="2:147" x14ac:dyDescent="0.35">
      <c r="D36" t="s">
        <v>103</v>
      </c>
      <c r="E36" s="197">
        <f>SUM(E15:E34)</f>
        <v>321399000</v>
      </c>
      <c r="F36" s="197">
        <f t="shared" ref="F36:BQ36" si="98">SUM(F15:F34)</f>
        <v>321399000</v>
      </c>
      <c r="G36" s="197">
        <f t="shared" si="98"/>
        <v>321399000</v>
      </c>
      <c r="H36" s="197">
        <f t="shared" si="98"/>
        <v>321399000</v>
      </c>
      <c r="I36" s="197">
        <f t="shared" si="98"/>
        <v>332112300</v>
      </c>
      <c r="J36" s="197">
        <f t="shared" si="98"/>
        <v>332112300</v>
      </c>
      <c r="K36" s="197">
        <f>SUM(K15:K34)</f>
        <v>332112300</v>
      </c>
      <c r="L36" s="197">
        <f>SUM(L15:L34)</f>
        <v>332112300</v>
      </c>
      <c r="M36" s="197">
        <f t="shared" si="98"/>
        <v>342825600</v>
      </c>
      <c r="N36" s="197">
        <f t="shared" si="98"/>
        <v>342825600</v>
      </c>
      <c r="O36" s="197">
        <f t="shared" si="98"/>
        <v>342825600</v>
      </c>
      <c r="P36" s="197">
        <f t="shared" si="98"/>
        <v>342825600</v>
      </c>
      <c r="Q36" s="197">
        <f t="shared" si="98"/>
        <v>342825600</v>
      </c>
      <c r="R36" s="197">
        <f t="shared" si="98"/>
        <v>353538900</v>
      </c>
      <c r="S36" s="197">
        <f t="shared" si="98"/>
        <v>353538900</v>
      </c>
      <c r="T36" s="197">
        <f t="shared" si="98"/>
        <v>353538900</v>
      </c>
      <c r="U36" s="197">
        <f t="shared" si="98"/>
        <v>353538900</v>
      </c>
      <c r="V36" s="197">
        <f t="shared" si="98"/>
        <v>353538900</v>
      </c>
      <c r="W36" s="197">
        <f t="shared" si="98"/>
        <v>769572049.99999988</v>
      </c>
      <c r="X36" s="197">
        <f t="shared" si="98"/>
        <v>769572049.99999988</v>
      </c>
      <c r="Y36" s="197">
        <f t="shared" si="98"/>
        <v>769572049.99999988</v>
      </c>
      <c r="Z36" s="197">
        <f t="shared" si="98"/>
        <v>769572049.99999988</v>
      </c>
      <c r="AA36" s="197">
        <f t="shared" si="98"/>
        <v>769572049.99999988</v>
      </c>
      <c r="AB36" s="197">
        <f t="shared" si="98"/>
        <v>769572049.99999988</v>
      </c>
      <c r="AC36" s="197">
        <f t="shared" si="98"/>
        <v>0</v>
      </c>
      <c r="AD36" s="197">
        <f t="shared" si="98"/>
        <v>0</v>
      </c>
      <c r="AE36" s="197">
        <f t="shared" si="98"/>
        <v>0</v>
      </c>
      <c r="AF36" s="197">
        <f t="shared" si="98"/>
        <v>0</v>
      </c>
      <c r="AG36" s="197">
        <f t="shared" si="98"/>
        <v>0</v>
      </c>
      <c r="AH36" s="197">
        <f t="shared" si="98"/>
        <v>0</v>
      </c>
      <c r="AI36" s="197">
        <f t="shared" si="98"/>
        <v>0</v>
      </c>
      <c r="AJ36" s="197">
        <f t="shared" si="98"/>
        <v>0</v>
      </c>
      <c r="AK36" s="197">
        <f t="shared" si="98"/>
        <v>0</v>
      </c>
      <c r="AL36" s="197">
        <f t="shared" si="98"/>
        <v>0</v>
      </c>
      <c r="AM36" s="197">
        <f t="shared" si="98"/>
        <v>0</v>
      </c>
      <c r="AN36" s="197">
        <f t="shared" si="98"/>
        <v>0</v>
      </c>
      <c r="AO36" s="197">
        <f t="shared" si="98"/>
        <v>0</v>
      </c>
      <c r="AP36" s="197">
        <f t="shared" si="98"/>
        <v>0</v>
      </c>
      <c r="AQ36" s="197">
        <f t="shared" si="98"/>
        <v>0</v>
      </c>
      <c r="AR36" s="197">
        <f t="shared" si="98"/>
        <v>0</v>
      </c>
      <c r="AS36" s="197">
        <f t="shared" si="98"/>
        <v>0</v>
      </c>
      <c r="AT36" s="197">
        <f t="shared" si="98"/>
        <v>0</v>
      </c>
      <c r="AU36" s="197">
        <f t="shared" si="98"/>
        <v>0</v>
      </c>
      <c r="AV36" s="197">
        <f t="shared" si="98"/>
        <v>0</v>
      </c>
      <c r="AW36" s="197">
        <f t="shared" si="98"/>
        <v>0</v>
      </c>
      <c r="AX36" s="197">
        <f t="shared" si="98"/>
        <v>0</v>
      </c>
      <c r="AY36" s="197">
        <f t="shared" si="98"/>
        <v>0</v>
      </c>
      <c r="AZ36" s="197">
        <f t="shared" si="98"/>
        <v>0</v>
      </c>
      <c r="BA36" s="197">
        <f t="shared" si="98"/>
        <v>0</v>
      </c>
      <c r="BB36" s="197">
        <f t="shared" si="98"/>
        <v>0</v>
      </c>
      <c r="BC36" s="197">
        <f t="shared" si="98"/>
        <v>0</v>
      </c>
      <c r="BD36" s="197">
        <f t="shared" si="98"/>
        <v>0</v>
      </c>
      <c r="BE36" s="197">
        <f t="shared" si="98"/>
        <v>0</v>
      </c>
      <c r="BF36" s="197">
        <f t="shared" si="98"/>
        <v>0</v>
      </c>
      <c r="BG36" s="197">
        <f t="shared" si="98"/>
        <v>0</v>
      </c>
      <c r="BH36" s="197">
        <f t="shared" si="98"/>
        <v>0</v>
      </c>
      <c r="BI36" s="197">
        <f t="shared" si="98"/>
        <v>0</v>
      </c>
      <c r="BJ36" s="197">
        <f t="shared" si="98"/>
        <v>0</v>
      </c>
      <c r="BK36" s="197">
        <f t="shared" si="98"/>
        <v>0</v>
      </c>
      <c r="BL36" s="197">
        <f t="shared" si="98"/>
        <v>0</v>
      </c>
      <c r="BM36" s="197">
        <f t="shared" si="98"/>
        <v>0</v>
      </c>
      <c r="BN36" s="197">
        <f t="shared" si="98"/>
        <v>0</v>
      </c>
      <c r="BO36" s="197">
        <f t="shared" si="98"/>
        <v>0</v>
      </c>
      <c r="BP36" s="197">
        <f t="shared" si="98"/>
        <v>0</v>
      </c>
      <c r="BQ36" s="197">
        <f t="shared" si="98"/>
        <v>0</v>
      </c>
      <c r="BR36" s="197">
        <f t="shared" ref="BR36:EC36" si="99">SUM(BR15:BR34)</f>
        <v>0</v>
      </c>
      <c r="BS36" s="197">
        <f t="shared" si="99"/>
        <v>0</v>
      </c>
      <c r="BT36" s="197">
        <f t="shared" si="99"/>
        <v>0</v>
      </c>
      <c r="BU36" s="197">
        <f t="shared" si="99"/>
        <v>0</v>
      </c>
      <c r="BV36" s="197">
        <f t="shared" si="99"/>
        <v>0</v>
      </c>
      <c r="BW36" s="197">
        <f t="shared" si="99"/>
        <v>0</v>
      </c>
      <c r="BX36" s="197">
        <f t="shared" si="99"/>
        <v>0</v>
      </c>
      <c r="BY36" s="197">
        <f t="shared" si="99"/>
        <v>0</v>
      </c>
      <c r="BZ36" s="197">
        <f t="shared" si="99"/>
        <v>0</v>
      </c>
      <c r="CA36" s="197">
        <f t="shared" si="99"/>
        <v>0</v>
      </c>
      <c r="CB36" s="197">
        <f t="shared" si="99"/>
        <v>0</v>
      </c>
      <c r="CC36" s="197">
        <f t="shared" si="99"/>
        <v>0</v>
      </c>
      <c r="CD36" s="197">
        <f t="shared" si="99"/>
        <v>0</v>
      </c>
      <c r="CE36" s="197">
        <f t="shared" si="99"/>
        <v>0</v>
      </c>
      <c r="CF36" s="197">
        <f t="shared" si="99"/>
        <v>0</v>
      </c>
      <c r="CG36" s="197">
        <f t="shared" si="99"/>
        <v>0</v>
      </c>
      <c r="CH36" s="197">
        <f t="shared" si="99"/>
        <v>0</v>
      </c>
      <c r="CI36" s="197">
        <f t="shared" si="99"/>
        <v>0</v>
      </c>
      <c r="CJ36" s="197">
        <f t="shared" si="99"/>
        <v>0</v>
      </c>
      <c r="CK36" s="197">
        <f t="shared" si="99"/>
        <v>0</v>
      </c>
      <c r="CL36" s="197">
        <f t="shared" si="99"/>
        <v>0</v>
      </c>
      <c r="CM36" s="197">
        <f t="shared" si="99"/>
        <v>0</v>
      </c>
      <c r="CN36" s="197">
        <f t="shared" si="99"/>
        <v>0</v>
      </c>
      <c r="CO36" s="197">
        <f t="shared" si="99"/>
        <v>0</v>
      </c>
      <c r="CP36" s="197">
        <f t="shared" si="99"/>
        <v>0</v>
      </c>
      <c r="CQ36" s="197">
        <f t="shared" si="99"/>
        <v>0</v>
      </c>
      <c r="CR36" s="197">
        <f t="shared" si="99"/>
        <v>0</v>
      </c>
      <c r="CS36" s="197">
        <f t="shared" si="99"/>
        <v>0</v>
      </c>
      <c r="CT36" s="197">
        <f t="shared" si="99"/>
        <v>0</v>
      </c>
      <c r="CU36" s="197">
        <f t="shared" si="99"/>
        <v>0</v>
      </c>
      <c r="CV36" s="197">
        <f t="shared" si="99"/>
        <v>0</v>
      </c>
      <c r="CW36" s="197">
        <f t="shared" si="99"/>
        <v>0</v>
      </c>
      <c r="CX36" s="197">
        <f t="shared" si="99"/>
        <v>0</v>
      </c>
      <c r="CY36" s="197">
        <f t="shared" si="99"/>
        <v>0</v>
      </c>
      <c r="CZ36" s="197">
        <f t="shared" si="99"/>
        <v>0</v>
      </c>
      <c r="DA36" s="197">
        <f t="shared" si="99"/>
        <v>0</v>
      </c>
      <c r="DB36" s="197">
        <f t="shared" si="99"/>
        <v>0</v>
      </c>
      <c r="DC36" s="197">
        <f t="shared" si="99"/>
        <v>0</v>
      </c>
      <c r="DD36" s="197">
        <f t="shared" si="99"/>
        <v>0</v>
      </c>
      <c r="DE36" s="197">
        <f t="shared" si="99"/>
        <v>0</v>
      </c>
      <c r="DF36" s="197">
        <f t="shared" si="99"/>
        <v>0</v>
      </c>
      <c r="DG36" s="197">
        <f t="shared" si="99"/>
        <v>0</v>
      </c>
      <c r="DH36" s="197">
        <f t="shared" si="99"/>
        <v>0</v>
      </c>
      <c r="DI36" s="197">
        <f t="shared" si="99"/>
        <v>0</v>
      </c>
      <c r="DJ36" s="197">
        <f t="shared" si="99"/>
        <v>0</v>
      </c>
      <c r="DK36" s="197">
        <f t="shared" si="99"/>
        <v>0</v>
      </c>
      <c r="DL36" s="197">
        <f t="shared" si="99"/>
        <v>0</v>
      </c>
      <c r="DM36" s="197">
        <f t="shared" si="99"/>
        <v>0</v>
      </c>
      <c r="DN36" s="197">
        <f t="shared" si="99"/>
        <v>0</v>
      </c>
      <c r="DO36" s="197">
        <f t="shared" si="99"/>
        <v>0</v>
      </c>
      <c r="DP36" s="197">
        <f t="shared" si="99"/>
        <v>0</v>
      </c>
      <c r="DQ36" s="197">
        <f t="shared" si="99"/>
        <v>0</v>
      </c>
      <c r="DR36" s="197">
        <f t="shared" si="99"/>
        <v>0</v>
      </c>
      <c r="DS36" s="197">
        <f t="shared" si="99"/>
        <v>0</v>
      </c>
      <c r="DT36" s="197">
        <f t="shared" si="99"/>
        <v>0</v>
      </c>
      <c r="DU36" s="197">
        <f t="shared" si="99"/>
        <v>0</v>
      </c>
      <c r="DV36" s="197">
        <f t="shared" si="99"/>
        <v>0</v>
      </c>
      <c r="DW36" s="197">
        <f t="shared" si="99"/>
        <v>0</v>
      </c>
      <c r="DX36" s="197">
        <f t="shared" si="99"/>
        <v>0</v>
      </c>
      <c r="DY36" s="197">
        <f t="shared" si="99"/>
        <v>0</v>
      </c>
      <c r="DZ36" s="197">
        <f t="shared" si="99"/>
        <v>0</v>
      </c>
      <c r="EA36" s="197">
        <f t="shared" si="99"/>
        <v>0</v>
      </c>
      <c r="EB36" s="197">
        <f t="shared" si="99"/>
        <v>0</v>
      </c>
      <c r="EC36" s="197">
        <f t="shared" si="99"/>
        <v>0</v>
      </c>
      <c r="ED36" s="197">
        <f t="shared" ref="ED36:EQ36" si="100">SUM(ED15:ED34)</f>
        <v>0</v>
      </c>
      <c r="EE36" s="197">
        <f t="shared" si="100"/>
        <v>0</v>
      </c>
      <c r="EF36" s="197">
        <f t="shared" si="100"/>
        <v>0</v>
      </c>
      <c r="EG36" s="197">
        <f t="shared" si="100"/>
        <v>0</v>
      </c>
      <c r="EH36" s="197">
        <f t="shared" si="100"/>
        <v>0</v>
      </c>
      <c r="EI36" s="197">
        <f t="shared" si="100"/>
        <v>0</v>
      </c>
      <c r="EJ36" s="197">
        <f t="shared" si="100"/>
        <v>0</v>
      </c>
      <c r="EK36" s="197">
        <f t="shared" si="100"/>
        <v>0</v>
      </c>
      <c r="EL36" s="197">
        <f t="shared" si="100"/>
        <v>0</v>
      </c>
      <c r="EM36" s="197">
        <f t="shared" si="100"/>
        <v>0</v>
      </c>
      <c r="EN36" s="197">
        <f t="shared" si="100"/>
        <v>0</v>
      </c>
      <c r="EO36" s="197">
        <f t="shared" si="100"/>
        <v>0</v>
      </c>
      <c r="EP36" s="197">
        <f t="shared" si="100"/>
        <v>0</v>
      </c>
      <c r="EQ36" s="197">
        <f t="shared" si="100"/>
        <v>0</v>
      </c>
    </row>
    <row r="39" spans="2:147" x14ac:dyDescent="0.35">
      <c r="K39" s="209"/>
    </row>
    <row r="40" spans="2:147" x14ac:dyDescent="0.35">
      <c r="K40" s="210"/>
    </row>
  </sheetData>
  <phoneticPr fontId="4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151D-4019-42A0-8261-0E712D4CA945}">
  <dimension ref="B1:ET37"/>
  <sheetViews>
    <sheetView zoomScale="110" zoomScaleNormal="110" workbookViewId="0">
      <pane xSplit="6" ySplit="10" topLeftCell="G11" activePane="bottomRight" state="frozen"/>
      <selection pane="topRight" activeCell="G1" sqref="G1"/>
      <selection pane="bottomLeft" activeCell="A9" sqref="A9"/>
      <selection pane="bottomRight" activeCell="D5" sqref="D5"/>
    </sheetView>
  </sheetViews>
  <sheetFormatPr defaultRowHeight="14.5" x14ac:dyDescent="0.35"/>
  <cols>
    <col min="2" max="2" width="15.453125" bestFit="1" customWidth="1"/>
    <col min="3" max="3" width="24.36328125" customWidth="1"/>
    <col min="4" max="4" width="15.90625" bestFit="1" customWidth="1"/>
    <col min="5" max="6" width="15.90625" customWidth="1"/>
    <col min="7" max="37" width="14.90625" customWidth="1"/>
    <col min="38" max="43" width="11.6328125" customWidth="1"/>
    <col min="44" max="54" width="17.08984375" customWidth="1"/>
    <col min="55" max="74" width="14.54296875" customWidth="1"/>
    <col min="75" max="75" width="13.08984375" customWidth="1"/>
    <col min="76" max="89" width="11.453125" bestFit="1" customWidth="1"/>
  </cols>
  <sheetData>
    <row r="1" spans="2:150" x14ac:dyDescent="0.35">
      <c r="L1" t="s">
        <v>172</v>
      </c>
    </row>
    <row r="2" spans="2:150" x14ac:dyDescent="0.35">
      <c r="C2" t="s">
        <v>173</v>
      </c>
      <c r="D2" s="197">
        <f>'Dashboard все'!C25</f>
        <v>6901</v>
      </c>
      <c r="E2" s="197"/>
      <c r="F2" s="197"/>
      <c r="G2" s="197"/>
      <c r="L2" s="298" t="s">
        <v>259</v>
      </c>
      <c r="M2" s="200">
        <v>0.04</v>
      </c>
      <c r="N2">
        <v>3</v>
      </c>
      <c r="O2" s="199">
        <f t="shared" ref="O2:O6" si="0">M2*N2</f>
        <v>0.12</v>
      </c>
    </row>
    <row r="3" spans="2:150" x14ac:dyDescent="0.35">
      <c r="C3" t="s">
        <v>175</v>
      </c>
      <c r="D3" s="197">
        <f>'Dashboard все'!C26</f>
        <v>6901</v>
      </c>
      <c r="E3" s="197"/>
      <c r="F3" s="197"/>
      <c r="G3" s="197"/>
      <c r="L3" s="309" t="s">
        <v>260</v>
      </c>
      <c r="M3" s="200">
        <v>0.05</v>
      </c>
      <c r="N3">
        <f>7-4+1</f>
        <v>4</v>
      </c>
      <c r="O3" s="199">
        <f t="shared" si="0"/>
        <v>0.2</v>
      </c>
    </row>
    <row r="4" spans="2:150" x14ac:dyDescent="0.35">
      <c r="C4" t="s">
        <v>177</v>
      </c>
      <c r="D4" s="197">
        <v>1</v>
      </c>
      <c r="E4" s="197"/>
      <c r="F4" s="197"/>
      <c r="G4" s="197"/>
      <c r="L4" s="309" t="s">
        <v>261</v>
      </c>
      <c r="M4" s="200">
        <v>0.06</v>
      </c>
      <c r="N4">
        <f>14-8+1</f>
        <v>7</v>
      </c>
      <c r="O4" s="199">
        <f t="shared" si="0"/>
        <v>0.42</v>
      </c>
    </row>
    <row r="5" spans="2:150" x14ac:dyDescent="0.35">
      <c r="C5" t="s">
        <v>196</v>
      </c>
      <c r="D5" s="197">
        <f>'PnL все'!B40+'PnL все'!B52</f>
        <v>5833314060.8999996</v>
      </c>
      <c r="E5" s="197"/>
      <c r="F5" s="197"/>
      <c r="G5" s="197"/>
      <c r="L5" s="298" t="s">
        <v>439</v>
      </c>
      <c r="M5" s="200">
        <f>O5/N5</f>
        <v>5.1999999999999991E-2</v>
      </c>
      <c r="N5">
        <f>19-15+1</f>
        <v>5</v>
      </c>
      <c r="O5" s="200">
        <f>O8-O2-O3-O4</f>
        <v>0.25999999999999995</v>
      </c>
    </row>
    <row r="6" spans="2:150" x14ac:dyDescent="0.35">
      <c r="C6" t="s">
        <v>198</v>
      </c>
      <c r="D6" s="197">
        <f>D5/D4</f>
        <v>5833314060.8999996</v>
      </c>
      <c r="E6" s="197"/>
      <c r="F6" s="197"/>
      <c r="G6" s="197"/>
      <c r="L6" s="298" t="s">
        <v>262</v>
      </c>
      <c r="M6" s="200"/>
      <c r="N6">
        <f>15-14+1</f>
        <v>2</v>
      </c>
      <c r="O6" s="199">
        <f t="shared" si="0"/>
        <v>0</v>
      </c>
    </row>
    <row r="7" spans="2:150" x14ac:dyDescent="0.35">
      <c r="D7" s="197"/>
      <c r="E7" s="197"/>
      <c r="F7" s="197"/>
      <c r="G7" s="197"/>
      <c r="L7" s="298" t="s">
        <v>226</v>
      </c>
      <c r="M7" s="200">
        <f>O7/N7</f>
        <v>0</v>
      </c>
      <c r="N7">
        <f>17-16+1</f>
        <v>2</v>
      </c>
      <c r="O7" s="200">
        <f>O8-O2-O3-O4-O5-O6</f>
        <v>0</v>
      </c>
    </row>
    <row r="8" spans="2:150" x14ac:dyDescent="0.35">
      <c r="E8" s="197"/>
      <c r="F8" s="197"/>
      <c r="G8" s="197"/>
      <c r="L8" s="231" t="s">
        <v>103</v>
      </c>
      <c r="M8" s="232">
        <v>0.01</v>
      </c>
      <c r="N8" s="231">
        <f>SUM(N2:N7)</f>
        <v>23</v>
      </c>
      <c r="O8" s="232">
        <v>1</v>
      </c>
    </row>
    <row r="9" spans="2:150" x14ac:dyDescent="0.35">
      <c r="D9" s="197"/>
      <c r="E9" s="197"/>
      <c r="F9" s="197"/>
      <c r="G9" s="197"/>
    </row>
    <row r="10" spans="2:150" x14ac:dyDescent="0.35">
      <c r="D10" s="197"/>
      <c r="E10" s="197"/>
      <c r="F10" s="197"/>
      <c r="G10" s="197"/>
    </row>
    <row r="11" spans="2:150" x14ac:dyDescent="0.35">
      <c r="C11" s="197">
        <f>D6-B15</f>
        <v>0</v>
      </c>
      <c r="D11" s="197"/>
      <c r="E11" s="197"/>
      <c r="F11" s="214"/>
      <c r="G11" s="197"/>
    </row>
    <row r="12" spans="2:150" x14ac:dyDescent="0.35">
      <c r="B12" s="197"/>
      <c r="D12" s="197"/>
      <c r="E12" s="197"/>
      <c r="F12" s="197"/>
      <c r="G12" s="197"/>
    </row>
    <row r="13" spans="2:150" x14ac:dyDescent="0.35">
      <c r="C13">
        <f>C12/D6</f>
        <v>0</v>
      </c>
      <c r="I13" s="197"/>
    </row>
    <row r="14" spans="2:150" x14ac:dyDescent="0.35">
      <c r="E14" s="201">
        <f>DCF!D6</f>
        <v>46204</v>
      </c>
      <c r="F14" s="201">
        <f>DCF!E6</f>
        <v>46235</v>
      </c>
      <c r="G14" s="201">
        <f>DCF!F6</f>
        <v>46266</v>
      </c>
      <c r="H14" s="201">
        <f>DCF!G6</f>
        <v>46296</v>
      </c>
      <c r="I14" s="201">
        <f>DCF!H6</f>
        <v>46327</v>
      </c>
      <c r="J14" s="201">
        <f>DCF!I6</f>
        <v>46357</v>
      </c>
      <c r="K14" s="201">
        <f>DCF!J6</f>
        <v>46388</v>
      </c>
      <c r="L14" s="201">
        <f>DCF!K6</f>
        <v>46419</v>
      </c>
      <c r="M14" s="201">
        <f>DCF!L6</f>
        <v>46447</v>
      </c>
      <c r="N14" s="201">
        <f>DCF!M6</f>
        <v>46478</v>
      </c>
      <c r="O14" s="201">
        <f>DCF!N6</f>
        <v>46508</v>
      </c>
      <c r="P14" s="201">
        <f>DCF!O6</f>
        <v>46539</v>
      </c>
      <c r="Q14" s="201">
        <f>DCF!P6</f>
        <v>46569</v>
      </c>
      <c r="R14" s="201">
        <f>DCF!Q6</f>
        <v>46600</v>
      </c>
      <c r="S14" s="201">
        <f>DCF!R6</f>
        <v>46631</v>
      </c>
      <c r="T14" s="201">
        <f>DCF!S6</f>
        <v>46661</v>
      </c>
      <c r="U14" s="201">
        <f>DCF!T6</f>
        <v>46692</v>
      </c>
      <c r="V14" s="201">
        <f>DCF!U6</f>
        <v>46722</v>
      </c>
      <c r="W14" s="201">
        <f>DCF!V6</f>
        <v>46753</v>
      </c>
      <c r="X14" s="201">
        <f>DCF!W6</f>
        <v>46784</v>
      </c>
      <c r="Y14" s="201">
        <f>DCF!X6</f>
        <v>46813</v>
      </c>
      <c r="Z14" s="201">
        <f>DCF!Y6</f>
        <v>46844</v>
      </c>
      <c r="AA14" s="201">
        <f>DCF!Z6</f>
        <v>46874</v>
      </c>
      <c r="AB14" s="201">
        <f>DCF!AA6</f>
        <v>46905</v>
      </c>
      <c r="AC14" s="201">
        <f>DCF!AB6</f>
        <v>46935</v>
      </c>
      <c r="AD14" s="201">
        <f>DCF!AC6</f>
        <v>46966</v>
      </c>
      <c r="AE14" s="201">
        <f>DCF!AD6</f>
        <v>46997</v>
      </c>
      <c r="AF14" s="201">
        <f>DCF!AE6</f>
        <v>47027</v>
      </c>
      <c r="AG14" s="201">
        <f>DCF!AF6</f>
        <v>47058</v>
      </c>
      <c r="AH14" s="201">
        <f>DCF!AG6</f>
        <v>47088</v>
      </c>
      <c r="AI14" s="201">
        <f>DCF!AH6</f>
        <v>47119</v>
      </c>
      <c r="AJ14" s="201">
        <f>DCF!AI6</f>
        <v>47150</v>
      </c>
      <c r="AK14" s="201">
        <f>DCF!AJ6</f>
        <v>47178</v>
      </c>
      <c r="AL14" s="201">
        <f>DCF!AK6</f>
        <v>47209</v>
      </c>
      <c r="AM14" s="201">
        <f>DCF!AL6</f>
        <v>47239</v>
      </c>
      <c r="AN14" s="201">
        <f>DCF!AM6</f>
        <v>47270</v>
      </c>
      <c r="AO14" s="201">
        <f>DCF!AN6</f>
        <v>47300</v>
      </c>
      <c r="AP14" s="201">
        <f>DCF!AO6</f>
        <v>47331</v>
      </c>
      <c r="AQ14" s="201">
        <f>DCF!AP6</f>
        <v>47362</v>
      </c>
      <c r="AR14" s="201">
        <f>DCF!AQ6</f>
        <v>47392</v>
      </c>
      <c r="AS14" s="201">
        <f>DCF!AR6</f>
        <v>47423</v>
      </c>
      <c r="AT14" s="201">
        <f>DCF!AS6</f>
        <v>47453</v>
      </c>
      <c r="AU14" s="201">
        <f>DCF!AT6</f>
        <v>47484</v>
      </c>
      <c r="AV14" s="201">
        <f>DCF!AU6</f>
        <v>47515</v>
      </c>
      <c r="AW14" s="201">
        <f>DCF!AV6</f>
        <v>47543</v>
      </c>
      <c r="AX14" s="201">
        <f>DCF!AW6</f>
        <v>47574</v>
      </c>
      <c r="AY14" s="201">
        <f>DCF!AX6</f>
        <v>47604</v>
      </c>
      <c r="AZ14" s="201">
        <f>DCF!AY6</f>
        <v>47635</v>
      </c>
      <c r="BA14" s="201">
        <f>DCF!AZ6</f>
        <v>47665</v>
      </c>
      <c r="BB14" s="201">
        <f>DCF!BA6</f>
        <v>47696</v>
      </c>
      <c r="BC14" s="201">
        <f>DCF!BB6</f>
        <v>47727</v>
      </c>
      <c r="BD14" s="201">
        <f>DCF!BC6</f>
        <v>47757</v>
      </c>
      <c r="BE14" s="201">
        <f>DCF!BD6</f>
        <v>47788</v>
      </c>
      <c r="BF14" s="201">
        <f>DCF!BE6</f>
        <v>47818</v>
      </c>
      <c r="BG14" s="201">
        <f>DCF!BF6</f>
        <v>47849</v>
      </c>
      <c r="BH14" s="201">
        <f>DCF!BG6</f>
        <v>47880</v>
      </c>
      <c r="BI14" s="201">
        <f>DCF!BH6</f>
        <v>47908</v>
      </c>
      <c r="BJ14" s="201">
        <f>DCF!BI6</f>
        <v>47939</v>
      </c>
      <c r="BK14" s="201">
        <f>DCF!BJ6</f>
        <v>47969</v>
      </c>
      <c r="BL14" s="201">
        <f>DCF!BK6</f>
        <v>48000</v>
      </c>
      <c r="BM14" s="201">
        <f>DCF!BL6</f>
        <v>48030</v>
      </c>
      <c r="BN14" s="201">
        <f>DCF!BM6</f>
        <v>48061</v>
      </c>
      <c r="BO14" s="201">
        <f>DCF!BN6</f>
        <v>48092</v>
      </c>
      <c r="BP14" s="201">
        <f>DCF!BO6</f>
        <v>48122</v>
      </c>
      <c r="BQ14" s="201">
        <f>DCF!BP6</f>
        <v>48153</v>
      </c>
      <c r="BR14" s="201">
        <f>DCF!BQ6</f>
        <v>48183</v>
      </c>
      <c r="BS14" s="201">
        <f>DCF!BR6</f>
        <v>48214</v>
      </c>
      <c r="BT14" s="201">
        <f>DCF!BS6</f>
        <v>48245</v>
      </c>
      <c r="BU14" s="201">
        <f>DCF!BT6</f>
        <v>48274</v>
      </c>
      <c r="BV14" s="201">
        <f>DCF!BU6</f>
        <v>48305</v>
      </c>
      <c r="BW14" s="201">
        <f>DCF!BV6</f>
        <v>48335</v>
      </c>
      <c r="BX14" s="201">
        <f>DCF!BW6</f>
        <v>48366</v>
      </c>
      <c r="BY14" s="201">
        <f>DCF!BX6</f>
        <v>48396</v>
      </c>
      <c r="BZ14" s="201">
        <f>DCF!BY6</f>
        <v>48427</v>
      </c>
      <c r="CA14" s="201">
        <f>DCF!BZ6</f>
        <v>48458</v>
      </c>
      <c r="CB14" s="201">
        <f>DCF!CA6</f>
        <v>48488</v>
      </c>
      <c r="CC14" s="201">
        <f>DCF!CB6</f>
        <v>48519</v>
      </c>
      <c r="CD14" s="201">
        <f>DCF!CC6</f>
        <v>48549</v>
      </c>
      <c r="CE14" s="201">
        <f>DCF!CD6</f>
        <v>48580</v>
      </c>
      <c r="CF14" s="201">
        <f>DCF!CE6</f>
        <v>48611</v>
      </c>
      <c r="CG14" s="201">
        <f>DCF!CF6</f>
        <v>48639</v>
      </c>
      <c r="CH14" s="201">
        <f>DCF!CG6</f>
        <v>48670</v>
      </c>
      <c r="CI14" s="201">
        <f>DCF!CH6</f>
        <v>48700</v>
      </c>
      <c r="CJ14" s="201">
        <f>DCF!CI6</f>
        <v>48731</v>
      </c>
      <c r="CK14" s="201">
        <f>DCF!CJ6</f>
        <v>48761</v>
      </c>
      <c r="CL14" s="201">
        <f>DCF!CK6</f>
        <v>48792</v>
      </c>
      <c r="CM14" s="201">
        <f>DCF!CL6</f>
        <v>48823</v>
      </c>
      <c r="CN14" s="201">
        <f>DCF!CM6</f>
        <v>48853</v>
      </c>
      <c r="CO14" s="201">
        <f>DCF!CN6</f>
        <v>48884</v>
      </c>
      <c r="CP14" s="201">
        <f>DCF!CO6</f>
        <v>48914</v>
      </c>
      <c r="CQ14" s="201">
        <f>DCF!CP6</f>
        <v>48945</v>
      </c>
      <c r="CR14" s="201">
        <f>DCF!CQ6</f>
        <v>48976</v>
      </c>
      <c r="CS14" s="201">
        <f>DCF!CR6</f>
        <v>49004</v>
      </c>
      <c r="CT14" s="201">
        <f>DCF!CS6</f>
        <v>49035</v>
      </c>
      <c r="CU14" s="201">
        <f>DCF!CT6</f>
        <v>49065</v>
      </c>
      <c r="CV14" s="201">
        <f>DCF!CU6</f>
        <v>49096</v>
      </c>
      <c r="CW14" s="201">
        <f>DCF!CV6</f>
        <v>49126</v>
      </c>
      <c r="CX14" s="201">
        <f>DCF!CW6</f>
        <v>49157</v>
      </c>
      <c r="CY14" s="201">
        <f>DCF!CX6</f>
        <v>49188</v>
      </c>
      <c r="CZ14" s="201">
        <f>DCF!CY6</f>
        <v>49218</v>
      </c>
      <c r="DA14" s="201">
        <f>DCF!CZ6</f>
        <v>49249</v>
      </c>
      <c r="DB14" s="201">
        <f>DCF!DA6</f>
        <v>49279</v>
      </c>
      <c r="DC14" s="201">
        <f>DCF!DB6</f>
        <v>49310</v>
      </c>
      <c r="DD14" s="201">
        <f>DCF!DC6</f>
        <v>49341</v>
      </c>
      <c r="DE14" s="201">
        <f>DCF!DD6</f>
        <v>49369</v>
      </c>
      <c r="DF14" s="201">
        <f>DCF!DE6</f>
        <v>49400</v>
      </c>
      <c r="DG14" s="201">
        <f>DCF!DF6</f>
        <v>49430</v>
      </c>
      <c r="DH14" s="201">
        <f>DCF!DG6</f>
        <v>49461</v>
      </c>
      <c r="DI14" s="201">
        <f>DCF!DH6</f>
        <v>49491</v>
      </c>
      <c r="DJ14" s="201">
        <f>DCF!DI6</f>
        <v>49522</v>
      </c>
      <c r="DK14" s="201">
        <f>DCF!DJ6</f>
        <v>49553</v>
      </c>
      <c r="DL14" s="201">
        <f>DCF!DK6</f>
        <v>49583</v>
      </c>
      <c r="DM14" s="201">
        <f>DCF!DL6</f>
        <v>49614</v>
      </c>
      <c r="DN14" s="201">
        <f>DCF!DM6</f>
        <v>49644</v>
      </c>
      <c r="DO14" s="201">
        <f>DCF!DN6</f>
        <v>49675</v>
      </c>
      <c r="DP14" s="201">
        <f>DCF!DO6</f>
        <v>49706</v>
      </c>
      <c r="DQ14" s="201">
        <f>DCF!DP6</f>
        <v>49735</v>
      </c>
      <c r="DR14" s="201">
        <f>DCF!DQ6</f>
        <v>49766</v>
      </c>
      <c r="DS14" s="201">
        <f>DCF!DR6</f>
        <v>49796</v>
      </c>
      <c r="DT14" s="201">
        <f>DCF!DS6</f>
        <v>49827</v>
      </c>
      <c r="DU14" s="201">
        <f>DCF!DT6</f>
        <v>49857</v>
      </c>
      <c r="DV14" s="201">
        <f>DCF!DU6</f>
        <v>49888</v>
      </c>
      <c r="DW14" s="201">
        <f>DCF!DV6</f>
        <v>49919</v>
      </c>
      <c r="DX14" s="201">
        <f>DCF!DW6</f>
        <v>49949</v>
      </c>
      <c r="DY14" s="201">
        <f>DCF!DX6</f>
        <v>49980</v>
      </c>
      <c r="DZ14" s="201">
        <f>DCF!DY6</f>
        <v>50010</v>
      </c>
      <c r="EA14" s="201">
        <f>DCF!DZ6</f>
        <v>50041</v>
      </c>
      <c r="EB14" s="201">
        <f>DCF!EA6</f>
        <v>50072</v>
      </c>
      <c r="EC14" s="201">
        <f>DCF!EB6</f>
        <v>50100</v>
      </c>
      <c r="ED14" s="201">
        <f>DCF!EC6</f>
        <v>50131</v>
      </c>
      <c r="EE14" s="201">
        <f>DCF!ED6</f>
        <v>50161</v>
      </c>
      <c r="EF14" s="201">
        <f>DCF!EE6</f>
        <v>50192</v>
      </c>
      <c r="EG14" s="201">
        <f>DCF!EF6</f>
        <v>50222</v>
      </c>
      <c r="EH14" s="201">
        <f>DCF!EG6</f>
        <v>50253</v>
      </c>
      <c r="EI14" s="201">
        <f>DCF!EH6</f>
        <v>50284</v>
      </c>
      <c r="EJ14" s="201">
        <f>DCF!EI6</f>
        <v>50314</v>
      </c>
      <c r="EK14" s="201">
        <f>DCF!EJ6</f>
        <v>50345</v>
      </c>
      <c r="EL14" s="201">
        <f>DCF!EK6</f>
        <v>50375</v>
      </c>
      <c r="EM14" s="201">
        <f>DCF!EL6</f>
        <v>50406</v>
      </c>
      <c r="EN14" s="201">
        <f>DCF!EM6</f>
        <v>50437</v>
      </c>
      <c r="EO14" s="201">
        <f>DCF!EN6</f>
        <v>50465</v>
      </c>
      <c r="EP14" s="201">
        <f>DCF!EO6</f>
        <v>50496</v>
      </c>
      <c r="EQ14" s="201">
        <f>DCF!EP6</f>
        <v>50526</v>
      </c>
      <c r="ER14" s="201">
        <f>DCF!EQ6</f>
        <v>50557</v>
      </c>
      <c r="ES14" s="201">
        <f>DCF!ER6</f>
        <v>50587</v>
      </c>
      <c r="ET14" s="201">
        <f>DCF!ES6</f>
        <v>50618</v>
      </c>
    </row>
    <row r="15" spans="2:150" x14ac:dyDescent="0.35">
      <c r="B15" s="197">
        <f>SUM(B16:B35)</f>
        <v>5833314060.8999968</v>
      </c>
      <c r="C15" s="197"/>
      <c r="D15" t="s">
        <v>193</v>
      </c>
      <c r="E15">
        <v>1</v>
      </c>
      <c r="F15" s="198">
        <f>E15+1</f>
        <v>2</v>
      </c>
      <c r="G15" s="198">
        <f>F15+1</f>
        <v>3</v>
      </c>
      <c r="H15" s="198">
        <f t="shared" ref="H15:BS15" si="1">G15+1</f>
        <v>4</v>
      </c>
      <c r="I15" s="198">
        <f t="shared" si="1"/>
        <v>5</v>
      </c>
      <c r="J15" s="198">
        <f t="shared" si="1"/>
        <v>6</v>
      </c>
      <c r="K15" s="198">
        <f t="shared" si="1"/>
        <v>7</v>
      </c>
      <c r="L15" s="198">
        <f t="shared" si="1"/>
        <v>8</v>
      </c>
      <c r="M15" s="198">
        <f t="shared" si="1"/>
        <v>9</v>
      </c>
      <c r="N15" s="198">
        <f t="shared" si="1"/>
        <v>10</v>
      </c>
      <c r="O15" s="198">
        <f t="shared" si="1"/>
        <v>11</v>
      </c>
      <c r="P15" s="198">
        <f t="shared" si="1"/>
        <v>12</v>
      </c>
      <c r="Q15" s="198">
        <f t="shared" si="1"/>
        <v>13</v>
      </c>
      <c r="R15" s="198">
        <f t="shared" si="1"/>
        <v>14</v>
      </c>
      <c r="S15" s="198">
        <f t="shared" si="1"/>
        <v>15</v>
      </c>
      <c r="T15" s="198">
        <f t="shared" si="1"/>
        <v>16</v>
      </c>
      <c r="U15" s="198">
        <f t="shared" si="1"/>
        <v>17</v>
      </c>
      <c r="V15" s="198">
        <f t="shared" si="1"/>
        <v>18</v>
      </c>
      <c r="W15" s="198">
        <f t="shared" si="1"/>
        <v>19</v>
      </c>
      <c r="X15" s="198">
        <f t="shared" si="1"/>
        <v>20</v>
      </c>
      <c r="Y15" s="198">
        <f t="shared" si="1"/>
        <v>21</v>
      </c>
      <c r="Z15" s="198">
        <f t="shared" si="1"/>
        <v>22</v>
      </c>
      <c r="AA15" s="198">
        <f t="shared" si="1"/>
        <v>23</v>
      </c>
      <c r="AB15" s="198">
        <f t="shared" si="1"/>
        <v>24</v>
      </c>
      <c r="AC15" s="198">
        <f t="shared" si="1"/>
        <v>25</v>
      </c>
      <c r="AD15" s="198">
        <f t="shared" si="1"/>
        <v>26</v>
      </c>
      <c r="AE15" s="198">
        <f t="shared" si="1"/>
        <v>27</v>
      </c>
      <c r="AF15" s="198">
        <f t="shared" si="1"/>
        <v>28</v>
      </c>
      <c r="AG15" s="198">
        <f t="shared" si="1"/>
        <v>29</v>
      </c>
      <c r="AH15" s="198">
        <f t="shared" si="1"/>
        <v>30</v>
      </c>
      <c r="AI15" s="198">
        <f t="shared" si="1"/>
        <v>31</v>
      </c>
      <c r="AJ15" s="198">
        <f t="shared" si="1"/>
        <v>32</v>
      </c>
      <c r="AK15" s="198">
        <f t="shared" si="1"/>
        <v>33</v>
      </c>
      <c r="AL15" s="198">
        <f t="shared" si="1"/>
        <v>34</v>
      </c>
      <c r="AM15" s="198">
        <f t="shared" si="1"/>
        <v>35</v>
      </c>
      <c r="AN15" s="198">
        <f t="shared" si="1"/>
        <v>36</v>
      </c>
      <c r="AO15" s="198">
        <f t="shared" si="1"/>
        <v>37</v>
      </c>
      <c r="AP15" s="198">
        <f t="shared" si="1"/>
        <v>38</v>
      </c>
      <c r="AQ15" s="198">
        <f t="shared" si="1"/>
        <v>39</v>
      </c>
      <c r="AR15" s="198">
        <f t="shared" si="1"/>
        <v>40</v>
      </c>
      <c r="AS15" s="198">
        <f t="shared" si="1"/>
        <v>41</v>
      </c>
      <c r="AT15" s="198">
        <f t="shared" si="1"/>
        <v>42</v>
      </c>
      <c r="AU15" s="198">
        <f t="shared" si="1"/>
        <v>43</v>
      </c>
      <c r="AV15" s="198">
        <f t="shared" si="1"/>
        <v>44</v>
      </c>
      <c r="AW15" s="198">
        <f t="shared" si="1"/>
        <v>45</v>
      </c>
      <c r="AX15" s="198">
        <f t="shared" si="1"/>
        <v>46</v>
      </c>
      <c r="AY15" s="198">
        <f t="shared" si="1"/>
        <v>47</v>
      </c>
      <c r="AZ15" s="198">
        <f t="shared" si="1"/>
        <v>48</v>
      </c>
      <c r="BA15" s="198">
        <f t="shared" si="1"/>
        <v>49</v>
      </c>
      <c r="BB15" s="198">
        <f t="shared" si="1"/>
        <v>50</v>
      </c>
      <c r="BC15" s="198">
        <f t="shared" si="1"/>
        <v>51</v>
      </c>
      <c r="BD15" s="198">
        <f t="shared" si="1"/>
        <v>52</v>
      </c>
      <c r="BE15" s="198">
        <f t="shared" si="1"/>
        <v>53</v>
      </c>
      <c r="BF15" s="198">
        <f t="shared" si="1"/>
        <v>54</v>
      </c>
      <c r="BG15" s="198">
        <f t="shared" si="1"/>
        <v>55</v>
      </c>
      <c r="BH15" s="198">
        <f t="shared" si="1"/>
        <v>56</v>
      </c>
      <c r="BI15" s="198">
        <f t="shared" si="1"/>
        <v>57</v>
      </c>
      <c r="BJ15" s="198">
        <f t="shared" si="1"/>
        <v>58</v>
      </c>
      <c r="BK15" s="198">
        <f t="shared" si="1"/>
        <v>59</v>
      </c>
      <c r="BL15" s="198">
        <f t="shared" si="1"/>
        <v>60</v>
      </c>
      <c r="BM15" s="198">
        <f t="shared" si="1"/>
        <v>61</v>
      </c>
      <c r="BN15" s="198">
        <f t="shared" si="1"/>
        <v>62</v>
      </c>
      <c r="BO15" s="198">
        <f t="shared" si="1"/>
        <v>63</v>
      </c>
      <c r="BP15" s="198">
        <f t="shared" si="1"/>
        <v>64</v>
      </c>
      <c r="BQ15" s="198">
        <f t="shared" si="1"/>
        <v>65</v>
      </c>
      <c r="BR15" s="198">
        <f t="shared" si="1"/>
        <v>66</v>
      </c>
      <c r="BS15" s="198">
        <f t="shared" si="1"/>
        <v>67</v>
      </c>
      <c r="BT15" s="198">
        <f t="shared" ref="BT15:EE15" si="2">BS15+1</f>
        <v>68</v>
      </c>
      <c r="BU15" s="198">
        <f t="shared" si="2"/>
        <v>69</v>
      </c>
      <c r="BV15" s="198">
        <f t="shared" si="2"/>
        <v>70</v>
      </c>
      <c r="BW15" s="198">
        <f t="shared" si="2"/>
        <v>71</v>
      </c>
      <c r="BX15" s="198">
        <f t="shared" si="2"/>
        <v>72</v>
      </c>
      <c r="BY15" s="198">
        <f t="shared" si="2"/>
        <v>73</v>
      </c>
      <c r="BZ15" s="198">
        <f t="shared" si="2"/>
        <v>74</v>
      </c>
      <c r="CA15" s="198">
        <f t="shared" si="2"/>
        <v>75</v>
      </c>
      <c r="CB15" s="198">
        <f t="shared" si="2"/>
        <v>76</v>
      </c>
      <c r="CC15" s="198">
        <f t="shared" si="2"/>
        <v>77</v>
      </c>
      <c r="CD15" s="198">
        <f t="shared" si="2"/>
        <v>78</v>
      </c>
      <c r="CE15" s="198">
        <f t="shared" si="2"/>
        <v>79</v>
      </c>
      <c r="CF15" s="198">
        <f t="shared" si="2"/>
        <v>80</v>
      </c>
      <c r="CG15" s="198">
        <f t="shared" si="2"/>
        <v>81</v>
      </c>
      <c r="CH15" s="198">
        <f t="shared" si="2"/>
        <v>82</v>
      </c>
      <c r="CI15" s="198">
        <f t="shared" si="2"/>
        <v>83</v>
      </c>
      <c r="CJ15" s="198">
        <f t="shared" si="2"/>
        <v>84</v>
      </c>
      <c r="CK15" s="198">
        <f t="shared" si="2"/>
        <v>85</v>
      </c>
      <c r="CL15" s="198">
        <f t="shared" si="2"/>
        <v>86</v>
      </c>
      <c r="CM15" s="198">
        <f t="shared" si="2"/>
        <v>87</v>
      </c>
      <c r="CN15" s="198">
        <f t="shared" si="2"/>
        <v>88</v>
      </c>
      <c r="CO15" s="198">
        <f t="shared" si="2"/>
        <v>89</v>
      </c>
      <c r="CP15" s="198">
        <f t="shared" si="2"/>
        <v>90</v>
      </c>
      <c r="CQ15" s="198">
        <f t="shared" si="2"/>
        <v>91</v>
      </c>
      <c r="CR15" s="198">
        <f t="shared" si="2"/>
        <v>92</v>
      </c>
      <c r="CS15" s="198">
        <f t="shared" si="2"/>
        <v>93</v>
      </c>
      <c r="CT15" s="198">
        <f t="shared" si="2"/>
        <v>94</v>
      </c>
      <c r="CU15" s="198">
        <f t="shared" si="2"/>
        <v>95</v>
      </c>
      <c r="CV15" s="198">
        <f t="shared" si="2"/>
        <v>96</v>
      </c>
      <c r="CW15" s="198">
        <f t="shared" si="2"/>
        <v>97</v>
      </c>
      <c r="CX15" s="198">
        <f t="shared" si="2"/>
        <v>98</v>
      </c>
      <c r="CY15" s="198">
        <f t="shared" si="2"/>
        <v>99</v>
      </c>
      <c r="CZ15" s="198">
        <f t="shared" si="2"/>
        <v>100</v>
      </c>
      <c r="DA15" s="198">
        <f t="shared" si="2"/>
        <v>101</v>
      </c>
      <c r="DB15" s="198">
        <f t="shared" si="2"/>
        <v>102</v>
      </c>
      <c r="DC15" s="198">
        <f t="shared" si="2"/>
        <v>103</v>
      </c>
      <c r="DD15" s="198">
        <f t="shared" si="2"/>
        <v>104</v>
      </c>
      <c r="DE15" s="198">
        <f t="shared" si="2"/>
        <v>105</v>
      </c>
      <c r="DF15" s="198">
        <f t="shared" si="2"/>
        <v>106</v>
      </c>
      <c r="DG15" s="198">
        <f t="shared" si="2"/>
        <v>107</v>
      </c>
      <c r="DH15" s="198">
        <f t="shared" si="2"/>
        <v>108</v>
      </c>
      <c r="DI15" s="198">
        <f t="shared" si="2"/>
        <v>109</v>
      </c>
      <c r="DJ15" s="198">
        <f t="shared" si="2"/>
        <v>110</v>
      </c>
      <c r="DK15" s="198">
        <f t="shared" si="2"/>
        <v>111</v>
      </c>
      <c r="DL15" s="198">
        <f t="shared" si="2"/>
        <v>112</v>
      </c>
      <c r="DM15" s="198">
        <f t="shared" si="2"/>
        <v>113</v>
      </c>
      <c r="DN15" s="198">
        <f t="shared" si="2"/>
        <v>114</v>
      </c>
      <c r="DO15" s="198">
        <f t="shared" si="2"/>
        <v>115</v>
      </c>
      <c r="DP15" s="198">
        <f t="shared" si="2"/>
        <v>116</v>
      </c>
      <c r="DQ15" s="198">
        <f t="shared" si="2"/>
        <v>117</v>
      </c>
      <c r="DR15" s="198">
        <f t="shared" si="2"/>
        <v>118</v>
      </c>
      <c r="DS15" s="198">
        <f t="shared" si="2"/>
        <v>119</v>
      </c>
      <c r="DT15" s="198">
        <f t="shared" si="2"/>
        <v>120</v>
      </c>
      <c r="DU15" s="198">
        <f t="shared" si="2"/>
        <v>121</v>
      </c>
      <c r="DV15" s="198">
        <f t="shared" si="2"/>
        <v>122</v>
      </c>
      <c r="DW15" s="198">
        <f t="shared" si="2"/>
        <v>123</v>
      </c>
      <c r="DX15" s="198">
        <f t="shared" si="2"/>
        <v>124</v>
      </c>
      <c r="DY15" s="198">
        <f t="shared" si="2"/>
        <v>125</v>
      </c>
      <c r="DZ15" s="198">
        <f t="shared" si="2"/>
        <v>126</v>
      </c>
      <c r="EA15" s="198">
        <f t="shared" si="2"/>
        <v>127</v>
      </c>
      <c r="EB15" s="198">
        <f t="shared" si="2"/>
        <v>128</v>
      </c>
      <c r="EC15" s="198">
        <f t="shared" si="2"/>
        <v>129</v>
      </c>
      <c r="ED15" s="198">
        <f t="shared" si="2"/>
        <v>130</v>
      </c>
      <c r="EE15" s="198">
        <f t="shared" si="2"/>
        <v>131</v>
      </c>
      <c r="EF15" s="198">
        <f t="shared" ref="EF15:ET15" si="3">EE15+1</f>
        <v>132</v>
      </c>
      <c r="EG15" s="198">
        <f t="shared" si="3"/>
        <v>133</v>
      </c>
      <c r="EH15" s="198">
        <f t="shared" si="3"/>
        <v>134</v>
      </c>
      <c r="EI15" s="198">
        <f t="shared" si="3"/>
        <v>135</v>
      </c>
      <c r="EJ15" s="198">
        <f t="shared" si="3"/>
        <v>136</v>
      </c>
      <c r="EK15" s="198">
        <f t="shared" si="3"/>
        <v>137</v>
      </c>
      <c r="EL15" s="198">
        <f t="shared" si="3"/>
        <v>138</v>
      </c>
      <c r="EM15" s="198">
        <f t="shared" si="3"/>
        <v>139</v>
      </c>
      <c r="EN15" s="198">
        <f t="shared" si="3"/>
        <v>140</v>
      </c>
      <c r="EO15" s="198">
        <f t="shared" si="3"/>
        <v>141</v>
      </c>
      <c r="EP15" s="198">
        <f t="shared" si="3"/>
        <v>142</v>
      </c>
      <c r="EQ15" s="198">
        <f t="shared" si="3"/>
        <v>143</v>
      </c>
      <c r="ER15" s="198">
        <f t="shared" si="3"/>
        <v>144</v>
      </c>
      <c r="ES15" s="198">
        <f t="shared" si="3"/>
        <v>145</v>
      </c>
      <c r="ET15" s="198">
        <f t="shared" si="3"/>
        <v>146</v>
      </c>
    </row>
    <row r="16" spans="2:150" s="197" customFormat="1" x14ac:dyDescent="0.35">
      <c r="B16" s="197">
        <f>SUM(E16:ET16)</f>
        <v>5833314060.8999968</v>
      </c>
      <c r="C16" s="197">
        <f t="shared" ref="C16:C35" si="4">IF(D16&lt;=$D$4,1,0)</f>
        <v>1</v>
      </c>
      <c r="D16" s="197">
        <v>1</v>
      </c>
      <c r="E16" s="197">
        <f>$M$2*$D$6</f>
        <v>233332562.43599999</v>
      </c>
      <c r="F16" s="197">
        <f t="shared" ref="F16:G16" si="5">$M$2*$D$6</f>
        <v>233332562.43599999</v>
      </c>
      <c r="G16" s="197">
        <f t="shared" si="5"/>
        <v>233332562.43599999</v>
      </c>
      <c r="H16" s="197">
        <f>$M$3*$D$6</f>
        <v>291665703.04500002</v>
      </c>
      <c r="I16" s="197">
        <f t="shared" ref="I16:K16" si="6">$M$3*$D$6</f>
        <v>291665703.04500002</v>
      </c>
      <c r="J16" s="197">
        <f t="shared" si="6"/>
        <v>291665703.04500002</v>
      </c>
      <c r="K16" s="197">
        <f t="shared" si="6"/>
        <v>291665703.04500002</v>
      </c>
      <c r="L16" s="197">
        <f>$M$4*$D$6</f>
        <v>349998843.65399998</v>
      </c>
      <c r="M16" s="197">
        <f t="shared" ref="M16:R16" si="7">$M$4*$D$6</f>
        <v>349998843.65399998</v>
      </c>
      <c r="N16" s="197">
        <f t="shared" si="7"/>
        <v>349998843.65399998</v>
      </c>
      <c r="O16" s="197">
        <f t="shared" si="7"/>
        <v>349998843.65399998</v>
      </c>
      <c r="P16" s="197">
        <f t="shared" si="7"/>
        <v>349998843.65399998</v>
      </c>
      <c r="Q16" s="197">
        <f t="shared" si="7"/>
        <v>349998843.65399998</v>
      </c>
      <c r="R16" s="197">
        <f t="shared" si="7"/>
        <v>349998843.65399998</v>
      </c>
      <c r="S16" s="197">
        <f>$M$5*$D$6</f>
        <v>303332331.1667999</v>
      </c>
      <c r="T16" s="197">
        <f t="shared" ref="T16:W16" si="8">$M$5*$D$6</f>
        <v>303332331.1667999</v>
      </c>
      <c r="U16" s="197">
        <f t="shared" si="8"/>
        <v>303332331.1667999</v>
      </c>
      <c r="V16" s="197">
        <f t="shared" si="8"/>
        <v>303332331.1667999</v>
      </c>
      <c r="W16" s="197">
        <f t="shared" si="8"/>
        <v>303332331.1667999</v>
      </c>
      <c r="X16" s="197">
        <v>0</v>
      </c>
      <c r="Z16" s="197">
        <v>0</v>
      </c>
    </row>
    <row r="17" spans="2:127" x14ac:dyDescent="0.35">
      <c r="B17" s="197">
        <f>SUM(H17:ET17)</f>
        <v>0</v>
      </c>
      <c r="C17" s="197">
        <f t="shared" si="4"/>
        <v>0</v>
      </c>
      <c r="D17" s="197">
        <f>D16+C16</f>
        <v>2</v>
      </c>
      <c r="E17" s="197"/>
      <c r="F17" s="197"/>
      <c r="G17" s="197"/>
      <c r="N17" s="197">
        <f>IF($C17=1,H$16,0)</f>
        <v>0</v>
      </c>
      <c r="O17" s="197">
        <f t="shared" ref="O17:AK17" si="9">IF($C$17=1,I16,0)</f>
        <v>0</v>
      </c>
      <c r="P17" s="197">
        <f t="shared" si="9"/>
        <v>0</v>
      </c>
      <c r="Q17" s="197">
        <f t="shared" si="9"/>
        <v>0</v>
      </c>
      <c r="R17" s="197">
        <f t="shared" si="9"/>
        <v>0</v>
      </c>
      <c r="S17" s="197">
        <f t="shared" si="9"/>
        <v>0</v>
      </c>
      <c r="T17" s="197">
        <f t="shared" si="9"/>
        <v>0</v>
      </c>
      <c r="U17" s="197">
        <f t="shared" si="9"/>
        <v>0</v>
      </c>
      <c r="V17" s="197">
        <f t="shared" si="9"/>
        <v>0</v>
      </c>
      <c r="W17" s="197">
        <f t="shared" si="9"/>
        <v>0</v>
      </c>
      <c r="X17" s="197">
        <f t="shared" si="9"/>
        <v>0</v>
      </c>
      <c r="Y17" s="197">
        <f t="shared" si="9"/>
        <v>0</v>
      </c>
      <c r="Z17" s="197">
        <f t="shared" si="9"/>
        <v>0</v>
      </c>
      <c r="AA17" s="197">
        <f t="shared" si="9"/>
        <v>0</v>
      </c>
      <c r="AB17" s="197">
        <f t="shared" si="9"/>
        <v>0</v>
      </c>
      <c r="AC17" s="197">
        <f t="shared" si="9"/>
        <v>0</v>
      </c>
      <c r="AD17" s="197">
        <f t="shared" si="9"/>
        <v>0</v>
      </c>
      <c r="AE17" s="197">
        <f t="shared" si="9"/>
        <v>0</v>
      </c>
      <c r="AF17" s="197">
        <f t="shared" si="9"/>
        <v>0</v>
      </c>
      <c r="AG17" s="197">
        <f t="shared" si="9"/>
        <v>0</v>
      </c>
      <c r="AH17" s="197">
        <f t="shared" si="9"/>
        <v>0</v>
      </c>
      <c r="AI17" s="197">
        <f t="shared" si="9"/>
        <v>0</v>
      </c>
      <c r="AJ17" s="197">
        <f t="shared" si="9"/>
        <v>0</v>
      </c>
      <c r="AK17" s="197">
        <f t="shared" si="9"/>
        <v>0</v>
      </c>
      <c r="AL17" s="197"/>
      <c r="AM17" s="197"/>
      <c r="AN17" s="197"/>
      <c r="AO17" s="197"/>
      <c r="AP17" s="197"/>
      <c r="AQ17" s="197"/>
      <c r="AR17" s="197"/>
      <c r="AS17" s="197"/>
    </row>
    <row r="18" spans="2:127" x14ac:dyDescent="0.35">
      <c r="B18" s="197">
        <f t="shared" ref="B18:B35" si="10">SUM(H18:ET18)</f>
        <v>0</v>
      </c>
      <c r="C18" s="197">
        <f t="shared" si="4"/>
        <v>0</v>
      </c>
      <c r="D18">
        <v>3</v>
      </c>
      <c r="T18" s="197">
        <f t="shared" ref="T18:AQ18" si="11">IF($C18=1,H$16,0)</f>
        <v>0</v>
      </c>
      <c r="U18" s="197">
        <f t="shared" si="11"/>
        <v>0</v>
      </c>
      <c r="V18" s="197">
        <f t="shared" si="11"/>
        <v>0</v>
      </c>
      <c r="W18" s="197">
        <f t="shared" si="11"/>
        <v>0</v>
      </c>
      <c r="X18" s="197">
        <f t="shared" si="11"/>
        <v>0</v>
      </c>
      <c r="Y18" s="197">
        <f t="shared" si="11"/>
        <v>0</v>
      </c>
      <c r="Z18" s="197">
        <f t="shared" si="11"/>
        <v>0</v>
      </c>
      <c r="AA18" s="197">
        <f t="shared" si="11"/>
        <v>0</v>
      </c>
      <c r="AB18" s="197">
        <f t="shared" si="11"/>
        <v>0</v>
      </c>
      <c r="AC18" s="197">
        <f t="shared" si="11"/>
        <v>0</v>
      </c>
      <c r="AD18" s="197">
        <f t="shared" si="11"/>
        <v>0</v>
      </c>
      <c r="AE18" s="197">
        <f t="shared" si="11"/>
        <v>0</v>
      </c>
      <c r="AF18" s="197">
        <f t="shared" si="11"/>
        <v>0</v>
      </c>
      <c r="AG18" s="197">
        <f t="shared" si="11"/>
        <v>0</v>
      </c>
      <c r="AH18" s="197">
        <f t="shared" si="11"/>
        <v>0</v>
      </c>
      <c r="AI18" s="197">
        <f t="shared" si="11"/>
        <v>0</v>
      </c>
      <c r="AJ18" s="197">
        <f t="shared" si="11"/>
        <v>0</v>
      </c>
      <c r="AK18" s="197">
        <f t="shared" si="11"/>
        <v>0</v>
      </c>
      <c r="AL18" s="197">
        <f t="shared" si="11"/>
        <v>0</v>
      </c>
      <c r="AM18" s="197">
        <f t="shared" si="11"/>
        <v>0</v>
      </c>
      <c r="AN18" s="197">
        <f t="shared" si="11"/>
        <v>0</v>
      </c>
      <c r="AO18" s="197">
        <f t="shared" si="11"/>
        <v>0</v>
      </c>
      <c r="AP18" s="197">
        <f t="shared" si="11"/>
        <v>0</v>
      </c>
      <c r="AQ18" s="197">
        <f t="shared" si="11"/>
        <v>0</v>
      </c>
      <c r="AR18" s="197"/>
      <c r="AS18" s="197"/>
    </row>
    <row r="19" spans="2:127" x14ac:dyDescent="0.35">
      <c r="B19" s="197">
        <f t="shared" si="10"/>
        <v>0</v>
      </c>
      <c r="C19" s="197">
        <f t="shared" si="4"/>
        <v>0</v>
      </c>
      <c r="D19">
        <v>4</v>
      </c>
      <c r="Z19" s="197">
        <f t="shared" ref="Z19:AW19" si="12">IF($C19=1,H$16,0)</f>
        <v>0</v>
      </c>
      <c r="AA19" s="197">
        <f t="shared" si="12"/>
        <v>0</v>
      </c>
      <c r="AB19" s="197">
        <f t="shared" si="12"/>
        <v>0</v>
      </c>
      <c r="AC19" s="197">
        <f t="shared" si="12"/>
        <v>0</v>
      </c>
      <c r="AD19" s="197">
        <f t="shared" si="12"/>
        <v>0</v>
      </c>
      <c r="AE19" s="197">
        <f t="shared" si="12"/>
        <v>0</v>
      </c>
      <c r="AF19" s="197">
        <f t="shared" si="12"/>
        <v>0</v>
      </c>
      <c r="AG19" s="197">
        <f t="shared" si="12"/>
        <v>0</v>
      </c>
      <c r="AH19" s="197">
        <f t="shared" si="12"/>
        <v>0</v>
      </c>
      <c r="AI19" s="197">
        <f t="shared" si="12"/>
        <v>0</v>
      </c>
      <c r="AJ19" s="197">
        <f t="shared" si="12"/>
        <v>0</v>
      </c>
      <c r="AK19" s="197">
        <f t="shared" si="12"/>
        <v>0</v>
      </c>
      <c r="AL19" s="197">
        <f t="shared" si="12"/>
        <v>0</v>
      </c>
      <c r="AM19" s="197">
        <f t="shared" si="12"/>
        <v>0</v>
      </c>
      <c r="AN19" s="197">
        <f t="shared" si="12"/>
        <v>0</v>
      </c>
      <c r="AO19" s="197">
        <f t="shared" si="12"/>
        <v>0</v>
      </c>
      <c r="AP19" s="197">
        <f t="shared" si="12"/>
        <v>0</v>
      </c>
      <c r="AQ19" s="197">
        <f t="shared" si="12"/>
        <v>0</v>
      </c>
      <c r="AR19" s="197">
        <f t="shared" si="12"/>
        <v>0</v>
      </c>
      <c r="AS19" s="197">
        <f t="shared" si="12"/>
        <v>0</v>
      </c>
      <c r="AT19" s="197">
        <f t="shared" si="12"/>
        <v>0</v>
      </c>
      <c r="AU19" s="197">
        <f t="shared" si="12"/>
        <v>0</v>
      </c>
      <c r="AV19" s="197">
        <f t="shared" si="12"/>
        <v>0</v>
      </c>
      <c r="AW19" s="197">
        <f t="shared" si="12"/>
        <v>0</v>
      </c>
    </row>
    <row r="20" spans="2:127" x14ac:dyDescent="0.35">
      <c r="B20" s="197">
        <f t="shared" si="10"/>
        <v>0</v>
      </c>
      <c r="C20" s="197">
        <f t="shared" si="4"/>
        <v>0</v>
      </c>
      <c r="D20">
        <v>5</v>
      </c>
      <c r="AF20" s="197">
        <f t="shared" ref="AF20:BC20" si="13">IF($C20=1,H$16,0)</f>
        <v>0</v>
      </c>
      <c r="AG20" s="197">
        <f t="shared" si="13"/>
        <v>0</v>
      </c>
      <c r="AH20" s="197">
        <f t="shared" si="13"/>
        <v>0</v>
      </c>
      <c r="AI20" s="197">
        <f t="shared" si="13"/>
        <v>0</v>
      </c>
      <c r="AJ20" s="197">
        <f t="shared" si="13"/>
        <v>0</v>
      </c>
      <c r="AK20" s="197">
        <f t="shared" si="13"/>
        <v>0</v>
      </c>
      <c r="AL20" s="197">
        <f t="shared" si="13"/>
        <v>0</v>
      </c>
      <c r="AM20" s="197">
        <f t="shared" si="13"/>
        <v>0</v>
      </c>
      <c r="AN20" s="197">
        <f t="shared" si="13"/>
        <v>0</v>
      </c>
      <c r="AO20" s="197">
        <f t="shared" si="13"/>
        <v>0</v>
      </c>
      <c r="AP20" s="197">
        <f t="shared" si="13"/>
        <v>0</v>
      </c>
      <c r="AQ20" s="197">
        <f t="shared" si="13"/>
        <v>0</v>
      </c>
      <c r="AR20" s="197">
        <f t="shared" si="13"/>
        <v>0</v>
      </c>
      <c r="AS20" s="197">
        <f t="shared" si="13"/>
        <v>0</v>
      </c>
      <c r="AT20" s="197">
        <f t="shared" si="13"/>
        <v>0</v>
      </c>
      <c r="AU20" s="197">
        <f t="shared" si="13"/>
        <v>0</v>
      </c>
      <c r="AV20" s="197">
        <f t="shared" si="13"/>
        <v>0</v>
      </c>
      <c r="AW20" s="197">
        <f t="shared" si="13"/>
        <v>0</v>
      </c>
      <c r="AX20" s="197">
        <f t="shared" si="13"/>
        <v>0</v>
      </c>
      <c r="AY20" s="197">
        <f t="shared" si="13"/>
        <v>0</v>
      </c>
      <c r="AZ20" s="197">
        <f t="shared" si="13"/>
        <v>0</v>
      </c>
      <c r="BA20" s="197">
        <f t="shared" si="13"/>
        <v>0</v>
      </c>
      <c r="BB20" s="197">
        <f t="shared" si="13"/>
        <v>0</v>
      </c>
      <c r="BC20" s="197">
        <f t="shared" si="13"/>
        <v>0</v>
      </c>
    </row>
    <row r="21" spans="2:127" x14ac:dyDescent="0.35">
      <c r="B21" s="197">
        <f t="shared" si="10"/>
        <v>0</v>
      </c>
      <c r="C21" s="197">
        <f t="shared" si="4"/>
        <v>0</v>
      </c>
      <c r="D21">
        <v>6</v>
      </c>
      <c r="AF21" s="197"/>
      <c r="AG21" s="197"/>
      <c r="AH21" s="197"/>
      <c r="AI21" s="197"/>
      <c r="AJ21" s="197"/>
      <c r="AK21" s="197"/>
      <c r="AL21" s="197">
        <f t="shared" ref="AL21:BI21" si="14">IF($C21=1,H$16,0)</f>
        <v>0</v>
      </c>
      <c r="AM21" s="197">
        <f t="shared" si="14"/>
        <v>0</v>
      </c>
      <c r="AN21" s="197">
        <f t="shared" si="14"/>
        <v>0</v>
      </c>
      <c r="AO21" s="197">
        <f t="shared" si="14"/>
        <v>0</v>
      </c>
      <c r="AP21" s="197">
        <f t="shared" si="14"/>
        <v>0</v>
      </c>
      <c r="AQ21" s="197">
        <f t="shared" si="14"/>
        <v>0</v>
      </c>
      <c r="AR21" s="197">
        <f t="shared" si="14"/>
        <v>0</v>
      </c>
      <c r="AS21" s="197">
        <f t="shared" si="14"/>
        <v>0</v>
      </c>
      <c r="AT21" s="197">
        <f t="shared" si="14"/>
        <v>0</v>
      </c>
      <c r="AU21" s="197">
        <f t="shared" si="14"/>
        <v>0</v>
      </c>
      <c r="AV21" s="197">
        <f t="shared" si="14"/>
        <v>0</v>
      </c>
      <c r="AW21" s="197">
        <f t="shared" si="14"/>
        <v>0</v>
      </c>
      <c r="AX21" s="197">
        <f t="shared" si="14"/>
        <v>0</v>
      </c>
      <c r="AY21" s="197">
        <f t="shared" si="14"/>
        <v>0</v>
      </c>
      <c r="AZ21" s="197">
        <f t="shared" si="14"/>
        <v>0</v>
      </c>
      <c r="BA21" s="197">
        <f t="shared" si="14"/>
        <v>0</v>
      </c>
      <c r="BB21" s="197">
        <f t="shared" si="14"/>
        <v>0</v>
      </c>
      <c r="BC21" s="197">
        <f t="shared" si="14"/>
        <v>0</v>
      </c>
      <c r="BD21" s="197">
        <f t="shared" si="14"/>
        <v>0</v>
      </c>
      <c r="BE21" s="197">
        <f t="shared" si="14"/>
        <v>0</v>
      </c>
      <c r="BF21" s="197">
        <f t="shared" si="14"/>
        <v>0</v>
      </c>
      <c r="BG21" s="197">
        <f t="shared" si="14"/>
        <v>0</v>
      </c>
      <c r="BH21" s="197">
        <f t="shared" si="14"/>
        <v>0</v>
      </c>
      <c r="BI21" s="197">
        <f t="shared" si="14"/>
        <v>0</v>
      </c>
    </row>
    <row r="22" spans="2:127" x14ac:dyDescent="0.35">
      <c r="B22" s="197">
        <f t="shared" si="10"/>
        <v>0</v>
      </c>
      <c r="C22" s="197">
        <f t="shared" si="4"/>
        <v>0</v>
      </c>
      <c r="D22">
        <v>7</v>
      </c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>
        <f t="shared" ref="AR22:BO22" si="15">IF($C22=1,H$16,0)</f>
        <v>0</v>
      </c>
      <c r="AS22" s="197">
        <f t="shared" si="15"/>
        <v>0</v>
      </c>
      <c r="AT22" s="197">
        <f t="shared" si="15"/>
        <v>0</v>
      </c>
      <c r="AU22" s="197">
        <f t="shared" si="15"/>
        <v>0</v>
      </c>
      <c r="AV22" s="197">
        <f t="shared" si="15"/>
        <v>0</v>
      </c>
      <c r="AW22" s="197">
        <f t="shared" si="15"/>
        <v>0</v>
      </c>
      <c r="AX22" s="197">
        <f t="shared" si="15"/>
        <v>0</v>
      </c>
      <c r="AY22" s="197">
        <f t="shared" si="15"/>
        <v>0</v>
      </c>
      <c r="AZ22" s="197">
        <f t="shared" si="15"/>
        <v>0</v>
      </c>
      <c r="BA22" s="197">
        <f t="shared" si="15"/>
        <v>0</v>
      </c>
      <c r="BB22" s="197">
        <f t="shared" si="15"/>
        <v>0</v>
      </c>
      <c r="BC22" s="197">
        <f t="shared" si="15"/>
        <v>0</v>
      </c>
      <c r="BD22" s="197">
        <f t="shared" si="15"/>
        <v>0</v>
      </c>
      <c r="BE22" s="197">
        <f t="shared" si="15"/>
        <v>0</v>
      </c>
      <c r="BF22" s="197">
        <f t="shared" si="15"/>
        <v>0</v>
      </c>
      <c r="BG22" s="197">
        <f t="shared" si="15"/>
        <v>0</v>
      </c>
      <c r="BH22" s="197">
        <f t="shared" si="15"/>
        <v>0</v>
      </c>
      <c r="BI22" s="197">
        <f t="shared" si="15"/>
        <v>0</v>
      </c>
      <c r="BJ22" s="197">
        <f t="shared" si="15"/>
        <v>0</v>
      </c>
      <c r="BK22" s="197">
        <f t="shared" si="15"/>
        <v>0</v>
      </c>
      <c r="BL22" s="197">
        <f t="shared" si="15"/>
        <v>0</v>
      </c>
      <c r="BM22" s="197">
        <f t="shared" si="15"/>
        <v>0</v>
      </c>
      <c r="BN22" s="197">
        <f t="shared" si="15"/>
        <v>0</v>
      </c>
      <c r="BO22" s="197">
        <f t="shared" si="15"/>
        <v>0</v>
      </c>
    </row>
    <row r="23" spans="2:127" x14ac:dyDescent="0.35">
      <c r="B23" s="197">
        <f t="shared" si="10"/>
        <v>0</v>
      </c>
      <c r="C23" s="197">
        <f t="shared" si="4"/>
        <v>0</v>
      </c>
      <c r="D23">
        <v>8</v>
      </c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X23" s="197">
        <f t="shared" ref="AX23:BU23" si="16">IF($C23=1,H$16,0)</f>
        <v>0</v>
      </c>
      <c r="AY23" s="197">
        <f t="shared" si="16"/>
        <v>0</v>
      </c>
      <c r="AZ23" s="197">
        <f t="shared" si="16"/>
        <v>0</v>
      </c>
      <c r="BA23" s="197">
        <f t="shared" si="16"/>
        <v>0</v>
      </c>
      <c r="BB23" s="197">
        <f t="shared" si="16"/>
        <v>0</v>
      </c>
      <c r="BC23" s="197">
        <f t="shared" si="16"/>
        <v>0</v>
      </c>
      <c r="BD23" s="197">
        <f t="shared" si="16"/>
        <v>0</v>
      </c>
      <c r="BE23" s="197">
        <f t="shared" si="16"/>
        <v>0</v>
      </c>
      <c r="BF23" s="197">
        <f t="shared" si="16"/>
        <v>0</v>
      </c>
      <c r="BG23" s="197">
        <f t="shared" si="16"/>
        <v>0</v>
      </c>
      <c r="BH23" s="197">
        <f t="shared" si="16"/>
        <v>0</v>
      </c>
      <c r="BI23" s="197">
        <f t="shared" si="16"/>
        <v>0</v>
      </c>
      <c r="BJ23" s="197">
        <f t="shared" si="16"/>
        <v>0</v>
      </c>
      <c r="BK23" s="197">
        <f t="shared" si="16"/>
        <v>0</v>
      </c>
      <c r="BL23" s="197">
        <f t="shared" si="16"/>
        <v>0</v>
      </c>
      <c r="BM23" s="197">
        <f t="shared" si="16"/>
        <v>0</v>
      </c>
      <c r="BN23" s="197">
        <f t="shared" si="16"/>
        <v>0</v>
      </c>
      <c r="BO23" s="197">
        <f t="shared" si="16"/>
        <v>0</v>
      </c>
      <c r="BP23" s="197">
        <f t="shared" si="16"/>
        <v>0</v>
      </c>
      <c r="BQ23" s="197">
        <f t="shared" si="16"/>
        <v>0</v>
      </c>
      <c r="BR23" s="197">
        <f t="shared" si="16"/>
        <v>0</v>
      </c>
      <c r="BS23" s="197">
        <f t="shared" si="16"/>
        <v>0</v>
      </c>
      <c r="BT23" s="197">
        <f t="shared" si="16"/>
        <v>0</v>
      </c>
      <c r="BU23" s="197">
        <f t="shared" si="16"/>
        <v>0</v>
      </c>
    </row>
    <row r="24" spans="2:127" x14ac:dyDescent="0.35">
      <c r="B24" s="197">
        <f>SUM(AF24:ET24)</f>
        <v>0</v>
      </c>
      <c r="C24" s="197">
        <f t="shared" si="4"/>
        <v>0</v>
      </c>
      <c r="D24">
        <v>9</v>
      </c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BD24" s="197">
        <f t="shared" ref="BD24:CA24" si="17">IF($C24=1,H$16,0)</f>
        <v>0</v>
      </c>
      <c r="BE24" s="197">
        <f t="shared" si="17"/>
        <v>0</v>
      </c>
      <c r="BF24" s="197">
        <f t="shared" si="17"/>
        <v>0</v>
      </c>
      <c r="BG24" s="197">
        <f t="shared" si="17"/>
        <v>0</v>
      </c>
      <c r="BH24" s="197">
        <f t="shared" si="17"/>
        <v>0</v>
      </c>
      <c r="BI24" s="197">
        <f t="shared" si="17"/>
        <v>0</v>
      </c>
      <c r="BJ24" s="197">
        <f t="shared" si="17"/>
        <v>0</v>
      </c>
      <c r="BK24" s="197">
        <f t="shared" si="17"/>
        <v>0</v>
      </c>
      <c r="BL24" s="197">
        <f t="shared" si="17"/>
        <v>0</v>
      </c>
      <c r="BM24" s="197">
        <f t="shared" si="17"/>
        <v>0</v>
      </c>
      <c r="BN24" s="197">
        <f t="shared" si="17"/>
        <v>0</v>
      </c>
      <c r="BO24" s="197">
        <f t="shared" si="17"/>
        <v>0</v>
      </c>
      <c r="BP24" s="197">
        <f t="shared" si="17"/>
        <v>0</v>
      </c>
      <c r="BQ24" s="197">
        <f t="shared" si="17"/>
        <v>0</v>
      </c>
      <c r="BR24" s="197">
        <f t="shared" si="17"/>
        <v>0</v>
      </c>
      <c r="BS24" s="197">
        <f t="shared" si="17"/>
        <v>0</v>
      </c>
      <c r="BT24" s="197">
        <f t="shared" si="17"/>
        <v>0</v>
      </c>
      <c r="BU24" s="197">
        <f t="shared" si="17"/>
        <v>0</v>
      </c>
      <c r="BV24" s="197">
        <f t="shared" si="17"/>
        <v>0</v>
      </c>
      <c r="BW24" s="197">
        <f t="shared" si="17"/>
        <v>0</v>
      </c>
      <c r="BX24" s="197">
        <f t="shared" si="17"/>
        <v>0</v>
      </c>
      <c r="BY24" s="197">
        <f t="shared" si="17"/>
        <v>0</v>
      </c>
      <c r="BZ24" s="197">
        <f t="shared" si="17"/>
        <v>0</v>
      </c>
      <c r="CA24" s="197">
        <f t="shared" si="17"/>
        <v>0</v>
      </c>
    </row>
    <row r="25" spans="2:127" x14ac:dyDescent="0.35">
      <c r="B25" s="197">
        <f>SUM(AF25:ET25)</f>
        <v>0</v>
      </c>
      <c r="C25" s="197">
        <f t="shared" si="4"/>
        <v>0</v>
      </c>
      <c r="D25">
        <v>10</v>
      </c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BJ25" s="197">
        <f t="shared" ref="BJ25:CG25" si="18">IF($C25=1,H$16,0)</f>
        <v>0</v>
      </c>
      <c r="BK25" s="197">
        <f t="shared" si="18"/>
        <v>0</v>
      </c>
      <c r="BL25" s="197">
        <f t="shared" si="18"/>
        <v>0</v>
      </c>
      <c r="BM25" s="197">
        <f t="shared" si="18"/>
        <v>0</v>
      </c>
      <c r="BN25" s="197">
        <f t="shared" si="18"/>
        <v>0</v>
      </c>
      <c r="BO25" s="197">
        <f t="shared" si="18"/>
        <v>0</v>
      </c>
      <c r="BP25" s="197">
        <f t="shared" si="18"/>
        <v>0</v>
      </c>
      <c r="BQ25" s="197">
        <f t="shared" si="18"/>
        <v>0</v>
      </c>
      <c r="BR25" s="197">
        <f t="shared" si="18"/>
        <v>0</v>
      </c>
      <c r="BS25" s="197">
        <f t="shared" si="18"/>
        <v>0</v>
      </c>
      <c r="BT25" s="197">
        <f t="shared" si="18"/>
        <v>0</v>
      </c>
      <c r="BU25" s="197">
        <f t="shared" si="18"/>
        <v>0</v>
      </c>
      <c r="BV25" s="197">
        <f t="shared" si="18"/>
        <v>0</v>
      </c>
      <c r="BW25" s="197">
        <f t="shared" si="18"/>
        <v>0</v>
      </c>
      <c r="BX25" s="197">
        <f t="shared" si="18"/>
        <v>0</v>
      </c>
      <c r="BY25" s="197">
        <f t="shared" si="18"/>
        <v>0</v>
      </c>
      <c r="BZ25" s="197">
        <f t="shared" si="18"/>
        <v>0</v>
      </c>
      <c r="CA25" s="197">
        <f t="shared" si="18"/>
        <v>0</v>
      </c>
      <c r="CB25" s="197">
        <f t="shared" si="18"/>
        <v>0</v>
      </c>
      <c r="CC25" s="197">
        <f t="shared" si="18"/>
        <v>0</v>
      </c>
      <c r="CD25" s="197">
        <f t="shared" si="18"/>
        <v>0</v>
      </c>
      <c r="CE25" s="197">
        <f t="shared" si="18"/>
        <v>0</v>
      </c>
      <c r="CF25" s="197">
        <f t="shared" si="18"/>
        <v>0</v>
      </c>
      <c r="CG25" s="197">
        <f t="shared" si="18"/>
        <v>0</v>
      </c>
    </row>
    <row r="26" spans="2:127" x14ac:dyDescent="0.35">
      <c r="B26" s="197">
        <f>SUM(AF26:ET26)</f>
        <v>0</v>
      </c>
      <c r="C26" s="197">
        <f t="shared" si="4"/>
        <v>0</v>
      </c>
      <c r="D26">
        <v>11</v>
      </c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BP26" s="197">
        <f t="shared" ref="BP26:CM29" si="19">IF($C26=1,H$16,0)</f>
        <v>0</v>
      </c>
      <c r="BQ26" s="197">
        <f t="shared" si="19"/>
        <v>0</v>
      </c>
      <c r="BR26" s="197">
        <f t="shared" si="19"/>
        <v>0</v>
      </c>
      <c r="BS26" s="197">
        <f t="shared" si="19"/>
        <v>0</v>
      </c>
      <c r="BT26" s="197">
        <f t="shared" si="19"/>
        <v>0</v>
      </c>
      <c r="BU26" s="197">
        <f t="shared" si="19"/>
        <v>0</v>
      </c>
      <c r="BV26" s="197">
        <f t="shared" si="19"/>
        <v>0</v>
      </c>
      <c r="BW26" s="197">
        <f t="shared" si="19"/>
        <v>0</v>
      </c>
      <c r="BX26" s="197">
        <f t="shared" si="19"/>
        <v>0</v>
      </c>
      <c r="BY26" s="197">
        <f t="shared" si="19"/>
        <v>0</v>
      </c>
      <c r="BZ26" s="197">
        <f t="shared" si="19"/>
        <v>0</v>
      </c>
      <c r="CA26" s="197">
        <f t="shared" si="19"/>
        <v>0</v>
      </c>
      <c r="CB26" s="197">
        <f t="shared" si="19"/>
        <v>0</v>
      </c>
      <c r="CC26" s="197">
        <f t="shared" si="19"/>
        <v>0</v>
      </c>
      <c r="CD26" s="197">
        <f t="shared" si="19"/>
        <v>0</v>
      </c>
      <c r="CE26" s="197">
        <f t="shared" si="19"/>
        <v>0</v>
      </c>
      <c r="CF26" s="197">
        <f t="shared" si="19"/>
        <v>0</v>
      </c>
      <c r="CG26" s="197">
        <f t="shared" si="19"/>
        <v>0</v>
      </c>
      <c r="CH26" s="197">
        <f t="shared" si="19"/>
        <v>0</v>
      </c>
      <c r="CI26" s="197">
        <f t="shared" si="19"/>
        <v>0</v>
      </c>
      <c r="CJ26" s="197">
        <f t="shared" si="19"/>
        <v>0</v>
      </c>
      <c r="CK26" s="197">
        <f t="shared" si="19"/>
        <v>0</v>
      </c>
      <c r="CL26" s="197">
        <f t="shared" si="19"/>
        <v>0</v>
      </c>
      <c r="CM26" s="197">
        <f t="shared" si="19"/>
        <v>0</v>
      </c>
    </row>
    <row r="27" spans="2:127" x14ac:dyDescent="0.35">
      <c r="B27" s="197">
        <f t="shared" si="10"/>
        <v>0</v>
      </c>
      <c r="C27" s="197">
        <f t="shared" si="4"/>
        <v>0</v>
      </c>
      <c r="D27">
        <v>12</v>
      </c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BV27" s="197">
        <f t="shared" si="19"/>
        <v>0</v>
      </c>
      <c r="BW27" s="197">
        <f t="shared" si="19"/>
        <v>0</v>
      </c>
      <c r="BX27" s="197">
        <f t="shared" si="19"/>
        <v>0</v>
      </c>
      <c r="BY27" s="197">
        <f t="shared" si="19"/>
        <v>0</v>
      </c>
      <c r="BZ27" s="197">
        <f t="shared" si="19"/>
        <v>0</v>
      </c>
      <c r="CA27" s="197">
        <f t="shared" si="19"/>
        <v>0</v>
      </c>
      <c r="CB27" s="197">
        <f t="shared" si="19"/>
        <v>0</v>
      </c>
      <c r="CC27" s="197">
        <f t="shared" si="19"/>
        <v>0</v>
      </c>
      <c r="CD27" s="197">
        <f t="shared" si="19"/>
        <v>0</v>
      </c>
      <c r="CE27" s="197">
        <f t="shared" si="19"/>
        <v>0</v>
      </c>
      <c r="CF27" s="197">
        <f t="shared" si="19"/>
        <v>0</v>
      </c>
      <c r="CG27" s="197">
        <f t="shared" si="19"/>
        <v>0</v>
      </c>
      <c r="CH27" s="197">
        <f t="shared" si="19"/>
        <v>0</v>
      </c>
      <c r="CI27" s="197">
        <f t="shared" si="19"/>
        <v>0</v>
      </c>
      <c r="CJ27" s="197">
        <f t="shared" si="19"/>
        <v>0</v>
      </c>
      <c r="CK27" s="197">
        <f t="shared" si="19"/>
        <v>0</v>
      </c>
      <c r="CL27" s="197">
        <f t="shared" si="19"/>
        <v>0</v>
      </c>
      <c r="CM27" s="197">
        <f t="shared" si="19"/>
        <v>0</v>
      </c>
      <c r="CN27" s="197">
        <f t="shared" ref="CN27:DC32" si="20">IF($C27=1,AF$16,0)</f>
        <v>0</v>
      </c>
      <c r="CO27" s="197">
        <f t="shared" si="20"/>
        <v>0</v>
      </c>
      <c r="CP27" s="197">
        <f t="shared" si="20"/>
        <v>0</v>
      </c>
      <c r="CQ27" s="197">
        <f t="shared" si="20"/>
        <v>0</v>
      </c>
      <c r="CR27" s="197">
        <f t="shared" si="20"/>
        <v>0</v>
      </c>
      <c r="CS27" s="197">
        <f t="shared" si="20"/>
        <v>0</v>
      </c>
    </row>
    <row r="28" spans="2:127" x14ac:dyDescent="0.35">
      <c r="B28" s="197">
        <f t="shared" si="10"/>
        <v>0</v>
      </c>
      <c r="C28" s="197">
        <f t="shared" si="4"/>
        <v>0</v>
      </c>
      <c r="D28">
        <v>13</v>
      </c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CB28" s="197">
        <f t="shared" si="19"/>
        <v>0</v>
      </c>
      <c r="CC28" s="197">
        <f t="shared" si="19"/>
        <v>0</v>
      </c>
      <c r="CD28" s="197">
        <f t="shared" si="19"/>
        <v>0</v>
      </c>
      <c r="CE28" s="197">
        <f t="shared" si="19"/>
        <v>0</v>
      </c>
      <c r="CF28" s="197">
        <f t="shared" si="19"/>
        <v>0</v>
      </c>
      <c r="CG28" s="197">
        <f t="shared" si="19"/>
        <v>0</v>
      </c>
      <c r="CH28" s="197">
        <f t="shared" si="19"/>
        <v>0</v>
      </c>
      <c r="CI28" s="197">
        <f t="shared" si="19"/>
        <v>0</v>
      </c>
      <c r="CJ28" s="197">
        <f t="shared" si="19"/>
        <v>0</v>
      </c>
      <c r="CK28" s="197">
        <f t="shared" si="19"/>
        <v>0</v>
      </c>
      <c r="CL28" s="197">
        <f t="shared" si="19"/>
        <v>0</v>
      </c>
      <c r="CM28" s="197">
        <f t="shared" si="19"/>
        <v>0</v>
      </c>
      <c r="CN28" s="197">
        <f t="shared" si="20"/>
        <v>0</v>
      </c>
      <c r="CO28" s="197">
        <f t="shared" si="20"/>
        <v>0</v>
      </c>
      <c r="CP28" s="197">
        <f t="shared" si="20"/>
        <v>0</v>
      </c>
      <c r="CQ28" s="197">
        <f t="shared" si="20"/>
        <v>0</v>
      </c>
      <c r="CR28" s="197">
        <f t="shared" si="20"/>
        <v>0</v>
      </c>
      <c r="CS28" s="197">
        <f t="shared" si="20"/>
        <v>0</v>
      </c>
      <c r="CT28" s="197">
        <f t="shared" si="20"/>
        <v>0</v>
      </c>
      <c r="CU28" s="197">
        <f t="shared" si="20"/>
        <v>0</v>
      </c>
      <c r="CV28" s="197">
        <f t="shared" si="20"/>
        <v>0</v>
      </c>
      <c r="CW28" s="197">
        <f t="shared" si="20"/>
        <v>0</v>
      </c>
      <c r="CX28" s="197">
        <f t="shared" si="20"/>
        <v>0</v>
      </c>
      <c r="CY28" s="197">
        <f t="shared" si="20"/>
        <v>0</v>
      </c>
    </row>
    <row r="29" spans="2:127" x14ac:dyDescent="0.35">
      <c r="B29" s="197">
        <f t="shared" si="10"/>
        <v>0</v>
      </c>
      <c r="C29" s="197">
        <f t="shared" si="4"/>
        <v>0</v>
      </c>
      <c r="D29">
        <v>14</v>
      </c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CH29" s="197">
        <f t="shared" si="19"/>
        <v>0</v>
      </c>
      <c r="CI29" s="197">
        <f t="shared" si="19"/>
        <v>0</v>
      </c>
      <c r="CJ29" s="197">
        <f t="shared" si="19"/>
        <v>0</v>
      </c>
      <c r="CK29" s="197">
        <f t="shared" si="19"/>
        <v>0</v>
      </c>
      <c r="CL29" s="197">
        <f t="shared" si="19"/>
        <v>0</v>
      </c>
      <c r="CM29" s="197">
        <f t="shared" si="19"/>
        <v>0</v>
      </c>
      <c r="CN29" s="197">
        <f t="shared" si="20"/>
        <v>0</v>
      </c>
      <c r="CO29" s="197">
        <f t="shared" si="20"/>
        <v>0</v>
      </c>
      <c r="CP29" s="197">
        <f t="shared" si="20"/>
        <v>0</v>
      </c>
      <c r="CQ29" s="197">
        <f t="shared" si="20"/>
        <v>0</v>
      </c>
      <c r="CR29" s="197">
        <f t="shared" si="20"/>
        <v>0</v>
      </c>
      <c r="CS29" s="197">
        <f t="shared" si="20"/>
        <v>0</v>
      </c>
      <c r="CT29" s="197">
        <f t="shared" si="20"/>
        <v>0</v>
      </c>
      <c r="CU29" s="197">
        <f t="shared" si="20"/>
        <v>0</v>
      </c>
      <c r="CV29" s="197">
        <f t="shared" si="20"/>
        <v>0</v>
      </c>
      <c r="CW29" s="197">
        <f t="shared" si="20"/>
        <v>0</v>
      </c>
      <c r="CX29" s="197">
        <f t="shared" si="20"/>
        <v>0</v>
      </c>
      <c r="CY29" s="197">
        <f t="shared" si="20"/>
        <v>0</v>
      </c>
      <c r="CZ29" s="197">
        <f t="shared" si="20"/>
        <v>0</v>
      </c>
      <c r="DA29" s="197">
        <f t="shared" si="20"/>
        <v>0</v>
      </c>
      <c r="DB29" s="197">
        <f t="shared" si="20"/>
        <v>0</v>
      </c>
      <c r="DC29" s="197">
        <f t="shared" si="20"/>
        <v>0</v>
      </c>
      <c r="DD29" s="197">
        <f t="shared" ref="DD29:DS35" si="21">IF($C29=1,AV$16,0)</f>
        <v>0</v>
      </c>
      <c r="DE29" s="197">
        <f t="shared" si="21"/>
        <v>0</v>
      </c>
    </row>
    <row r="30" spans="2:127" x14ac:dyDescent="0.35">
      <c r="B30" s="197">
        <f t="shared" si="10"/>
        <v>0</v>
      </c>
      <c r="C30" s="197">
        <f t="shared" si="4"/>
        <v>0</v>
      </c>
      <c r="D30">
        <v>15</v>
      </c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CN30" s="197">
        <f t="shared" si="20"/>
        <v>0</v>
      </c>
      <c r="CO30" s="197">
        <f t="shared" si="20"/>
        <v>0</v>
      </c>
      <c r="CP30" s="197">
        <f t="shared" si="20"/>
        <v>0</v>
      </c>
      <c r="CQ30" s="197">
        <f t="shared" si="20"/>
        <v>0</v>
      </c>
      <c r="CR30" s="197">
        <f t="shared" si="20"/>
        <v>0</v>
      </c>
      <c r="CS30" s="197">
        <f t="shared" si="20"/>
        <v>0</v>
      </c>
      <c r="CT30" s="197">
        <f t="shared" si="20"/>
        <v>0</v>
      </c>
      <c r="CU30" s="197">
        <f t="shared" si="20"/>
        <v>0</v>
      </c>
      <c r="CV30" s="197">
        <f t="shared" si="20"/>
        <v>0</v>
      </c>
      <c r="CW30" s="197">
        <f t="shared" si="20"/>
        <v>0</v>
      </c>
      <c r="CX30" s="197">
        <f t="shared" si="20"/>
        <v>0</v>
      </c>
      <c r="CY30" s="197">
        <f t="shared" si="20"/>
        <v>0</v>
      </c>
      <c r="CZ30" s="197">
        <f t="shared" si="20"/>
        <v>0</v>
      </c>
      <c r="DA30" s="197">
        <f t="shared" si="20"/>
        <v>0</v>
      </c>
      <c r="DB30" s="197">
        <f t="shared" si="20"/>
        <v>0</v>
      </c>
      <c r="DC30" s="197">
        <f t="shared" si="20"/>
        <v>0</v>
      </c>
      <c r="DD30" s="197">
        <f t="shared" si="21"/>
        <v>0</v>
      </c>
      <c r="DE30" s="197">
        <f t="shared" si="21"/>
        <v>0</v>
      </c>
      <c r="DF30" s="197">
        <f t="shared" si="21"/>
        <v>0</v>
      </c>
      <c r="DG30" s="197">
        <f t="shared" si="21"/>
        <v>0</v>
      </c>
      <c r="DH30" s="197">
        <f t="shared" si="21"/>
        <v>0</v>
      </c>
      <c r="DI30" s="197">
        <f t="shared" si="21"/>
        <v>0</v>
      </c>
      <c r="DJ30" s="197">
        <f t="shared" si="21"/>
        <v>0</v>
      </c>
      <c r="DK30" s="197">
        <f t="shared" si="21"/>
        <v>0</v>
      </c>
    </row>
    <row r="31" spans="2:127" x14ac:dyDescent="0.35">
      <c r="B31" s="197">
        <f t="shared" si="10"/>
        <v>0</v>
      </c>
      <c r="C31" s="197">
        <f t="shared" si="4"/>
        <v>0</v>
      </c>
      <c r="D31">
        <v>16</v>
      </c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CT31" s="197">
        <f t="shared" si="20"/>
        <v>0</v>
      </c>
      <c r="CU31" s="197">
        <f t="shared" si="20"/>
        <v>0</v>
      </c>
      <c r="CV31" s="197">
        <f t="shared" si="20"/>
        <v>0</v>
      </c>
      <c r="CW31" s="197">
        <f t="shared" si="20"/>
        <v>0</v>
      </c>
      <c r="CX31" s="197">
        <f t="shared" si="20"/>
        <v>0</v>
      </c>
      <c r="CY31" s="197">
        <f t="shared" si="20"/>
        <v>0</v>
      </c>
      <c r="CZ31" s="197">
        <f t="shared" si="20"/>
        <v>0</v>
      </c>
      <c r="DA31" s="197">
        <f t="shared" si="20"/>
        <v>0</v>
      </c>
      <c r="DB31" s="197">
        <f t="shared" si="20"/>
        <v>0</v>
      </c>
      <c r="DC31" s="197">
        <f t="shared" si="20"/>
        <v>0</v>
      </c>
      <c r="DD31" s="197">
        <f t="shared" si="21"/>
        <v>0</v>
      </c>
      <c r="DE31" s="197">
        <f t="shared" si="21"/>
        <v>0</v>
      </c>
      <c r="DF31" s="197">
        <f t="shared" si="21"/>
        <v>0</v>
      </c>
      <c r="DG31" s="197">
        <f t="shared" si="21"/>
        <v>0</v>
      </c>
      <c r="DH31" s="197">
        <f t="shared" si="21"/>
        <v>0</v>
      </c>
      <c r="DI31" s="197">
        <f t="shared" si="21"/>
        <v>0</v>
      </c>
      <c r="DJ31" s="197">
        <f t="shared" si="21"/>
        <v>0</v>
      </c>
      <c r="DK31" s="197">
        <f t="shared" si="21"/>
        <v>0</v>
      </c>
      <c r="DL31" s="197">
        <f t="shared" si="21"/>
        <v>0</v>
      </c>
      <c r="DM31" s="197">
        <f t="shared" si="21"/>
        <v>0</v>
      </c>
      <c r="DN31" s="197">
        <f t="shared" si="21"/>
        <v>0</v>
      </c>
      <c r="DO31" s="197">
        <f t="shared" si="21"/>
        <v>0</v>
      </c>
      <c r="DP31" s="197">
        <f t="shared" si="21"/>
        <v>0</v>
      </c>
      <c r="DQ31" s="197">
        <f t="shared" si="21"/>
        <v>0</v>
      </c>
    </row>
    <row r="32" spans="2:127" x14ac:dyDescent="0.35">
      <c r="B32" s="197">
        <f t="shared" si="10"/>
        <v>0</v>
      </c>
      <c r="C32" s="197">
        <f t="shared" si="4"/>
        <v>0</v>
      </c>
      <c r="D32">
        <v>17</v>
      </c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  <c r="AS32" s="197"/>
      <c r="CZ32" s="197">
        <f t="shared" si="20"/>
        <v>0</v>
      </c>
      <c r="DA32" s="197">
        <f t="shared" si="20"/>
        <v>0</v>
      </c>
      <c r="DB32" s="197">
        <f t="shared" si="20"/>
        <v>0</v>
      </c>
      <c r="DC32" s="197">
        <f t="shared" si="20"/>
        <v>0</v>
      </c>
      <c r="DD32" s="197">
        <f t="shared" si="21"/>
        <v>0</v>
      </c>
      <c r="DE32" s="197">
        <f t="shared" si="21"/>
        <v>0</v>
      </c>
      <c r="DF32" s="197">
        <f t="shared" si="21"/>
        <v>0</v>
      </c>
      <c r="DG32" s="197">
        <f t="shared" si="21"/>
        <v>0</v>
      </c>
      <c r="DH32" s="197">
        <f t="shared" si="21"/>
        <v>0</v>
      </c>
      <c r="DI32" s="197">
        <f t="shared" si="21"/>
        <v>0</v>
      </c>
      <c r="DJ32" s="197">
        <f t="shared" si="21"/>
        <v>0</v>
      </c>
      <c r="DK32" s="197">
        <f t="shared" si="21"/>
        <v>0</v>
      </c>
      <c r="DL32" s="197">
        <f t="shared" si="21"/>
        <v>0</v>
      </c>
      <c r="DM32" s="197">
        <f t="shared" si="21"/>
        <v>0</v>
      </c>
      <c r="DN32" s="197">
        <f t="shared" si="21"/>
        <v>0</v>
      </c>
      <c r="DO32" s="197">
        <f t="shared" si="21"/>
        <v>0</v>
      </c>
      <c r="DP32" s="197">
        <f t="shared" si="21"/>
        <v>0</v>
      </c>
      <c r="DQ32" s="197">
        <f t="shared" si="21"/>
        <v>0</v>
      </c>
      <c r="DR32" s="197">
        <f t="shared" si="21"/>
        <v>0</v>
      </c>
      <c r="DS32" s="197">
        <f t="shared" si="21"/>
        <v>0</v>
      </c>
      <c r="DT32" s="197">
        <f t="shared" ref="DT32:EI35" si="22">IF($C32=1,BL$16,0)</f>
        <v>0</v>
      </c>
      <c r="DU32" s="197">
        <f t="shared" si="22"/>
        <v>0</v>
      </c>
      <c r="DV32" s="197">
        <f t="shared" si="22"/>
        <v>0</v>
      </c>
      <c r="DW32" s="197">
        <f t="shared" si="22"/>
        <v>0</v>
      </c>
    </row>
    <row r="33" spans="2:150" x14ac:dyDescent="0.35">
      <c r="B33" s="197">
        <f t="shared" si="10"/>
        <v>0</v>
      </c>
      <c r="C33" s="197">
        <f t="shared" si="4"/>
        <v>0</v>
      </c>
      <c r="D33">
        <v>18</v>
      </c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DF33" s="197">
        <f t="shared" si="21"/>
        <v>0</v>
      </c>
      <c r="DG33" s="197">
        <f t="shared" si="21"/>
        <v>0</v>
      </c>
      <c r="DH33" s="197">
        <f t="shared" si="21"/>
        <v>0</v>
      </c>
      <c r="DI33" s="197">
        <f t="shared" si="21"/>
        <v>0</v>
      </c>
      <c r="DJ33" s="197">
        <f t="shared" si="21"/>
        <v>0</v>
      </c>
      <c r="DK33" s="197">
        <f t="shared" si="21"/>
        <v>0</v>
      </c>
      <c r="DL33" s="197">
        <f t="shared" si="21"/>
        <v>0</v>
      </c>
      <c r="DM33" s="197">
        <f t="shared" si="21"/>
        <v>0</v>
      </c>
      <c r="DN33" s="197">
        <f t="shared" si="21"/>
        <v>0</v>
      </c>
      <c r="DO33" s="197">
        <f t="shared" si="21"/>
        <v>0</v>
      </c>
      <c r="DP33" s="197">
        <f t="shared" si="21"/>
        <v>0</v>
      </c>
      <c r="DQ33" s="197">
        <f t="shared" si="21"/>
        <v>0</v>
      </c>
      <c r="DR33" s="197">
        <f t="shared" si="21"/>
        <v>0</v>
      </c>
      <c r="DS33" s="197">
        <f t="shared" si="21"/>
        <v>0</v>
      </c>
      <c r="DT33" s="197">
        <f t="shared" si="22"/>
        <v>0</v>
      </c>
      <c r="DU33" s="197">
        <f t="shared" si="22"/>
        <v>0</v>
      </c>
      <c r="DV33" s="197">
        <f t="shared" si="22"/>
        <v>0</v>
      </c>
      <c r="DW33" s="197">
        <f t="shared" si="22"/>
        <v>0</v>
      </c>
      <c r="DX33" s="197">
        <f t="shared" si="22"/>
        <v>0</v>
      </c>
      <c r="DY33" s="197">
        <f t="shared" si="22"/>
        <v>0</v>
      </c>
      <c r="DZ33" s="197">
        <f t="shared" si="22"/>
        <v>0</v>
      </c>
      <c r="EA33" s="197">
        <f t="shared" si="22"/>
        <v>0</v>
      </c>
      <c r="EB33" s="197">
        <f t="shared" si="22"/>
        <v>0</v>
      </c>
      <c r="EC33" s="197">
        <f t="shared" si="22"/>
        <v>0</v>
      </c>
    </row>
    <row r="34" spans="2:150" x14ac:dyDescent="0.35">
      <c r="B34" s="197">
        <f t="shared" si="10"/>
        <v>0</v>
      </c>
      <c r="C34" s="197">
        <f t="shared" si="4"/>
        <v>0</v>
      </c>
      <c r="D34">
        <v>19</v>
      </c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DL34" s="197">
        <f t="shared" si="21"/>
        <v>0</v>
      </c>
      <c r="DM34" s="197">
        <f t="shared" si="21"/>
        <v>0</v>
      </c>
      <c r="DN34" s="197">
        <f t="shared" si="21"/>
        <v>0</v>
      </c>
      <c r="DO34" s="197">
        <f t="shared" si="21"/>
        <v>0</v>
      </c>
      <c r="DP34" s="197">
        <f t="shared" si="21"/>
        <v>0</v>
      </c>
      <c r="DQ34" s="197">
        <f t="shared" si="21"/>
        <v>0</v>
      </c>
      <c r="DR34" s="197">
        <f t="shared" si="21"/>
        <v>0</v>
      </c>
      <c r="DS34" s="197">
        <f t="shared" si="21"/>
        <v>0</v>
      </c>
      <c r="DT34" s="197">
        <f t="shared" si="22"/>
        <v>0</v>
      </c>
      <c r="DU34" s="197">
        <f t="shared" si="22"/>
        <v>0</v>
      </c>
      <c r="DV34" s="197">
        <f t="shared" si="22"/>
        <v>0</v>
      </c>
      <c r="DW34" s="197">
        <f t="shared" si="22"/>
        <v>0</v>
      </c>
      <c r="DX34" s="197">
        <f t="shared" si="22"/>
        <v>0</v>
      </c>
      <c r="DY34" s="197">
        <f t="shared" si="22"/>
        <v>0</v>
      </c>
      <c r="DZ34" s="197">
        <f t="shared" si="22"/>
        <v>0</v>
      </c>
      <c r="EA34" s="197">
        <f t="shared" si="22"/>
        <v>0</v>
      </c>
      <c r="EB34" s="197">
        <f t="shared" si="22"/>
        <v>0</v>
      </c>
      <c r="EC34" s="197">
        <f t="shared" si="22"/>
        <v>0</v>
      </c>
      <c r="ED34" s="197">
        <f t="shared" si="22"/>
        <v>0</v>
      </c>
      <c r="EE34" s="197">
        <f t="shared" si="22"/>
        <v>0</v>
      </c>
      <c r="EF34" s="197">
        <f t="shared" si="22"/>
        <v>0</v>
      </c>
      <c r="EG34" s="197">
        <f t="shared" si="22"/>
        <v>0</v>
      </c>
      <c r="EH34" s="197">
        <f t="shared" si="22"/>
        <v>0</v>
      </c>
      <c r="EI34" s="197">
        <f t="shared" si="22"/>
        <v>0</v>
      </c>
    </row>
    <row r="35" spans="2:150" x14ac:dyDescent="0.35">
      <c r="B35" s="197">
        <f t="shared" si="10"/>
        <v>0</v>
      </c>
      <c r="C35" s="197">
        <f t="shared" si="4"/>
        <v>0</v>
      </c>
      <c r="D35">
        <v>20</v>
      </c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  <c r="AS35" s="197"/>
      <c r="DR35" s="197">
        <f t="shared" si="21"/>
        <v>0</v>
      </c>
      <c r="DS35" s="197">
        <f t="shared" si="21"/>
        <v>0</v>
      </c>
      <c r="DT35" s="197">
        <f t="shared" si="22"/>
        <v>0</v>
      </c>
      <c r="DU35" s="197">
        <f t="shared" si="22"/>
        <v>0</v>
      </c>
      <c r="DV35" s="197">
        <f t="shared" si="22"/>
        <v>0</v>
      </c>
      <c r="DW35" s="197">
        <f t="shared" si="22"/>
        <v>0</v>
      </c>
      <c r="DX35" s="197">
        <f t="shared" si="22"/>
        <v>0</v>
      </c>
      <c r="DY35" s="197">
        <f t="shared" si="22"/>
        <v>0</v>
      </c>
      <c r="DZ35" s="197">
        <f t="shared" si="22"/>
        <v>0</v>
      </c>
      <c r="EA35" s="197">
        <f t="shared" si="22"/>
        <v>0</v>
      </c>
      <c r="EB35" s="197">
        <f t="shared" si="22"/>
        <v>0</v>
      </c>
      <c r="EC35" s="197">
        <f t="shared" si="22"/>
        <v>0</v>
      </c>
      <c r="ED35" s="197">
        <f t="shared" si="22"/>
        <v>0</v>
      </c>
      <c r="EE35" s="197">
        <f t="shared" si="22"/>
        <v>0</v>
      </c>
      <c r="EF35" s="197">
        <f t="shared" si="22"/>
        <v>0</v>
      </c>
      <c r="EG35" s="197">
        <f t="shared" si="22"/>
        <v>0</v>
      </c>
      <c r="EH35" s="197">
        <f t="shared" si="22"/>
        <v>0</v>
      </c>
      <c r="EI35" s="197">
        <f t="shared" si="22"/>
        <v>0</v>
      </c>
      <c r="EJ35" s="197">
        <f t="shared" ref="EJ35:EO35" si="23">IF($C35=1,CB$16,0)</f>
        <v>0</v>
      </c>
      <c r="EK35" s="197">
        <f t="shared" si="23"/>
        <v>0</v>
      </c>
      <c r="EL35" s="197">
        <f t="shared" si="23"/>
        <v>0</v>
      </c>
      <c r="EM35" s="197">
        <f t="shared" si="23"/>
        <v>0</v>
      </c>
      <c r="EN35" s="197">
        <f t="shared" si="23"/>
        <v>0</v>
      </c>
      <c r="EO35" s="197">
        <f t="shared" si="23"/>
        <v>0</v>
      </c>
    </row>
    <row r="37" spans="2:150" x14ac:dyDescent="0.35">
      <c r="D37" t="s">
        <v>103</v>
      </c>
      <c r="F37" s="197">
        <f t="shared" ref="F37" si="24">SUM(F16:F35)</f>
        <v>233332562.43599999</v>
      </c>
      <c r="G37" s="197">
        <f>SUM(G16:G35)</f>
        <v>233332562.43599999</v>
      </c>
      <c r="H37" s="197">
        <f>SUM(H16:H35)</f>
        <v>291665703.04500002</v>
      </c>
      <c r="I37" s="197">
        <f t="shared" ref="I37:BT37" si="25">SUM(I16:I35)</f>
        <v>291665703.04500002</v>
      </c>
      <c r="J37" s="197">
        <f t="shared" si="25"/>
        <v>291665703.04500002</v>
      </c>
      <c r="K37" s="197">
        <f t="shared" si="25"/>
        <v>291665703.04500002</v>
      </c>
      <c r="L37" s="197">
        <f t="shared" si="25"/>
        <v>349998843.65399998</v>
      </c>
      <c r="M37" s="197">
        <f t="shared" si="25"/>
        <v>349998843.65399998</v>
      </c>
      <c r="N37" s="197">
        <f>SUM(N16:N35)</f>
        <v>349998843.65399998</v>
      </c>
      <c r="O37" s="197">
        <f>SUM(O16:O35)</f>
        <v>349998843.65399998</v>
      </c>
      <c r="P37" s="197">
        <f t="shared" si="25"/>
        <v>349998843.65399998</v>
      </c>
      <c r="Q37" s="197">
        <f t="shared" si="25"/>
        <v>349998843.65399998</v>
      </c>
      <c r="R37" s="197">
        <f t="shared" si="25"/>
        <v>349998843.65399998</v>
      </c>
      <c r="S37" s="197">
        <f t="shared" si="25"/>
        <v>303332331.1667999</v>
      </c>
      <c r="T37" s="197">
        <f t="shared" si="25"/>
        <v>303332331.1667999</v>
      </c>
      <c r="U37" s="197">
        <f t="shared" si="25"/>
        <v>303332331.1667999</v>
      </c>
      <c r="V37" s="197">
        <f t="shared" si="25"/>
        <v>303332331.1667999</v>
      </c>
      <c r="W37" s="197">
        <f t="shared" si="25"/>
        <v>303332331.1667999</v>
      </c>
      <c r="X37" s="197">
        <f t="shared" si="25"/>
        <v>0</v>
      </c>
      <c r="Y37" s="197">
        <f t="shared" si="25"/>
        <v>0</v>
      </c>
      <c r="Z37" s="197">
        <f t="shared" si="25"/>
        <v>0</v>
      </c>
      <c r="AA37" s="197">
        <f t="shared" si="25"/>
        <v>0</v>
      </c>
      <c r="AB37" s="197">
        <f t="shared" si="25"/>
        <v>0</v>
      </c>
      <c r="AC37" s="197">
        <f t="shared" si="25"/>
        <v>0</v>
      </c>
      <c r="AD37" s="197">
        <f t="shared" si="25"/>
        <v>0</v>
      </c>
      <c r="AE37" s="197">
        <f t="shared" si="25"/>
        <v>0</v>
      </c>
      <c r="AF37" s="197">
        <f t="shared" si="25"/>
        <v>0</v>
      </c>
      <c r="AG37" s="197">
        <f t="shared" si="25"/>
        <v>0</v>
      </c>
      <c r="AH37" s="197">
        <f t="shared" si="25"/>
        <v>0</v>
      </c>
      <c r="AI37" s="197">
        <f t="shared" si="25"/>
        <v>0</v>
      </c>
      <c r="AJ37" s="197">
        <f t="shared" si="25"/>
        <v>0</v>
      </c>
      <c r="AK37" s="197">
        <f t="shared" si="25"/>
        <v>0</v>
      </c>
      <c r="AL37" s="197">
        <f t="shared" si="25"/>
        <v>0</v>
      </c>
      <c r="AM37" s="197">
        <f t="shared" si="25"/>
        <v>0</v>
      </c>
      <c r="AN37" s="197">
        <f t="shared" si="25"/>
        <v>0</v>
      </c>
      <c r="AO37" s="197">
        <f t="shared" si="25"/>
        <v>0</v>
      </c>
      <c r="AP37" s="197">
        <f t="shared" si="25"/>
        <v>0</v>
      </c>
      <c r="AQ37" s="197">
        <f t="shared" si="25"/>
        <v>0</v>
      </c>
      <c r="AR37" s="197">
        <f t="shared" si="25"/>
        <v>0</v>
      </c>
      <c r="AS37" s="197">
        <f t="shared" si="25"/>
        <v>0</v>
      </c>
      <c r="AT37" s="197">
        <f t="shared" si="25"/>
        <v>0</v>
      </c>
      <c r="AU37" s="197">
        <f t="shared" si="25"/>
        <v>0</v>
      </c>
      <c r="AV37" s="197">
        <f t="shared" si="25"/>
        <v>0</v>
      </c>
      <c r="AW37" s="197">
        <f t="shared" si="25"/>
        <v>0</v>
      </c>
      <c r="AX37" s="197">
        <f t="shared" si="25"/>
        <v>0</v>
      </c>
      <c r="AY37" s="197">
        <f t="shared" si="25"/>
        <v>0</v>
      </c>
      <c r="AZ37" s="197">
        <f t="shared" si="25"/>
        <v>0</v>
      </c>
      <c r="BA37" s="197">
        <f t="shared" si="25"/>
        <v>0</v>
      </c>
      <c r="BB37" s="197">
        <f t="shared" si="25"/>
        <v>0</v>
      </c>
      <c r="BC37" s="197">
        <f t="shared" si="25"/>
        <v>0</v>
      </c>
      <c r="BD37" s="197">
        <f t="shared" si="25"/>
        <v>0</v>
      </c>
      <c r="BE37" s="197">
        <f t="shared" si="25"/>
        <v>0</v>
      </c>
      <c r="BF37" s="197">
        <f t="shared" si="25"/>
        <v>0</v>
      </c>
      <c r="BG37" s="197">
        <f t="shared" si="25"/>
        <v>0</v>
      </c>
      <c r="BH37" s="197">
        <f t="shared" si="25"/>
        <v>0</v>
      </c>
      <c r="BI37" s="197">
        <f t="shared" si="25"/>
        <v>0</v>
      </c>
      <c r="BJ37" s="197">
        <f t="shared" si="25"/>
        <v>0</v>
      </c>
      <c r="BK37" s="197">
        <f t="shared" si="25"/>
        <v>0</v>
      </c>
      <c r="BL37" s="197">
        <f t="shared" si="25"/>
        <v>0</v>
      </c>
      <c r="BM37" s="197">
        <f t="shared" si="25"/>
        <v>0</v>
      </c>
      <c r="BN37" s="197">
        <f t="shared" si="25"/>
        <v>0</v>
      </c>
      <c r="BO37" s="197">
        <f t="shared" si="25"/>
        <v>0</v>
      </c>
      <c r="BP37" s="197">
        <f t="shared" si="25"/>
        <v>0</v>
      </c>
      <c r="BQ37" s="197">
        <f t="shared" si="25"/>
        <v>0</v>
      </c>
      <c r="BR37" s="197">
        <f t="shared" si="25"/>
        <v>0</v>
      </c>
      <c r="BS37" s="197">
        <f t="shared" si="25"/>
        <v>0</v>
      </c>
      <c r="BT37" s="197">
        <f t="shared" si="25"/>
        <v>0</v>
      </c>
      <c r="BU37" s="197">
        <f t="shared" ref="BU37:EF37" si="26">SUM(BU16:BU35)</f>
        <v>0</v>
      </c>
      <c r="BV37" s="197">
        <f t="shared" si="26"/>
        <v>0</v>
      </c>
      <c r="BW37" s="197">
        <f t="shared" si="26"/>
        <v>0</v>
      </c>
      <c r="BX37" s="197">
        <f t="shared" si="26"/>
        <v>0</v>
      </c>
      <c r="BY37" s="197">
        <f t="shared" si="26"/>
        <v>0</v>
      </c>
      <c r="BZ37" s="197">
        <f t="shared" si="26"/>
        <v>0</v>
      </c>
      <c r="CA37" s="197">
        <f t="shared" si="26"/>
        <v>0</v>
      </c>
      <c r="CB37" s="197">
        <f t="shared" si="26"/>
        <v>0</v>
      </c>
      <c r="CC37" s="197">
        <f t="shared" si="26"/>
        <v>0</v>
      </c>
      <c r="CD37" s="197">
        <f t="shared" si="26"/>
        <v>0</v>
      </c>
      <c r="CE37" s="197">
        <f t="shared" si="26"/>
        <v>0</v>
      </c>
      <c r="CF37" s="197">
        <f t="shared" si="26"/>
        <v>0</v>
      </c>
      <c r="CG37" s="197">
        <f t="shared" si="26"/>
        <v>0</v>
      </c>
      <c r="CH37" s="197">
        <f t="shared" si="26"/>
        <v>0</v>
      </c>
      <c r="CI37" s="197">
        <f t="shared" si="26"/>
        <v>0</v>
      </c>
      <c r="CJ37" s="197">
        <f t="shared" si="26"/>
        <v>0</v>
      </c>
      <c r="CK37" s="197">
        <f t="shared" si="26"/>
        <v>0</v>
      </c>
      <c r="CL37" s="197">
        <f t="shared" si="26"/>
        <v>0</v>
      </c>
      <c r="CM37" s="197">
        <f t="shared" si="26"/>
        <v>0</v>
      </c>
      <c r="CN37" s="197">
        <f t="shared" si="26"/>
        <v>0</v>
      </c>
      <c r="CO37" s="197">
        <f t="shared" si="26"/>
        <v>0</v>
      </c>
      <c r="CP37" s="197">
        <f t="shared" si="26"/>
        <v>0</v>
      </c>
      <c r="CQ37" s="197">
        <f t="shared" si="26"/>
        <v>0</v>
      </c>
      <c r="CR37" s="197">
        <f t="shared" si="26"/>
        <v>0</v>
      </c>
      <c r="CS37" s="197">
        <f t="shared" si="26"/>
        <v>0</v>
      </c>
      <c r="CT37" s="197">
        <f t="shared" si="26"/>
        <v>0</v>
      </c>
      <c r="CU37" s="197">
        <f t="shared" si="26"/>
        <v>0</v>
      </c>
      <c r="CV37" s="197">
        <f t="shared" si="26"/>
        <v>0</v>
      </c>
      <c r="CW37" s="197">
        <f t="shared" si="26"/>
        <v>0</v>
      </c>
      <c r="CX37" s="197">
        <f t="shared" si="26"/>
        <v>0</v>
      </c>
      <c r="CY37" s="197">
        <f t="shared" si="26"/>
        <v>0</v>
      </c>
      <c r="CZ37" s="197">
        <f t="shared" si="26"/>
        <v>0</v>
      </c>
      <c r="DA37" s="197">
        <f t="shared" si="26"/>
        <v>0</v>
      </c>
      <c r="DB37" s="197">
        <f t="shared" si="26"/>
        <v>0</v>
      </c>
      <c r="DC37" s="197">
        <f t="shared" si="26"/>
        <v>0</v>
      </c>
      <c r="DD37" s="197">
        <f t="shared" si="26"/>
        <v>0</v>
      </c>
      <c r="DE37" s="197">
        <f t="shared" si="26"/>
        <v>0</v>
      </c>
      <c r="DF37" s="197">
        <f t="shared" si="26"/>
        <v>0</v>
      </c>
      <c r="DG37" s="197">
        <f t="shared" si="26"/>
        <v>0</v>
      </c>
      <c r="DH37" s="197">
        <f t="shared" si="26"/>
        <v>0</v>
      </c>
      <c r="DI37" s="197">
        <f t="shared" si="26"/>
        <v>0</v>
      </c>
      <c r="DJ37" s="197">
        <f t="shared" si="26"/>
        <v>0</v>
      </c>
      <c r="DK37" s="197">
        <f t="shared" si="26"/>
        <v>0</v>
      </c>
      <c r="DL37" s="197">
        <f t="shared" si="26"/>
        <v>0</v>
      </c>
      <c r="DM37" s="197">
        <f t="shared" si="26"/>
        <v>0</v>
      </c>
      <c r="DN37" s="197">
        <f t="shared" si="26"/>
        <v>0</v>
      </c>
      <c r="DO37" s="197">
        <f t="shared" si="26"/>
        <v>0</v>
      </c>
      <c r="DP37" s="197">
        <f t="shared" si="26"/>
        <v>0</v>
      </c>
      <c r="DQ37" s="197">
        <f t="shared" si="26"/>
        <v>0</v>
      </c>
      <c r="DR37" s="197">
        <f t="shared" si="26"/>
        <v>0</v>
      </c>
      <c r="DS37" s="197">
        <f t="shared" si="26"/>
        <v>0</v>
      </c>
      <c r="DT37" s="197">
        <f t="shared" si="26"/>
        <v>0</v>
      </c>
      <c r="DU37" s="197">
        <f t="shared" si="26"/>
        <v>0</v>
      </c>
      <c r="DV37" s="197">
        <f t="shared" si="26"/>
        <v>0</v>
      </c>
      <c r="DW37" s="197">
        <f t="shared" si="26"/>
        <v>0</v>
      </c>
      <c r="DX37" s="197">
        <f t="shared" si="26"/>
        <v>0</v>
      </c>
      <c r="DY37" s="197">
        <f t="shared" si="26"/>
        <v>0</v>
      </c>
      <c r="DZ37" s="197">
        <f t="shared" si="26"/>
        <v>0</v>
      </c>
      <c r="EA37" s="197">
        <f t="shared" si="26"/>
        <v>0</v>
      </c>
      <c r="EB37" s="197">
        <f t="shared" si="26"/>
        <v>0</v>
      </c>
      <c r="EC37" s="197">
        <f t="shared" si="26"/>
        <v>0</v>
      </c>
      <c r="ED37" s="197">
        <f t="shared" si="26"/>
        <v>0</v>
      </c>
      <c r="EE37" s="197">
        <f t="shared" si="26"/>
        <v>0</v>
      </c>
      <c r="EF37" s="197">
        <f t="shared" si="26"/>
        <v>0</v>
      </c>
      <c r="EG37" s="197">
        <f t="shared" ref="EG37:ET37" si="27">SUM(EG16:EG35)</f>
        <v>0</v>
      </c>
      <c r="EH37" s="197">
        <f t="shared" si="27"/>
        <v>0</v>
      </c>
      <c r="EI37" s="197">
        <f t="shared" si="27"/>
        <v>0</v>
      </c>
      <c r="EJ37" s="197">
        <f t="shared" si="27"/>
        <v>0</v>
      </c>
      <c r="EK37" s="197">
        <f t="shared" si="27"/>
        <v>0</v>
      </c>
      <c r="EL37" s="197">
        <f t="shared" si="27"/>
        <v>0</v>
      </c>
      <c r="EM37" s="197">
        <f t="shared" si="27"/>
        <v>0</v>
      </c>
      <c r="EN37" s="197">
        <f t="shared" si="27"/>
        <v>0</v>
      </c>
      <c r="EO37" s="197">
        <f t="shared" si="27"/>
        <v>0</v>
      </c>
      <c r="EP37" s="197">
        <f t="shared" si="27"/>
        <v>0</v>
      </c>
      <c r="EQ37" s="197">
        <f t="shared" si="27"/>
        <v>0</v>
      </c>
      <c r="ER37" s="197">
        <f t="shared" si="27"/>
        <v>0</v>
      </c>
      <c r="ES37" s="197">
        <f t="shared" si="27"/>
        <v>0</v>
      </c>
      <c r="ET37" s="197">
        <f t="shared" si="27"/>
        <v>0</v>
      </c>
    </row>
  </sheetData>
  <phoneticPr fontId="4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A47B-D156-4BB3-A7B2-E72151037089}">
  <dimension ref="A1:R67"/>
  <sheetViews>
    <sheetView view="pageBreakPreview" topLeftCell="B1" zoomScale="90" zoomScaleNormal="90" zoomScaleSheetLayoutView="90" workbookViewId="0">
      <selection activeCell="K2" sqref="K2"/>
    </sheetView>
  </sheetViews>
  <sheetFormatPr defaultColWidth="8.90625" defaultRowHeight="14.5" x14ac:dyDescent="0.35"/>
  <cols>
    <col min="1" max="1" width="15.36328125" style="336" customWidth="1"/>
    <col min="2" max="4" width="8.90625" style="336"/>
    <col min="5" max="5" width="17.81640625" style="336" customWidth="1"/>
    <col min="6" max="6" width="15" style="336" customWidth="1"/>
    <col min="7" max="7" width="8.90625" style="336"/>
    <col min="8" max="8" width="10.54296875" style="336" customWidth="1"/>
    <col min="9" max="9" width="12.54296875" style="336" customWidth="1"/>
    <col min="10" max="10" width="8.90625" style="336"/>
    <col min="11" max="11" width="14.54296875" style="336" customWidth="1"/>
    <col min="12" max="12" width="13.1796875" style="336" customWidth="1"/>
    <col min="13" max="13" width="21.453125" style="336" customWidth="1"/>
    <col min="14" max="14" width="16" style="336" customWidth="1"/>
    <col min="15" max="15" width="15.36328125" style="336" customWidth="1"/>
    <col min="16" max="16" width="15.90625" style="336" customWidth="1"/>
    <col min="17" max="17" width="15.81640625" style="336" customWidth="1"/>
    <col min="18" max="18" width="19.6328125" style="336" customWidth="1"/>
    <col min="19" max="16384" width="8.90625" style="336"/>
  </cols>
  <sheetData>
    <row r="1" spans="1:18" ht="43.5" x14ac:dyDescent="0.35">
      <c r="A1" s="333" t="s">
        <v>263</v>
      </c>
      <c r="B1" s="333" t="s">
        <v>264</v>
      </c>
      <c r="C1" s="333" t="s">
        <v>265</v>
      </c>
      <c r="D1" s="333" t="s">
        <v>266</v>
      </c>
      <c r="E1" s="333" t="s">
        <v>267</v>
      </c>
      <c r="F1" s="333" t="s">
        <v>268</v>
      </c>
      <c r="G1" s="333" t="s">
        <v>269</v>
      </c>
      <c r="H1" s="334" t="s">
        <v>270</v>
      </c>
      <c r="I1" s="334" t="s">
        <v>271</v>
      </c>
      <c r="J1" s="333" t="s">
        <v>272</v>
      </c>
      <c r="K1" s="333" t="s">
        <v>273</v>
      </c>
      <c r="L1" s="334" t="s">
        <v>274</v>
      </c>
      <c r="M1" s="334" t="s">
        <v>275</v>
      </c>
      <c r="N1" s="333" t="s">
        <v>276</v>
      </c>
      <c r="O1" s="333" t="s">
        <v>277</v>
      </c>
      <c r="P1" s="335" t="s">
        <v>243</v>
      </c>
    </row>
    <row r="2" spans="1:18" x14ac:dyDescent="0.35">
      <c r="A2" s="337" t="s">
        <v>278</v>
      </c>
      <c r="B2" s="337" t="s">
        <v>279</v>
      </c>
      <c r="C2" s="326" t="s">
        <v>250</v>
      </c>
      <c r="D2" s="337" t="s">
        <v>280</v>
      </c>
      <c r="E2" s="338" t="s">
        <v>281</v>
      </c>
      <c r="F2" s="337" t="s">
        <v>282</v>
      </c>
      <c r="G2" s="337" t="s">
        <v>283</v>
      </c>
      <c r="H2" s="338">
        <v>1</v>
      </c>
      <c r="I2" s="337">
        <v>1</v>
      </c>
      <c r="J2" s="327">
        <v>252.62</v>
      </c>
      <c r="K2" s="359">
        <v>252.62</v>
      </c>
      <c r="L2" s="339" t="s">
        <v>284</v>
      </c>
      <c r="M2" s="339" t="s">
        <v>438</v>
      </c>
      <c r="N2" s="357" t="s">
        <v>430</v>
      </c>
      <c r="O2" s="340" t="s">
        <v>295</v>
      </c>
      <c r="P2" s="341">
        <f>K2*'база коммерция'!$B$2*(1+IFERROR(VLOOKUP(шахматка!H2,коэф!$A$1:$B$10,2,FALSE),0)+IFERROR(VLOOKUP(K2,коэф!$G$1:$H$6,2,TRUE),0)+IFERROR(VLOOKUP(шахматка!M2,коэф!$J$1:$K$3,2,FALSE),0)+IFERROR(VLOOKUP(шахматка!L2,коэф!$D$1:$E$2,2,FALSE),0))*'база коммерция'!$B$3*'база офис'!$B$6</f>
        <v>349275856.81818187</v>
      </c>
      <c r="Q2" s="341"/>
      <c r="R2" s="342"/>
    </row>
    <row r="3" spans="1:18" x14ac:dyDescent="0.35">
      <c r="A3" s="337" t="s">
        <v>278</v>
      </c>
      <c r="B3" s="337" t="s">
        <v>279</v>
      </c>
      <c r="C3" s="326" t="s">
        <v>251</v>
      </c>
      <c r="D3" s="337" t="s">
        <v>286</v>
      </c>
      <c r="E3" s="338" t="s">
        <v>287</v>
      </c>
      <c r="F3" s="337" t="s">
        <v>282</v>
      </c>
      <c r="G3" s="337" t="s">
        <v>283</v>
      </c>
      <c r="H3" s="338">
        <v>2</v>
      </c>
      <c r="I3" s="337">
        <v>1</v>
      </c>
      <c r="J3" s="327">
        <v>338.32</v>
      </c>
      <c r="K3" s="359">
        <v>338.32</v>
      </c>
      <c r="L3" s="339" t="s">
        <v>292</v>
      </c>
      <c r="M3" s="339" t="s">
        <v>437</v>
      </c>
      <c r="N3" s="357" t="s">
        <v>431</v>
      </c>
      <c r="O3" s="340" t="s">
        <v>295</v>
      </c>
      <c r="P3" s="341">
        <f>K3*'база офис'!$B$2*(1+IFERROR(VLOOKUP(шахматка!H3,коэф!$A$1:$B$10,2,FALSE),0)+IFERROR(VLOOKUP(K3,коэф!$G$1:$H$9,2,TRUE),0)+IFERROR(VLOOKUP(шахматка!M3,коэф!$J$1:$K$3,2,FALSE),0)+IFERROR(VLOOKUP(шахматка!L3,коэф!$D$1:$E$2,2,FALSE),0))*'база офис'!$B$3*'база офис'!$B$6</f>
        <v>470022439.85454553</v>
      </c>
      <c r="Q3" s="341">
        <f t="shared" ref="Q3:Q24" si="0">P3/K3</f>
        <v>1389283.6363636367</v>
      </c>
      <c r="R3" s="342">
        <f>LEN(L4)</f>
        <v>4</v>
      </c>
    </row>
    <row r="4" spans="1:18" x14ac:dyDescent="0.35">
      <c r="A4" s="337" t="s">
        <v>278</v>
      </c>
      <c r="B4" s="337" t="s">
        <v>279</v>
      </c>
      <c r="C4" s="326">
        <v>201</v>
      </c>
      <c r="D4" s="337" t="s">
        <v>290</v>
      </c>
      <c r="E4" s="338" t="s">
        <v>291</v>
      </c>
      <c r="F4" s="337" t="s">
        <v>282</v>
      </c>
      <c r="G4" s="337" t="s">
        <v>283</v>
      </c>
      <c r="H4" s="338">
        <v>2</v>
      </c>
      <c r="I4" s="337">
        <v>1</v>
      </c>
      <c r="J4" s="327">
        <v>203.2</v>
      </c>
      <c r="K4" s="359">
        <v>203.2</v>
      </c>
      <c r="L4" s="339" t="s">
        <v>284</v>
      </c>
      <c r="M4" s="339" t="s">
        <v>437</v>
      </c>
      <c r="N4" s="357" t="s">
        <v>431</v>
      </c>
      <c r="O4" s="340" t="s">
        <v>295</v>
      </c>
      <c r="P4" s="341">
        <f>K4*'база офис'!$B$2*(1+IFERROR(VLOOKUP(шахматка!H4,коэф!$A$1:$B$10,2,FALSE),0)+IFERROR(VLOOKUP(K4,коэф!$G$1:$H$9,2,TRUE),0)+IFERROR(VLOOKUP(шахматка!M4,коэф!$J$1:$K$3,2,FALSE),0)+IFERROR(VLOOKUP(шахматка!L4,коэф!$D$1:$E$2,2,FALSE),0))*'база офис'!$B$3*'база офис'!$B$6</f>
        <v>284800686.54545462</v>
      </c>
      <c r="Q4" s="341">
        <f t="shared" si="0"/>
        <v>1401578.1818181823</v>
      </c>
      <c r="R4" s="342">
        <f>LEN(коэф!D2)</f>
        <v>5</v>
      </c>
    </row>
    <row r="5" spans="1:18" x14ac:dyDescent="0.35">
      <c r="A5" s="337" t="s">
        <v>278</v>
      </c>
      <c r="B5" s="337" t="s">
        <v>279</v>
      </c>
      <c r="C5" s="326">
        <v>202</v>
      </c>
      <c r="D5" s="337" t="s">
        <v>293</v>
      </c>
      <c r="E5" s="338" t="s">
        <v>294</v>
      </c>
      <c r="F5" s="337" t="s">
        <v>282</v>
      </c>
      <c r="G5" s="337" t="s">
        <v>283</v>
      </c>
      <c r="H5" s="338">
        <v>3</v>
      </c>
      <c r="I5" s="337">
        <v>1</v>
      </c>
      <c r="J5" s="327">
        <v>355.75</v>
      </c>
      <c r="K5" s="359">
        <v>355.75</v>
      </c>
      <c r="L5" s="339" t="s">
        <v>292</v>
      </c>
      <c r="M5" s="339" t="s">
        <v>437</v>
      </c>
      <c r="N5" s="357" t="s">
        <v>431</v>
      </c>
      <c r="O5" s="340" t="s">
        <v>295</v>
      </c>
      <c r="P5" s="341">
        <f>K5*'база офис'!$B$2*(1+IFERROR(VLOOKUP(шахматка!H5,коэф!$A$1:$B$10,2,FALSE),0)+IFERROR(VLOOKUP(K5,коэф!$G$1:$H$9,2,TRUE),0)+IFERROR(VLOOKUP(шахматка!M5,коэф!$J$1:$K$3,2,FALSE),0)+IFERROR(VLOOKUP(шахматка!L5,коэф!$D$1:$E$2,2,FALSE),0))*'база офис'!$B$3*'база офис'!$B$6</f>
        <v>494237653.63636369</v>
      </c>
      <c r="Q5" s="341">
        <f t="shared" si="0"/>
        <v>1389283.6363636365</v>
      </c>
      <c r="R5" s="343"/>
    </row>
    <row r="6" spans="1:18" x14ac:dyDescent="0.35">
      <c r="A6" s="337" t="s">
        <v>278</v>
      </c>
      <c r="B6" s="337" t="s">
        <v>279</v>
      </c>
      <c r="C6" s="326">
        <v>301</v>
      </c>
      <c r="D6" s="337" t="s">
        <v>296</v>
      </c>
      <c r="E6" s="338" t="s">
        <v>297</v>
      </c>
      <c r="F6" s="337" t="s">
        <v>282</v>
      </c>
      <c r="G6" s="337" t="s">
        <v>283</v>
      </c>
      <c r="H6" s="338">
        <v>3</v>
      </c>
      <c r="I6" s="337">
        <v>1</v>
      </c>
      <c r="J6" s="327">
        <v>357.79</v>
      </c>
      <c r="K6" s="359">
        <v>357.79</v>
      </c>
      <c r="L6" s="339" t="s">
        <v>284</v>
      </c>
      <c r="M6" s="339" t="s">
        <v>437</v>
      </c>
      <c r="N6" s="357" t="s">
        <v>431</v>
      </c>
      <c r="O6" s="340" t="s">
        <v>295</v>
      </c>
      <c r="P6" s="341">
        <f>K6*'база офис'!$B$2*(1+IFERROR(VLOOKUP(шахматка!H6,коэф!$A$1:$B$10,2,FALSE),0)+IFERROR(VLOOKUP(K6,коэф!$G$1:$H$9,2,TRUE),0)+IFERROR(VLOOKUP(шахматка!M6,коэф!$J$1:$K$3,2,FALSE),0)+IFERROR(VLOOKUP(шахматка!L6,коэф!$D$1:$E$2,2,FALSE),0))*'база офис'!$B$3*'база офис'!$B$6</f>
        <v>483875196.00000006</v>
      </c>
      <c r="Q6" s="341">
        <f t="shared" si="0"/>
        <v>1352400</v>
      </c>
      <c r="R6" s="342"/>
    </row>
    <row r="7" spans="1:18" x14ac:dyDescent="0.35">
      <c r="A7" s="337" t="s">
        <v>278</v>
      </c>
      <c r="B7" s="337" t="s">
        <v>279</v>
      </c>
      <c r="C7" s="326">
        <v>302</v>
      </c>
      <c r="D7" s="337" t="s">
        <v>298</v>
      </c>
      <c r="E7" s="338" t="s">
        <v>299</v>
      </c>
      <c r="F7" s="337" t="s">
        <v>282</v>
      </c>
      <c r="G7" s="337" t="s">
        <v>283</v>
      </c>
      <c r="H7" s="338">
        <v>4</v>
      </c>
      <c r="I7" s="337">
        <v>1</v>
      </c>
      <c r="J7" s="327">
        <v>358.5</v>
      </c>
      <c r="K7" s="359">
        <v>358.5</v>
      </c>
      <c r="L7" s="339" t="s">
        <v>292</v>
      </c>
      <c r="M7" s="339" t="s">
        <v>437</v>
      </c>
      <c r="N7" s="357" t="s">
        <v>431</v>
      </c>
      <c r="O7" s="340" t="s">
        <v>295</v>
      </c>
      <c r="P7" s="341">
        <f>K7*'база офис'!$B$2*(1+IFERROR(VLOOKUP(шахматка!H7,коэф!$A$1:$B$10,2,FALSE),0)+IFERROR(VLOOKUP(K7,коэф!$G$1:$H$9,2,TRUE),0)+IFERROR(VLOOKUP(шахматка!M7,коэф!$J$1:$K$3,2,FALSE),0)+IFERROR(VLOOKUP(шахматка!L7,коэф!$D$1:$E$2,2,FALSE),0))*'база офис'!$B$3*'база офис'!$B$6</f>
        <v>493650589.09090912</v>
      </c>
      <c r="Q7" s="341">
        <f t="shared" si="0"/>
        <v>1376989.0909090911</v>
      </c>
      <c r="R7" s="342"/>
    </row>
    <row r="8" spans="1:18" x14ac:dyDescent="0.35">
      <c r="A8" s="337" t="s">
        <v>278</v>
      </c>
      <c r="B8" s="337" t="s">
        <v>279</v>
      </c>
      <c r="C8" s="326">
        <v>401</v>
      </c>
      <c r="D8" s="337" t="s">
        <v>300</v>
      </c>
      <c r="E8" s="338" t="s">
        <v>301</v>
      </c>
      <c r="F8" s="337" t="s">
        <v>282</v>
      </c>
      <c r="G8" s="337" t="s">
        <v>283</v>
      </c>
      <c r="H8" s="338">
        <v>4</v>
      </c>
      <c r="I8" s="337">
        <v>1</v>
      </c>
      <c r="J8" s="327">
        <v>361.18</v>
      </c>
      <c r="K8" s="359">
        <v>361.18</v>
      </c>
      <c r="L8" s="339" t="s">
        <v>284</v>
      </c>
      <c r="M8" s="339" t="s">
        <v>437</v>
      </c>
      <c r="N8" s="357" t="s">
        <v>431</v>
      </c>
      <c r="O8" s="340" t="s">
        <v>295</v>
      </c>
      <c r="P8" s="341">
        <f>K8*'база офис'!$B$2*(1+IFERROR(VLOOKUP(шахматка!H8,коэф!$A$1:$B$10,2,FALSE),0)+IFERROR(VLOOKUP(K8,коэф!$G$1:$H$9,2,TRUE),0)+IFERROR(VLOOKUP(шахматка!M8,коэф!$J$1:$K$3,2,FALSE),0)+IFERROR(VLOOKUP(шахматка!L8,коэф!$D$1:$E$2,2,FALSE),0))*'база офис'!$B$3*'база офис'!$B$6</f>
        <v>484019288.07272738</v>
      </c>
      <c r="Q8" s="341">
        <f t="shared" si="0"/>
        <v>1340105.4545454548</v>
      </c>
      <c r="R8" s="342"/>
    </row>
    <row r="9" spans="1:18" x14ac:dyDescent="0.35">
      <c r="A9" s="337" t="s">
        <v>278</v>
      </c>
      <c r="B9" s="337" t="s">
        <v>279</v>
      </c>
      <c r="C9" s="326">
        <v>402</v>
      </c>
      <c r="D9" s="337" t="s">
        <v>302</v>
      </c>
      <c r="E9" s="338" t="s">
        <v>303</v>
      </c>
      <c r="F9" s="337" t="s">
        <v>282</v>
      </c>
      <c r="G9" s="337" t="s">
        <v>283</v>
      </c>
      <c r="H9" s="338">
        <v>5</v>
      </c>
      <c r="I9" s="337">
        <v>1</v>
      </c>
      <c r="J9" s="327">
        <v>358.5</v>
      </c>
      <c r="K9" s="359">
        <v>358.5</v>
      </c>
      <c r="L9" s="339" t="s">
        <v>292</v>
      </c>
      <c r="M9" s="339" t="s">
        <v>437</v>
      </c>
      <c r="N9" s="357" t="s">
        <v>431</v>
      </c>
      <c r="O9" s="340" t="s">
        <v>295</v>
      </c>
      <c r="P9" s="341">
        <f>K9*'база офис'!$B$2*(1+IFERROR(VLOOKUP(шахматка!H9,коэф!$A$1:$B$10,2,FALSE),0)+IFERROR(VLOOKUP(K9,коэф!$G$1:$H$9,2,TRUE),0)+IFERROR(VLOOKUP(шахматка!M9,коэф!$J$1:$K$3,2,FALSE),0)+IFERROR(VLOOKUP(шахматка!L9,коэф!$D$1:$E$2,2,FALSE),0))*'база офис'!$B$3*'база офис'!$B$6</f>
        <v>493650589.09090912</v>
      </c>
      <c r="Q9" s="341">
        <f t="shared" si="0"/>
        <v>1376989.0909090911</v>
      </c>
      <c r="R9" s="342"/>
    </row>
    <row r="10" spans="1:18" x14ac:dyDescent="0.35">
      <c r="A10" s="337" t="s">
        <v>278</v>
      </c>
      <c r="B10" s="337" t="s">
        <v>279</v>
      </c>
      <c r="C10" s="326">
        <v>501</v>
      </c>
      <c r="D10" s="337" t="s">
        <v>304</v>
      </c>
      <c r="E10" s="338" t="s">
        <v>305</v>
      </c>
      <c r="F10" s="337" t="s">
        <v>282</v>
      </c>
      <c r="G10" s="337" t="s">
        <v>283</v>
      </c>
      <c r="H10" s="338">
        <v>5</v>
      </c>
      <c r="I10" s="337">
        <v>1</v>
      </c>
      <c r="J10" s="327">
        <v>361.18</v>
      </c>
      <c r="K10" s="359">
        <v>361.18</v>
      </c>
      <c r="L10" s="339" t="s">
        <v>284</v>
      </c>
      <c r="M10" s="339" t="s">
        <v>437</v>
      </c>
      <c r="N10" s="357" t="s">
        <v>431</v>
      </c>
      <c r="O10" s="340" t="s">
        <v>295</v>
      </c>
      <c r="P10" s="341">
        <f>K10*'база офис'!$B$2*(1+IFERROR(VLOOKUP(шахматка!H10,коэф!$A$1:$B$10,2,FALSE),0)+IFERROR(VLOOKUP(K10,коэф!$G$1:$H$9,2,TRUE),0)+IFERROR(VLOOKUP(шахматка!M10,коэф!$J$1:$K$3,2,FALSE),0)+IFERROR(VLOOKUP(шахматка!L10,коэф!$D$1:$E$2,2,FALSE),0))*'база офис'!$B$3*'база офис'!$B$6</f>
        <v>484019288.07272738</v>
      </c>
      <c r="Q10" s="341">
        <f t="shared" si="0"/>
        <v>1340105.4545454548</v>
      </c>
      <c r="R10" s="342"/>
    </row>
    <row r="11" spans="1:18" x14ac:dyDescent="0.35">
      <c r="A11" s="337" t="s">
        <v>278</v>
      </c>
      <c r="B11" s="337" t="s">
        <v>279</v>
      </c>
      <c r="C11" s="326">
        <v>502</v>
      </c>
      <c r="D11" s="337" t="s">
        <v>306</v>
      </c>
      <c r="E11" s="338" t="s">
        <v>307</v>
      </c>
      <c r="F11" s="337" t="s">
        <v>282</v>
      </c>
      <c r="G11" s="337" t="s">
        <v>283</v>
      </c>
      <c r="H11" s="338">
        <v>6</v>
      </c>
      <c r="I11" s="337">
        <v>1</v>
      </c>
      <c r="J11" s="327">
        <v>212.49</v>
      </c>
      <c r="K11" s="359">
        <v>212.49</v>
      </c>
      <c r="L11" s="339" t="s">
        <v>292</v>
      </c>
      <c r="M11" s="339" t="s">
        <v>437</v>
      </c>
      <c r="N11" s="357" t="s">
        <v>431</v>
      </c>
      <c r="O11" s="340" t="s">
        <v>295</v>
      </c>
      <c r="P11" s="341">
        <f>K11*'база офис'!$B$2*(1+IFERROR(VLOOKUP(шахматка!H11,коэф!$A$1:$B$10,2,FALSE),0)+IFERROR(VLOOKUP(K11,коэф!$G$1:$H$9,2,TRUE),0)+IFERROR(VLOOKUP(шахматка!M11,коэф!$J$1:$K$3,2,FALSE),0)+IFERROR(VLOOKUP(шахматка!L11,коэф!$D$1:$E$2,2,FALSE),0))*'база офис'!$B$3*'база офис'!$B$6</f>
        <v>301740049.79999995</v>
      </c>
      <c r="Q11" s="341">
        <f t="shared" si="0"/>
        <v>1420019.9999999998</v>
      </c>
      <c r="R11" s="342"/>
    </row>
    <row r="12" spans="1:18" x14ac:dyDescent="0.35">
      <c r="A12" s="337" t="s">
        <v>278</v>
      </c>
      <c r="B12" s="337" t="s">
        <v>279</v>
      </c>
      <c r="C12" s="326">
        <v>601</v>
      </c>
      <c r="D12" s="337" t="s">
        <v>308</v>
      </c>
      <c r="E12" s="338" t="s">
        <v>309</v>
      </c>
      <c r="F12" s="337" t="s">
        <v>282</v>
      </c>
      <c r="G12" s="337" t="s">
        <v>283</v>
      </c>
      <c r="H12" s="338">
        <v>6</v>
      </c>
      <c r="I12" s="337">
        <v>1</v>
      </c>
      <c r="J12" s="327">
        <v>140.08000000000001</v>
      </c>
      <c r="K12" s="359">
        <v>140.08000000000001</v>
      </c>
      <c r="L12" s="339" t="s">
        <v>284</v>
      </c>
      <c r="M12" s="339" t="s">
        <v>437</v>
      </c>
      <c r="N12" s="357" t="s">
        <v>431</v>
      </c>
      <c r="O12" s="340" t="s">
        <v>295</v>
      </c>
      <c r="P12" s="341">
        <f>K12*'база офис'!$B$2*(1+IFERROR(VLOOKUP(шахматка!H12,коэф!$A$1:$B$10,2,FALSE),0)+IFERROR(VLOOKUP(K12,коэф!$G$1:$H$9,2,TRUE),0)+IFERROR(VLOOKUP(шахматка!M12,коэф!$J$1:$K$3,2,FALSE),0)+IFERROR(VLOOKUP(шахматка!L12,коэф!$D$1:$E$2,2,FALSE),0))*'база офис'!$B$3*'база офис'!$B$6</f>
        <v>202360841.45454541</v>
      </c>
      <c r="Q12" s="341">
        <f t="shared" si="0"/>
        <v>1444609.0909090904</v>
      </c>
      <c r="R12" s="342"/>
    </row>
    <row r="13" spans="1:18" x14ac:dyDescent="0.35">
      <c r="A13" s="337" t="s">
        <v>278</v>
      </c>
      <c r="B13" s="337" t="s">
        <v>279</v>
      </c>
      <c r="C13" s="326">
        <v>602</v>
      </c>
      <c r="D13" s="337" t="s">
        <v>310</v>
      </c>
      <c r="E13" s="338" t="s">
        <v>311</v>
      </c>
      <c r="F13" s="337" t="s">
        <v>282</v>
      </c>
      <c r="G13" s="337" t="s">
        <v>283</v>
      </c>
      <c r="H13" s="338">
        <v>6</v>
      </c>
      <c r="I13" s="337">
        <v>1</v>
      </c>
      <c r="J13" s="327">
        <v>142.13</v>
      </c>
      <c r="K13" s="359">
        <v>142.13</v>
      </c>
      <c r="L13" s="339" t="s">
        <v>292</v>
      </c>
      <c r="M13" s="339" t="s">
        <v>437</v>
      </c>
      <c r="N13" s="357" t="s">
        <v>431</v>
      </c>
      <c r="O13" s="340" t="s">
        <v>295</v>
      </c>
      <c r="P13" s="341">
        <f>K13*'база офис'!$B$2*(1+IFERROR(VLOOKUP(шахматка!H13,коэф!$A$1:$B$10,2,FALSE),0)+IFERROR(VLOOKUP(K13,коэф!$G$1:$H$9,2,TRUE),0)+IFERROR(VLOOKUP(шахматка!M13,коэф!$J$1:$K$3,2,FALSE),0)+IFERROR(VLOOKUP(шахматка!L13,коэф!$D$1:$E$2,2,FALSE),0))*'база офис'!$B$3*'база офис'!$B$6</f>
        <v>210564561.32727268</v>
      </c>
      <c r="Q13" s="341">
        <f t="shared" si="0"/>
        <v>1481492.7272727271</v>
      </c>
      <c r="R13" s="342"/>
    </row>
    <row r="14" spans="1:18" x14ac:dyDescent="0.35">
      <c r="A14" s="337" t="s">
        <v>278</v>
      </c>
      <c r="B14" s="337" t="s">
        <v>279</v>
      </c>
      <c r="C14" s="326">
        <v>603</v>
      </c>
      <c r="D14" s="337" t="s">
        <v>312</v>
      </c>
      <c r="E14" s="338" t="s">
        <v>313</v>
      </c>
      <c r="F14" s="337" t="s">
        <v>282</v>
      </c>
      <c r="G14" s="337" t="s">
        <v>283</v>
      </c>
      <c r="H14" s="338">
        <v>6</v>
      </c>
      <c r="I14" s="337">
        <v>1</v>
      </c>
      <c r="J14" s="327">
        <v>219.09</v>
      </c>
      <c r="K14" s="359">
        <v>219.09</v>
      </c>
      <c r="L14" s="339" t="s">
        <v>284</v>
      </c>
      <c r="M14" s="339" t="s">
        <v>437</v>
      </c>
      <c r="N14" s="357" t="s">
        <v>431</v>
      </c>
      <c r="O14" s="340" t="s">
        <v>295</v>
      </c>
      <c r="P14" s="341">
        <f>K14*'база офис'!$B$2*(1+IFERROR(VLOOKUP(шахматка!H14,коэф!$A$1:$B$10,2,FALSE),0)+IFERROR(VLOOKUP(K14,коэф!$G$1:$H$9,2,TRUE),0)+IFERROR(VLOOKUP(шахматка!M14,коэф!$J$1:$K$3,2,FALSE),0)+IFERROR(VLOOKUP(шахматка!L14,коэф!$D$1:$E$2,2,FALSE),0))*'база офис'!$B$3*'база офис'!$B$6</f>
        <v>303031345.90909088</v>
      </c>
      <c r="Q14" s="341">
        <f t="shared" si="0"/>
        <v>1383136.3636363635</v>
      </c>
      <c r="R14" s="342"/>
    </row>
    <row r="15" spans="1:18" x14ac:dyDescent="0.35">
      <c r="A15" s="337" t="s">
        <v>278</v>
      </c>
      <c r="B15" s="337" t="s">
        <v>279</v>
      </c>
      <c r="C15" s="326">
        <v>604</v>
      </c>
      <c r="D15" s="337" t="s">
        <v>314</v>
      </c>
      <c r="E15" s="338" t="s">
        <v>315</v>
      </c>
      <c r="F15" s="337" t="s">
        <v>282</v>
      </c>
      <c r="G15" s="337" t="s">
        <v>283</v>
      </c>
      <c r="H15" s="338">
        <v>7</v>
      </c>
      <c r="I15" s="337">
        <v>1</v>
      </c>
      <c r="J15" s="327">
        <v>212.49</v>
      </c>
      <c r="K15" s="359">
        <v>212.49</v>
      </c>
      <c r="L15" s="339" t="s">
        <v>292</v>
      </c>
      <c r="M15" s="339" t="s">
        <v>437</v>
      </c>
      <c r="N15" s="357" t="s">
        <v>431</v>
      </c>
      <c r="O15" s="340" t="s">
        <v>295</v>
      </c>
      <c r="P15" s="341">
        <f>K15*'база офис'!$B$2*(1+IFERROR(VLOOKUP(шахматка!H15,коэф!$A$1:$B$10,2,FALSE),0)+IFERROR(VLOOKUP(K15,коэф!$G$1:$H$9,2,TRUE),0)+IFERROR(VLOOKUP(шахматка!M15,коэф!$J$1:$K$3,2,FALSE),0)+IFERROR(VLOOKUP(шахматка!L15,коэф!$D$1:$E$2,2,FALSE),0))*'база офис'!$B$3*'база офис'!$B$6</f>
        <v>300433815.81818187</v>
      </c>
      <c r="Q15" s="341">
        <f t="shared" si="0"/>
        <v>1413872.7272727275</v>
      </c>
      <c r="R15" s="342"/>
    </row>
    <row r="16" spans="1:18" x14ac:dyDescent="0.35">
      <c r="A16" s="337" t="s">
        <v>278</v>
      </c>
      <c r="B16" s="337" t="s">
        <v>279</v>
      </c>
      <c r="C16" s="326">
        <v>701</v>
      </c>
      <c r="D16" s="337" t="s">
        <v>316</v>
      </c>
      <c r="E16" s="338" t="s">
        <v>317</v>
      </c>
      <c r="F16" s="337" t="s">
        <v>282</v>
      </c>
      <c r="G16" s="337" t="s">
        <v>283</v>
      </c>
      <c r="H16" s="338">
        <v>7</v>
      </c>
      <c r="I16" s="337">
        <v>1</v>
      </c>
      <c r="J16" s="327">
        <v>140.08000000000001</v>
      </c>
      <c r="K16" s="359">
        <v>140.08000000000001</v>
      </c>
      <c r="L16" s="339" t="s">
        <v>284</v>
      </c>
      <c r="M16" s="339" t="s">
        <v>437</v>
      </c>
      <c r="N16" s="357" t="s">
        <v>431</v>
      </c>
      <c r="O16" s="340" t="s">
        <v>295</v>
      </c>
      <c r="P16" s="341">
        <f>K16*'база офис'!$B$2*(1+IFERROR(VLOOKUP(шахматка!H16,коэф!$A$1:$B$10,2,FALSE),0)+IFERROR(VLOOKUP(K16,коэф!$G$1:$H$9,2,TRUE),0)+IFERROR(VLOOKUP(шахматка!M16,коэф!$J$1:$K$3,2,FALSE),0)+IFERROR(VLOOKUP(шахматка!L16,коэф!$D$1:$E$2,2,FALSE),0))*'база офис'!$B$3*'база офис'!$B$6</f>
        <v>201499731.49090907</v>
      </c>
      <c r="Q16" s="341">
        <f t="shared" si="0"/>
        <v>1438461.8181818179</v>
      </c>
      <c r="R16" s="343"/>
    </row>
    <row r="17" spans="1:18" x14ac:dyDescent="0.35">
      <c r="A17" s="337" t="s">
        <v>278</v>
      </c>
      <c r="B17" s="337" t="s">
        <v>279</v>
      </c>
      <c r="C17" s="326">
        <v>702</v>
      </c>
      <c r="D17" s="337" t="s">
        <v>318</v>
      </c>
      <c r="E17" s="338" t="s">
        <v>319</v>
      </c>
      <c r="F17" s="337" t="s">
        <v>282</v>
      </c>
      <c r="G17" s="337" t="s">
        <v>283</v>
      </c>
      <c r="H17" s="338">
        <v>7</v>
      </c>
      <c r="I17" s="337">
        <v>1</v>
      </c>
      <c r="J17" s="327">
        <v>142.13</v>
      </c>
      <c r="K17" s="359">
        <v>142.13</v>
      </c>
      <c r="L17" s="339" t="s">
        <v>292</v>
      </c>
      <c r="M17" s="339" t="s">
        <v>437</v>
      </c>
      <c r="N17" s="357" t="s">
        <v>431</v>
      </c>
      <c r="O17" s="340" t="s">
        <v>295</v>
      </c>
      <c r="P17" s="341">
        <f>K17*'база офис'!$B$2*(1+IFERROR(VLOOKUP(шахматка!H17,коэф!$A$1:$B$10,2,FALSE),0)+IFERROR(VLOOKUP(K17,коэф!$G$1:$H$9,2,TRUE),0)+IFERROR(VLOOKUP(шахматка!M17,коэф!$J$1:$K$3,2,FALSE),0)+IFERROR(VLOOKUP(шахматка!L17,коэф!$D$1:$E$2,2,FALSE),0))*'база офис'!$B$3*'база офис'!$B$6</f>
        <v>209690849.45454544</v>
      </c>
      <c r="Q17" s="341">
        <f t="shared" si="0"/>
        <v>1475345.4545454546</v>
      </c>
      <c r="R17" s="343"/>
    </row>
    <row r="18" spans="1:18" x14ac:dyDescent="0.35">
      <c r="A18" s="337" t="s">
        <v>278</v>
      </c>
      <c r="B18" s="337" t="s">
        <v>279</v>
      </c>
      <c r="C18" s="326">
        <v>703</v>
      </c>
      <c r="D18" s="337" t="s">
        <v>320</v>
      </c>
      <c r="E18" s="338" t="s">
        <v>321</v>
      </c>
      <c r="F18" s="337" t="s">
        <v>282</v>
      </c>
      <c r="G18" s="337" t="s">
        <v>283</v>
      </c>
      <c r="H18" s="338">
        <v>7</v>
      </c>
      <c r="I18" s="337">
        <v>1</v>
      </c>
      <c r="J18" s="327">
        <v>219.09</v>
      </c>
      <c r="K18" s="359">
        <v>219.09</v>
      </c>
      <c r="L18" s="339" t="s">
        <v>284</v>
      </c>
      <c r="M18" s="339" t="s">
        <v>437</v>
      </c>
      <c r="N18" s="357" t="s">
        <v>431</v>
      </c>
      <c r="O18" s="340" t="s">
        <v>295</v>
      </c>
      <c r="P18" s="341">
        <f>K18*'база офис'!$B$2*(1+IFERROR(VLOOKUP(шахматка!H18,коэф!$A$1:$B$10,2,FALSE),0)+IFERROR(VLOOKUP(K18,коэф!$G$1:$H$9,2,TRUE),0)+IFERROR(VLOOKUP(шахматка!M18,коэф!$J$1:$K$3,2,FALSE),0)+IFERROR(VLOOKUP(шахматка!L18,коэф!$D$1:$E$2,2,FALSE),0))*'база офис'!$B$3*'база офис'!$B$6</f>
        <v>301684539.92727274</v>
      </c>
      <c r="Q18" s="341">
        <f t="shared" si="0"/>
        <v>1376989.0909090908</v>
      </c>
      <c r="R18" s="342"/>
    </row>
    <row r="19" spans="1:18" x14ac:dyDescent="0.35">
      <c r="A19" s="337" t="s">
        <v>278</v>
      </c>
      <c r="B19" s="337" t="s">
        <v>279</v>
      </c>
      <c r="C19" s="326">
        <v>704</v>
      </c>
      <c r="D19" s="337" t="s">
        <v>322</v>
      </c>
      <c r="E19" s="338" t="s">
        <v>323</v>
      </c>
      <c r="F19" s="337" t="s">
        <v>282</v>
      </c>
      <c r="G19" s="337" t="s">
        <v>283</v>
      </c>
      <c r="H19" s="338">
        <v>8</v>
      </c>
      <c r="I19" s="337">
        <v>1</v>
      </c>
      <c r="J19" s="327">
        <v>212.49</v>
      </c>
      <c r="K19" s="359">
        <v>212.49</v>
      </c>
      <c r="L19" s="339" t="s">
        <v>292</v>
      </c>
      <c r="M19" s="339" t="s">
        <v>437</v>
      </c>
      <c r="N19" s="357" t="s">
        <v>431</v>
      </c>
      <c r="O19" s="340" t="s">
        <v>295</v>
      </c>
      <c r="P19" s="341">
        <f>K19*'база офис'!$B$2*(1+IFERROR(VLOOKUP(шахматка!H19,коэф!$A$1:$B$10,2,FALSE),0)+IFERROR(VLOOKUP(K19,коэф!$G$1:$H$9,2,TRUE),0)+IFERROR(VLOOKUP(шахматка!M19,коэф!$J$1:$K$3,2,FALSE),0)+IFERROR(VLOOKUP(шахматка!L19,коэф!$D$1:$E$2,2,FALSE),0))*'база офис'!$B$3*'база офис'!$B$6</f>
        <v>287371476.00000006</v>
      </c>
      <c r="Q19" s="341">
        <f t="shared" si="0"/>
        <v>1352400.0000000002</v>
      </c>
      <c r="R19" s="342"/>
    </row>
    <row r="20" spans="1:18" x14ac:dyDescent="0.35">
      <c r="A20" s="337" t="s">
        <v>278</v>
      </c>
      <c r="B20" s="337" t="s">
        <v>279</v>
      </c>
      <c r="C20" s="326">
        <v>801</v>
      </c>
      <c r="D20" s="337" t="s">
        <v>324</v>
      </c>
      <c r="E20" s="338" t="s">
        <v>325</v>
      </c>
      <c r="F20" s="337" t="s">
        <v>282</v>
      </c>
      <c r="G20" s="337" t="s">
        <v>283</v>
      </c>
      <c r="H20" s="338">
        <v>8</v>
      </c>
      <c r="I20" s="337">
        <v>1</v>
      </c>
      <c r="J20" s="327">
        <v>140.08000000000001</v>
      </c>
      <c r="K20" s="359">
        <v>140.08000000000001</v>
      </c>
      <c r="L20" s="339" t="s">
        <v>284</v>
      </c>
      <c r="M20" s="339" t="s">
        <v>437</v>
      </c>
      <c r="N20" s="357" t="s">
        <v>431</v>
      </c>
      <c r="O20" s="340" t="s">
        <v>295</v>
      </c>
      <c r="P20" s="341">
        <f>K20*'база офис'!$B$2*(1+IFERROR(VLOOKUP(шахматка!H20,коэф!$A$1:$B$10,2,FALSE),0)+IFERROR(VLOOKUP(K20,коэф!$G$1:$H$9,2,TRUE),0)+IFERROR(VLOOKUP(шахматка!M20,коэф!$J$1:$K$3,2,FALSE),0)+IFERROR(VLOOKUP(шахматка!L20,коэф!$D$1:$E$2,2,FALSE),0))*'база офис'!$B$3*'база офис'!$B$6</f>
        <v>192888631.85454541</v>
      </c>
      <c r="Q20" s="341">
        <f t="shared" si="0"/>
        <v>1376989.0909090906</v>
      </c>
      <c r="R20" s="342"/>
    </row>
    <row r="21" spans="1:18" x14ac:dyDescent="0.35">
      <c r="A21" s="337" t="s">
        <v>278</v>
      </c>
      <c r="B21" s="337" t="s">
        <v>279</v>
      </c>
      <c r="C21" s="326">
        <v>802</v>
      </c>
      <c r="D21" s="337" t="s">
        <v>326</v>
      </c>
      <c r="E21" s="338" t="s">
        <v>327</v>
      </c>
      <c r="F21" s="337" t="s">
        <v>282</v>
      </c>
      <c r="G21" s="337" t="s">
        <v>283</v>
      </c>
      <c r="H21" s="338">
        <v>8</v>
      </c>
      <c r="I21" s="337">
        <v>1</v>
      </c>
      <c r="J21" s="327">
        <v>142.13</v>
      </c>
      <c r="K21" s="359">
        <v>142.13</v>
      </c>
      <c r="L21" s="339" t="s">
        <v>292</v>
      </c>
      <c r="M21" s="339" t="s">
        <v>437</v>
      </c>
      <c r="N21" s="357" t="s">
        <v>431</v>
      </c>
      <c r="O21" s="340" t="s">
        <v>295</v>
      </c>
      <c r="P21" s="341">
        <f>K21*'база офис'!$B$2*(1+IFERROR(VLOOKUP(шахматка!H21,коэф!$A$1:$B$10,2,FALSE),0)+IFERROR(VLOOKUP(K21,коэф!$G$1:$H$9,2,TRUE),0)+IFERROR(VLOOKUP(шахматка!M21,коэф!$J$1:$K$3,2,FALSE),0)+IFERROR(VLOOKUP(шахматка!L21,коэф!$D$1:$E$2,2,FALSE),0))*'база офис'!$B$3*'база офис'!$B$6</f>
        <v>200953730.72727272</v>
      </c>
      <c r="Q21" s="341">
        <f t="shared" si="0"/>
        <v>1413872.7272727273</v>
      </c>
      <c r="R21" s="342"/>
    </row>
    <row r="22" spans="1:18" x14ac:dyDescent="0.35">
      <c r="A22" s="337" t="s">
        <v>278</v>
      </c>
      <c r="B22" s="337" t="s">
        <v>279</v>
      </c>
      <c r="C22" s="326">
        <v>803</v>
      </c>
      <c r="D22" s="337" t="s">
        <v>328</v>
      </c>
      <c r="E22" s="338" t="s">
        <v>329</v>
      </c>
      <c r="F22" s="337" t="s">
        <v>282</v>
      </c>
      <c r="G22" s="337" t="s">
        <v>283</v>
      </c>
      <c r="H22" s="338">
        <v>8</v>
      </c>
      <c r="I22" s="337">
        <v>1</v>
      </c>
      <c r="J22" s="327">
        <v>219.09</v>
      </c>
      <c r="K22" s="359">
        <v>219.09</v>
      </c>
      <c r="L22" s="339" t="s">
        <v>284</v>
      </c>
      <c r="M22" s="339" t="s">
        <v>437</v>
      </c>
      <c r="N22" s="357" t="s">
        <v>431</v>
      </c>
      <c r="O22" s="340" t="s">
        <v>295</v>
      </c>
      <c r="P22" s="341">
        <f>K22*'база офис'!$B$2*(1+IFERROR(VLOOKUP(шахматка!H22,коэф!$A$1:$B$10,2,FALSE),0)+IFERROR(VLOOKUP(K22,коэф!$G$1:$H$9,2,TRUE),0)+IFERROR(VLOOKUP(шахматка!M22,коэф!$J$1:$K$3,2,FALSE),0)+IFERROR(VLOOKUP(шахматка!L22,коэф!$D$1:$E$2,2,FALSE),0))*'база офис'!$B$3*'база офис'!$B$6</f>
        <v>288216480.10909098</v>
      </c>
      <c r="Q22" s="341">
        <f t="shared" si="0"/>
        <v>1315516.363636364</v>
      </c>
      <c r="R22" s="343"/>
    </row>
    <row r="23" spans="1:18" x14ac:dyDescent="0.35">
      <c r="A23" s="337" t="s">
        <v>278</v>
      </c>
      <c r="B23" s="337" t="s">
        <v>279</v>
      </c>
      <c r="C23" s="326">
        <v>804</v>
      </c>
      <c r="D23" s="337" t="s">
        <v>330</v>
      </c>
      <c r="E23" s="338" t="s">
        <v>331</v>
      </c>
      <c r="F23" s="337" t="s">
        <v>282</v>
      </c>
      <c r="G23" s="337" t="s">
        <v>283</v>
      </c>
      <c r="H23" s="338">
        <v>9</v>
      </c>
      <c r="I23" s="337">
        <v>1</v>
      </c>
      <c r="J23" s="327">
        <v>704.02</v>
      </c>
      <c r="K23" s="359">
        <v>704.02</v>
      </c>
      <c r="L23" s="339" t="s">
        <v>292</v>
      </c>
      <c r="M23" s="339" t="s">
        <v>437</v>
      </c>
      <c r="N23" s="357" t="s">
        <v>431</v>
      </c>
      <c r="O23" s="340" t="s">
        <v>295</v>
      </c>
      <c r="P23" s="341">
        <f>K23*'база офис'!$B$2*(1+IFERROR(VLOOKUP(шахматка!H23,коэф!$A$1:$B$10,2,FALSE),0)+IFERROR(VLOOKUP(K23,коэф!$G$1:$H$9,2,TRUE),0)+IFERROR(VLOOKUP(шахматка!M23,коэф!$J$1:$K$3,2,FALSE),0)+IFERROR(VLOOKUP(шахматка!L23,коэф!$D$1:$E$2,2,FALSE),0))*'база офис'!$B$3*'база офис'!$B$6</f>
        <v>727070894.83636367</v>
      </c>
      <c r="Q23" s="341">
        <f t="shared" si="0"/>
        <v>1032741.8181818182</v>
      </c>
      <c r="R23" s="343"/>
    </row>
    <row r="24" spans="1:18" x14ac:dyDescent="0.35">
      <c r="A24" s="337" t="s">
        <v>278</v>
      </c>
      <c r="B24" s="337" t="s">
        <v>279</v>
      </c>
      <c r="C24" s="326">
        <v>901</v>
      </c>
      <c r="D24" s="337" t="s">
        <v>332</v>
      </c>
      <c r="E24" s="338" t="s">
        <v>333</v>
      </c>
      <c r="F24" s="337" t="s">
        <v>282</v>
      </c>
      <c r="G24" s="337" t="s">
        <v>283</v>
      </c>
      <c r="H24" s="338">
        <v>10</v>
      </c>
      <c r="I24" s="337">
        <v>1</v>
      </c>
      <c r="J24" s="327">
        <f>558.89+133.38</f>
        <v>692.27</v>
      </c>
      <c r="K24" s="359">
        <v>692.27</v>
      </c>
      <c r="L24" s="339" t="s">
        <v>284</v>
      </c>
      <c r="M24" s="339" t="s">
        <v>437</v>
      </c>
      <c r="N24" s="357" t="s">
        <v>431</v>
      </c>
      <c r="O24" s="340" t="s">
        <v>295</v>
      </c>
      <c r="P24" s="341">
        <f>K24*'база офис'!$B$2*(1+IFERROR(VLOOKUP(шахматка!H24,коэф!$A$1:$B$10,2,FALSE),0)+IFERROR(VLOOKUP(K24,коэф!$G$1:$H$9,2,TRUE),0)+IFERROR(VLOOKUP(шахматка!M24,коэф!$J$1:$K$3,2,FALSE),0)+IFERROR(VLOOKUP(шахматка!L24,коэф!$D$1:$E$2,2,FALSE),0))*'база офис'!$B$3*'база офис'!$B$6</f>
        <v>723447323.45454538</v>
      </c>
      <c r="Q24" s="341">
        <f t="shared" si="0"/>
        <v>1045036.3636363635</v>
      </c>
      <c r="R24" s="342"/>
    </row>
    <row r="25" spans="1:18" x14ac:dyDescent="0.35">
      <c r="A25" s="337" t="s">
        <v>278</v>
      </c>
      <c r="B25" s="337" t="s">
        <v>279</v>
      </c>
      <c r="C25" s="326">
        <v>1001</v>
      </c>
      <c r="D25" s="337" t="s">
        <v>334</v>
      </c>
      <c r="E25" s="338" t="s">
        <v>335</v>
      </c>
      <c r="F25" s="337" t="s">
        <v>282</v>
      </c>
      <c r="G25" s="337" t="s">
        <v>283</v>
      </c>
      <c r="H25" s="338">
        <v>1</v>
      </c>
      <c r="I25" s="337">
        <v>1</v>
      </c>
      <c r="J25" s="327">
        <v>0</v>
      </c>
      <c r="K25" s="359">
        <v>0</v>
      </c>
      <c r="L25" s="339" t="s">
        <v>292</v>
      </c>
      <c r="M25" s="339" t="s">
        <v>437</v>
      </c>
      <c r="N25" s="357" t="s">
        <v>431</v>
      </c>
      <c r="O25" s="340" t="s">
        <v>295</v>
      </c>
      <c r="P25" s="341">
        <f>K25*'база офис'!$B$2*(1+IFERROR(VLOOKUP(шахматка!H25,коэф!$A$1:$B$10,2,FALSE),0)+IFERROR(VLOOKUP(K25,коэф!$G$1:$H$9,2,TRUE),0)+IFERROR(VLOOKUP(шахматка!M25,коэф!$J$1:$K$3,2,FALSE),0)+IFERROR(VLOOKUP(шахматка!L25,коэф!$D$1:$E$2,2,FALSE),0))*'база офис'!$B$3*'база офис'!$B$6</f>
        <v>0</v>
      </c>
      <c r="Q25" s="341"/>
      <c r="R25" s="342"/>
    </row>
    <row r="26" spans="1:18" x14ac:dyDescent="0.35">
      <c r="A26" s="337" t="s">
        <v>278</v>
      </c>
      <c r="B26" s="337" t="s">
        <v>279</v>
      </c>
      <c r="C26" s="326" t="s">
        <v>404</v>
      </c>
      <c r="D26" s="337" t="s">
        <v>336</v>
      </c>
      <c r="E26" s="338" t="s">
        <v>337</v>
      </c>
      <c r="F26" s="337" t="s">
        <v>282</v>
      </c>
      <c r="G26" s="337" t="s">
        <v>283</v>
      </c>
      <c r="H26" s="338">
        <v>1</v>
      </c>
      <c r="I26" s="337">
        <v>1</v>
      </c>
      <c r="J26" s="327">
        <v>0</v>
      </c>
      <c r="K26" s="339">
        <v>0</v>
      </c>
      <c r="L26" s="339" t="s">
        <v>284</v>
      </c>
      <c r="M26" s="339" t="s">
        <v>437</v>
      </c>
      <c r="N26" s="357" t="s">
        <v>432</v>
      </c>
      <c r="O26" s="340" t="s">
        <v>295</v>
      </c>
      <c r="P26" s="341">
        <f>K26*[3]база!$B$1*(1+IFERROR(VLOOKUP(шахматка!H26,[3]коэф!$A$1:$B$9,2,FALSE),0)+IFERROR(VLOOKUP(шахматка!I26,коэф!$G:$H,2,FALSE),0)+IFERROR(VLOOKUP(шахматка!M26,[3]коэф!$J$1:$K$3,2,FALSE),0)+IFERROR(VLOOKUP(шахматка!L26,[3]коэф!$D$1:$E$3,2,FALSE),0))*[3]база!$B$2*[3]база!$B$5</f>
        <v>0</v>
      </c>
      <c r="Q26" s="341"/>
      <c r="R26" s="342"/>
    </row>
    <row r="27" spans="1:18" x14ac:dyDescent="0.35">
      <c r="A27" s="337" t="s">
        <v>278</v>
      </c>
      <c r="B27" s="337" t="s">
        <v>279</v>
      </c>
      <c r="C27" s="326" t="s">
        <v>405</v>
      </c>
      <c r="D27" s="337" t="s">
        <v>338</v>
      </c>
      <c r="E27" s="338" t="s">
        <v>339</v>
      </c>
      <c r="F27" s="337" t="s">
        <v>282</v>
      </c>
      <c r="G27" s="337" t="s">
        <v>283</v>
      </c>
      <c r="H27" s="338">
        <v>1</v>
      </c>
      <c r="I27" s="337">
        <v>1</v>
      </c>
      <c r="J27" s="327">
        <v>0</v>
      </c>
      <c r="K27" s="339">
        <v>0</v>
      </c>
      <c r="L27" s="339" t="s">
        <v>288</v>
      </c>
      <c r="M27" s="339" t="s">
        <v>437</v>
      </c>
      <c r="N27" s="357" t="s">
        <v>432</v>
      </c>
      <c r="O27" s="340" t="s">
        <v>295</v>
      </c>
      <c r="P27" s="341">
        <f>K27*[3]база!$B$1*(1+IFERROR(VLOOKUP(шахматка!H27,[3]коэф!$A$1:$B$9,2,FALSE),0)+IFERROR(VLOOKUP(шахматка!I27,коэф!$G:$H,2,FALSE),0)+IFERROR(VLOOKUP(шахматка!M27,[3]коэф!$J$1:$K$3,2,FALSE),0)+IFERROR(VLOOKUP(шахматка!L27,[3]коэф!$D$1:$E$3,2,FALSE),0))*[3]база!$B$2*[3]база!$B$5</f>
        <v>0</v>
      </c>
      <c r="Q27" s="341"/>
      <c r="R27" s="342"/>
    </row>
    <row r="28" spans="1:18" x14ac:dyDescent="0.35">
      <c r="A28" s="337" t="s">
        <v>278</v>
      </c>
      <c r="B28" s="337" t="s">
        <v>279</v>
      </c>
      <c r="C28" s="326" t="s">
        <v>406</v>
      </c>
      <c r="D28" s="337" t="s">
        <v>340</v>
      </c>
      <c r="E28" s="338" t="s">
        <v>341</v>
      </c>
      <c r="F28" s="337" t="s">
        <v>282</v>
      </c>
      <c r="G28" s="337" t="s">
        <v>283</v>
      </c>
      <c r="H28" s="338">
        <v>1</v>
      </c>
      <c r="I28" s="337">
        <v>1</v>
      </c>
      <c r="J28" s="327">
        <v>0</v>
      </c>
      <c r="K28" s="339">
        <v>0</v>
      </c>
      <c r="L28" s="339" t="s">
        <v>292</v>
      </c>
      <c r="M28" s="339" t="s">
        <v>437</v>
      </c>
      <c r="N28" s="357" t="s">
        <v>432</v>
      </c>
      <c r="O28" s="340" t="s">
        <v>295</v>
      </c>
      <c r="P28" s="341">
        <f>K28*[3]база!$B$1*(1+IFERROR(VLOOKUP(шахматка!H28,[3]коэф!$A$1:$B$9,2,FALSE),0)+IFERROR(VLOOKUP(шахматка!I28,коэф!$G:$H,2,FALSE),0)+IFERROR(VLOOKUP(шахматка!M28,[3]коэф!$J$1:$K$3,2,FALSE),0)+IFERROR(VLOOKUP(шахматка!L28,[3]коэф!$D$1:$E$3,2,FALSE),0))*[3]база!$B$2*[3]база!$B$5</f>
        <v>0</v>
      </c>
      <c r="Q28" s="341"/>
      <c r="R28" s="342"/>
    </row>
    <row r="29" spans="1:18" x14ac:dyDescent="0.35">
      <c r="A29" s="337" t="s">
        <v>278</v>
      </c>
      <c r="B29" s="337" t="s">
        <v>279</v>
      </c>
      <c r="C29" s="326" t="s">
        <v>407</v>
      </c>
      <c r="D29" s="337" t="s">
        <v>342</v>
      </c>
      <c r="E29" s="338" t="s">
        <v>343</v>
      </c>
      <c r="F29" s="337" t="s">
        <v>282</v>
      </c>
      <c r="G29" s="337" t="s">
        <v>283</v>
      </c>
      <c r="H29" s="338">
        <v>1</v>
      </c>
      <c r="I29" s="337">
        <v>1</v>
      </c>
      <c r="J29" s="327">
        <v>0</v>
      </c>
      <c r="K29" s="339">
        <v>0</v>
      </c>
      <c r="L29" s="339" t="s">
        <v>284</v>
      </c>
      <c r="M29" s="339" t="s">
        <v>437</v>
      </c>
      <c r="N29" s="357" t="s">
        <v>432</v>
      </c>
      <c r="O29" s="340" t="s">
        <v>295</v>
      </c>
      <c r="P29" s="341">
        <f>K29*[3]база!$B$1*(1+IFERROR(VLOOKUP(шахматка!H29,[3]коэф!$A$1:$B$9,2,FALSE),0)+IFERROR(VLOOKUP(шахматка!I29,коэф!$G:$H,2,FALSE),0)+IFERROR(VLOOKUP(шахматка!M29,[3]коэф!$J$1:$K$3,2,FALSE),0)+IFERROR(VLOOKUP(шахматка!L29,[3]коэф!$D$1:$E$3,2,FALSE),0))*[3]база!$B$2*[3]база!$B$5</f>
        <v>0</v>
      </c>
      <c r="Q29" s="341"/>
      <c r="R29" s="342"/>
    </row>
    <row r="30" spans="1:18" x14ac:dyDescent="0.35">
      <c r="A30" s="337" t="s">
        <v>278</v>
      </c>
      <c r="B30" s="337" t="s">
        <v>279</v>
      </c>
      <c r="C30" s="326" t="s">
        <v>408</v>
      </c>
      <c r="D30" s="337" t="s">
        <v>344</v>
      </c>
      <c r="E30" s="338" t="s">
        <v>345</v>
      </c>
      <c r="F30" s="337" t="s">
        <v>282</v>
      </c>
      <c r="G30" s="337" t="s">
        <v>283</v>
      </c>
      <c r="H30" s="338">
        <v>1</v>
      </c>
      <c r="I30" s="337">
        <v>1</v>
      </c>
      <c r="J30" s="327">
        <v>0</v>
      </c>
      <c r="K30" s="339">
        <v>0</v>
      </c>
      <c r="L30" s="339" t="s">
        <v>288</v>
      </c>
      <c r="M30" s="339" t="s">
        <v>437</v>
      </c>
      <c r="N30" s="357" t="s">
        <v>432</v>
      </c>
      <c r="O30" s="340" t="s">
        <v>295</v>
      </c>
      <c r="P30" s="341">
        <f>K30*[3]база!$B$1*(1+IFERROR(VLOOKUP(шахматка!H30,[3]коэф!$A$1:$B$9,2,FALSE),0)+IFERROR(VLOOKUP(шахматка!I30,коэф!$G:$H,2,FALSE),0)+IFERROR(VLOOKUP(шахматка!M30,[3]коэф!$J$1:$K$3,2,FALSE),0)+IFERROR(VLOOKUP(шахматка!L30,[3]коэф!$D$1:$E$3,2,FALSE),0))*[3]база!$B$2*[3]база!$B$5</f>
        <v>0</v>
      </c>
      <c r="Q30" s="341"/>
      <c r="R30" s="342"/>
    </row>
    <row r="31" spans="1:18" x14ac:dyDescent="0.35">
      <c r="A31" s="337" t="s">
        <v>278</v>
      </c>
      <c r="B31" s="337" t="s">
        <v>279</v>
      </c>
      <c r="C31" s="326" t="s">
        <v>409</v>
      </c>
      <c r="D31" s="337" t="s">
        <v>346</v>
      </c>
      <c r="E31" s="338" t="s">
        <v>347</v>
      </c>
      <c r="F31" s="337" t="s">
        <v>282</v>
      </c>
      <c r="G31" s="337" t="s">
        <v>283</v>
      </c>
      <c r="H31" s="338">
        <v>1</v>
      </c>
      <c r="I31" s="337">
        <v>1</v>
      </c>
      <c r="J31" s="327">
        <v>0</v>
      </c>
      <c r="K31" s="339">
        <v>0</v>
      </c>
      <c r="L31" s="339" t="s">
        <v>292</v>
      </c>
      <c r="M31" s="339" t="s">
        <v>437</v>
      </c>
      <c r="N31" s="357" t="s">
        <v>432</v>
      </c>
      <c r="O31" s="340" t="s">
        <v>295</v>
      </c>
      <c r="P31" s="341">
        <f>K31*[3]база!$B$1*(1+IFERROR(VLOOKUP(шахматка!H31,[3]коэф!$A$1:$B$9,2,FALSE),0)+IFERROR(VLOOKUP(шахматка!I31,коэф!$G:$H,2,FALSE),0)+IFERROR(VLOOKUP(шахматка!M31,[3]коэф!$J$1:$K$3,2,FALSE),0)+IFERROR(VLOOKUP(шахматка!L31,[3]коэф!$D$1:$E$3,2,FALSE),0))*[3]база!$B$2*[3]база!$B$5</f>
        <v>0</v>
      </c>
      <c r="Q31" s="341"/>
      <c r="R31" s="342"/>
    </row>
    <row r="32" spans="1:18" x14ac:dyDescent="0.35">
      <c r="A32" s="337" t="s">
        <v>278</v>
      </c>
      <c r="B32" s="337" t="s">
        <v>279</v>
      </c>
      <c r="C32" s="326" t="s">
        <v>410</v>
      </c>
      <c r="D32" s="337" t="s">
        <v>348</v>
      </c>
      <c r="E32" s="338" t="s">
        <v>349</v>
      </c>
      <c r="F32" s="337" t="s">
        <v>282</v>
      </c>
      <c r="G32" s="337" t="s">
        <v>283</v>
      </c>
      <c r="H32" s="338">
        <v>1</v>
      </c>
      <c r="I32" s="337">
        <v>1</v>
      </c>
      <c r="J32" s="327">
        <v>0</v>
      </c>
      <c r="K32" s="339">
        <v>0</v>
      </c>
      <c r="L32" s="339" t="s">
        <v>284</v>
      </c>
      <c r="M32" s="339" t="s">
        <v>437</v>
      </c>
      <c r="N32" s="357" t="s">
        <v>432</v>
      </c>
      <c r="O32" s="340" t="s">
        <v>295</v>
      </c>
      <c r="P32" s="341">
        <f>K32*[3]база!$B$1*(1+IFERROR(VLOOKUP(шахматка!H32,[3]коэф!$A$1:$B$9,2,FALSE),0)+IFERROR(VLOOKUP(шахматка!I32,коэф!$G:$H,2,FALSE),0)+IFERROR(VLOOKUP(шахматка!M32,[3]коэф!$J$1:$K$3,2,FALSE),0)+IFERROR(VLOOKUP(шахматка!L32,[3]коэф!$D$1:$E$3,2,FALSE),0))*[3]база!$B$2*[3]база!$B$5</f>
        <v>0</v>
      </c>
      <c r="Q32" s="341"/>
      <c r="R32" s="342"/>
    </row>
    <row r="33" spans="1:18" x14ac:dyDescent="0.35">
      <c r="A33" s="337" t="s">
        <v>278</v>
      </c>
      <c r="B33" s="337" t="s">
        <v>279</v>
      </c>
      <c r="C33" s="326" t="s">
        <v>411</v>
      </c>
      <c r="D33" s="337" t="s">
        <v>350</v>
      </c>
      <c r="E33" s="338" t="s">
        <v>351</v>
      </c>
      <c r="F33" s="337" t="s">
        <v>282</v>
      </c>
      <c r="G33" s="337" t="s">
        <v>283</v>
      </c>
      <c r="H33" s="338">
        <v>1</v>
      </c>
      <c r="I33" s="337">
        <v>1</v>
      </c>
      <c r="J33" s="327">
        <v>0</v>
      </c>
      <c r="K33" s="339">
        <v>0</v>
      </c>
      <c r="L33" s="339" t="s">
        <v>288</v>
      </c>
      <c r="M33" s="339" t="s">
        <v>437</v>
      </c>
      <c r="N33" s="357" t="s">
        <v>432</v>
      </c>
      <c r="O33" s="340" t="s">
        <v>295</v>
      </c>
      <c r="P33" s="341">
        <f>K33*[3]база!$B$1*(1+IFERROR(VLOOKUP(шахматка!H33,[3]коэф!$A$1:$B$9,2,FALSE),0)+IFERROR(VLOOKUP(шахматка!I33,коэф!$G:$H,2,FALSE),0)+IFERROR(VLOOKUP(шахматка!M33,[3]коэф!$J$1:$K$3,2,FALSE),0)+IFERROR(VLOOKUP(шахматка!L33,[3]коэф!$D$1:$E$3,2,FALSE),0))*[3]база!$B$2*[3]база!$B$5</f>
        <v>0</v>
      </c>
      <c r="Q33" s="341"/>
      <c r="R33" s="342"/>
    </row>
    <row r="34" spans="1:18" x14ac:dyDescent="0.35">
      <c r="A34" s="337" t="s">
        <v>278</v>
      </c>
      <c r="B34" s="337" t="s">
        <v>279</v>
      </c>
      <c r="C34" s="326" t="s">
        <v>412</v>
      </c>
      <c r="D34" s="337" t="s">
        <v>352</v>
      </c>
      <c r="E34" s="338" t="s">
        <v>353</v>
      </c>
      <c r="F34" s="337" t="s">
        <v>282</v>
      </c>
      <c r="G34" s="337" t="s">
        <v>283</v>
      </c>
      <c r="H34" s="338">
        <v>1</v>
      </c>
      <c r="I34" s="337">
        <v>1</v>
      </c>
      <c r="J34" s="327">
        <v>0</v>
      </c>
      <c r="K34" s="339">
        <v>0</v>
      </c>
      <c r="L34" s="339" t="s">
        <v>292</v>
      </c>
      <c r="M34" s="339" t="s">
        <v>437</v>
      </c>
      <c r="N34" s="357" t="s">
        <v>432</v>
      </c>
      <c r="O34" s="340" t="s">
        <v>295</v>
      </c>
      <c r="P34" s="341">
        <f>K34*[3]база!$B$1*(1+IFERROR(VLOOKUP(шахматка!H34,[3]коэф!$A$1:$B$9,2,FALSE),0)+IFERROR(VLOOKUP(шахматка!I34,коэф!$G:$H,2,FALSE),0)+IFERROR(VLOOKUP(шахматка!M34,[3]коэф!$J$1:$K$3,2,FALSE),0)+IFERROR(VLOOKUP(шахматка!L34,[3]коэф!$D$1:$E$3,2,FALSE),0))*[3]база!$B$2*[3]база!$B$5</f>
        <v>0</v>
      </c>
      <c r="Q34" s="341"/>
      <c r="R34" s="342"/>
    </row>
    <row r="35" spans="1:18" x14ac:dyDescent="0.35">
      <c r="A35" s="337" t="s">
        <v>278</v>
      </c>
      <c r="B35" s="337" t="s">
        <v>279</v>
      </c>
      <c r="C35" s="326" t="s">
        <v>413</v>
      </c>
      <c r="D35" s="337" t="s">
        <v>354</v>
      </c>
      <c r="E35" s="338" t="s">
        <v>355</v>
      </c>
      <c r="F35" s="337" t="s">
        <v>282</v>
      </c>
      <c r="G35" s="337" t="s">
        <v>283</v>
      </c>
      <c r="H35" s="338">
        <v>1</v>
      </c>
      <c r="I35" s="337">
        <v>1</v>
      </c>
      <c r="J35" s="327">
        <v>0</v>
      </c>
      <c r="K35" s="339">
        <v>0</v>
      </c>
      <c r="L35" s="339" t="s">
        <v>284</v>
      </c>
      <c r="M35" s="339" t="s">
        <v>437</v>
      </c>
      <c r="N35" s="357" t="s">
        <v>432</v>
      </c>
      <c r="O35" s="340" t="s">
        <v>295</v>
      </c>
      <c r="P35" s="341">
        <f>K35*[3]база!$B$1*(1+IFERROR(VLOOKUP(шахматка!H35,[3]коэф!$A$1:$B$9,2,FALSE),0)+IFERROR(VLOOKUP(шахматка!I35,коэф!$G:$H,2,FALSE),0)+IFERROR(VLOOKUP(шахматка!M35,[3]коэф!$J$1:$K$3,2,FALSE),0)+IFERROR(VLOOKUP(шахматка!L35,[3]коэф!$D$1:$E$3,2,FALSE),0))*[3]база!$B$2*[3]база!$B$5</f>
        <v>0</v>
      </c>
      <c r="Q35" s="341"/>
      <c r="R35" s="342"/>
    </row>
    <row r="36" spans="1:18" x14ac:dyDescent="0.35">
      <c r="A36" s="337" t="s">
        <v>278</v>
      </c>
      <c r="B36" s="337" t="s">
        <v>279</v>
      </c>
      <c r="C36" s="326" t="s">
        <v>414</v>
      </c>
      <c r="D36" s="337" t="s">
        <v>356</v>
      </c>
      <c r="E36" s="338" t="s">
        <v>357</v>
      </c>
      <c r="F36" s="337" t="s">
        <v>282</v>
      </c>
      <c r="G36" s="337" t="s">
        <v>283</v>
      </c>
      <c r="H36" s="338">
        <v>1</v>
      </c>
      <c r="I36" s="337">
        <v>1</v>
      </c>
      <c r="J36" s="327">
        <v>0</v>
      </c>
      <c r="K36" s="339">
        <v>0</v>
      </c>
      <c r="L36" s="339" t="s">
        <v>288</v>
      </c>
      <c r="M36" s="339" t="s">
        <v>437</v>
      </c>
      <c r="N36" s="357" t="s">
        <v>432</v>
      </c>
      <c r="O36" s="340" t="s">
        <v>295</v>
      </c>
      <c r="P36" s="341">
        <f>K36*[3]база!$B$1*(1+IFERROR(VLOOKUP(шахматка!H36,[3]коэф!$A$1:$B$9,2,FALSE),0)+IFERROR(VLOOKUP(шахматка!I36,коэф!$G:$H,2,FALSE),0)+IFERROR(VLOOKUP(шахматка!M36,[3]коэф!$J$1:$K$3,2,FALSE),0)+IFERROR(VLOOKUP(шахматка!L36,[3]коэф!$D$1:$E$3,2,FALSE),0))*[3]база!$B$2*[3]база!$B$5</f>
        <v>0</v>
      </c>
      <c r="Q36" s="341"/>
      <c r="R36" s="342"/>
    </row>
    <row r="37" spans="1:18" x14ac:dyDescent="0.35">
      <c r="A37" s="337" t="s">
        <v>278</v>
      </c>
      <c r="B37" s="337" t="s">
        <v>279</v>
      </c>
      <c r="C37" s="326" t="s">
        <v>415</v>
      </c>
      <c r="D37" s="337" t="s">
        <v>358</v>
      </c>
      <c r="E37" s="338" t="s">
        <v>359</v>
      </c>
      <c r="F37" s="337" t="s">
        <v>282</v>
      </c>
      <c r="G37" s="337" t="s">
        <v>283</v>
      </c>
      <c r="H37" s="338">
        <v>1</v>
      </c>
      <c r="I37" s="337">
        <v>1</v>
      </c>
      <c r="J37" s="327">
        <v>0</v>
      </c>
      <c r="K37" s="339">
        <v>0</v>
      </c>
      <c r="L37" s="339" t="s">
        <v>292</v>
      </c>
      <c r="M37" s="339" t="s">
        <v>437</v>
      </c>
      <c r="N37" s="357" t="s">
        <v>432</v>
      </c>
      <c r="O37" s="340" t="s">
        <v>295</v>
      </c>
      <c r="P37" s="341">
        <f>K37*[3]база!$B$1*(1+IFERROR(VLOOKUP(шахматка!H37,[3]коэф!$A$1:$B$9,2,FALSE),0)+IFERROR(VLOOKUP(шахматка!I37,коэф!$G:$H,2,FALSE),0)+IFERROR(VLOOKUP(шахматка!M37,[3]коэф!$J$1:$K$3,2,FALSE),0)+IFERROR(VLOOKUP(шахматка!L37,[3]коэф!$D$1:$E$3,2,FALSE),0))*[3]база!$B$2*[3]база!$B$5</f>
        <v>0</v>
      </c>
      <c r="Q37" s="341"/>
      <c r="R37" s="342"/>
    </row>
    <row r="38" spans="1:18" x14ac:dyDescent="0.35">
      <c r="A38" s="337" t="s">
        <v>278</v>
      </c>
      <c r="B38" s="337" t="s">
        <v>279</v>
      </c>
      <c r="C38" s="326" t="s">
        <v>416</v>
      </c>
      <c r="D38" s="337" t="s">
        <v>360</v>
      </c>
      <c r="E38" s="338" t="s">
        <v>361</v>
      </c>
      <c r="F38" s="337" t="s">
        <v>282</v>
      </c>
      <c r="G38" s="337" t="s">
        <v>283</v>
      </c>
      <c r="H38" s="338">
        <v>1</v>
      </c>
      <c r="I38" s="337">
        <v>1</v>
      </c>
      <c r="J38" s="327">
        <v>0</v>
      </c>
      <c r="K38" s="339">
        <v>0</v>
      </c>
      <c r="L38" s="339" t="s">
        <v>284</v>
      </c>
      <c r="M38" s="339" t="s">
        <v>437</v>
      </c>
      <c r="N38" s="357" t="s">
        <v>432</v>
      </c>
      <c r="O38" s="340" t="s">
        <v>295</v>
      </c>
      <c r="P38" s="341">
        <f>K38*[3]база!$B$1*(1+IFERROR(VLOOKUP(шахматка!H38,[3]коэф!$A$1:$B$9,2,FALSE),0)+IFERROR(VLOOKUP(шахматка!I38,коэф!$G:$H,2,FALSE),0)+IFERROR(VLOOKUP(шахматка!M38,[3]коэф!$J$1:$K$3,2,FALSE),0)+IFERROR(VLOOKUP(шахматка!L38,[3]коэф!$D$1:$E$3,2,FALSE),0))*[3]база!$B$2*[3]база!$B$5</f>
        <v>0</v>
      </c>
      <c r="Q38" s="341"/>
      <c r="R38" s="342"/>
    </row>
    <row r="39" spans="1:18" x14ac:dyDescent="0.35">
      <c r="A39" s="337" t="s">
        <v>278</v>
      </c>
      <c r="B39" s="337" t="s">
        <v>279</v>
      </c>
      <c r="C39" s="326" t="s">
        <v>417</v>
      </c>
      <c r="D39" s="337" t="s">
        <v>362</v>
      </c>
      <c r="E39" s="338" t="s">
        <v>363</v>
      </c>
      <c r="F39" s="337" t="s">
        <v>282</v>
      </c>
      <c r="G39" s="337" t="s">
        <v>283</v>
      </c>
      <c r="H39" s="338">
        <v>1</v>
      </c>
      <c r="I39" s="337">
        <v>1</v>
      </c>
      <c r="J39" s="327">
        <v>0</v>
      </c>
      <c r="K39" s="339">
        <v>0</v>
      </c>
      <c r="L39" s="339" t="s">
        <v>288</v>
      </c>
      <c r="M39" s="339" t="s">
        <v>437</v>
      </c>
      <c r="N39" s="357" t="s">
        <v>432</v>
      </c>
      <c r="O39" s="340" t="s">
        <v>295</v>
      </c>
      <c r="P39" s="341">
        <f>K39*[3]база!$B$1*(1+IFERROR(VLOOKUP(шахматка!H39,[3]коэф!$A$1:$B$9,2,FALSE),0)+IFERROR(VLOOKUP(шахматка!I39,коэф!$G:$H,2,FALSE),0)+IFERROR(VLOOKUP(шахматка!M39,[3]коэф!$J$1:$K$3,2,FALSE),0)+IFERROR(VLOOKUP(шахматка!L39,[3]коэф!$D$1:$E$3,2,FALSE),0))*[3]база!$B$2*[3]база!$B$5</f>
        <v>0</v>
      </c>
      <c r="Q39" s="341"/>
      <c r="R39" s="342"/>
    </row>
    <row r="40" spans="1:18" x14ac:dyDescent="0.35">
      <c r="A40" s="337" t="s">
        <v>278</v>
      </c>
      <c r="B40" s="337" t="s">
        <v>279</v>
      </c>
      <c r="C40" s="326" t="s">
        <v>418</v>
      </c>
      <c r="D40" s="337" t="s">
        <v>364</v>
      </c>
      <c r="E40" s="338" t="s">
        <v>365</v>
      </c>
      <c r="F40" s="337" t="s">
        <v>282</v>
      </c>
      <c r="G40" s="337" t="s">
        <v>283</v>
      </c>
      <c r="H40" s="338">
        <v>1</v>
      </c>
      <c r="I40" s="337">
        <v>1</v>
      </c>
      <c r="J40" s="327">
        <v>0</v>
      </c>
      <c r="K40" s="339">
        <v>0</v>
      </c>
      <c r="L40" s="339" t="s">
        <v>292</v>
      </c>
      <c r="M40" s="339" t="s">
        <v>437</v>
      </c>
      <c r="N40" s="357" t="s">
        <v>432</v>
      </c>
      <c r="O40" s="340" t="s">
        <v>295</v>
      </c>
      <c r="P40" s="341">
        <f>K40*[3]база!$B$1*(1+IFERROR(VLOOKUP(шахматка!H40,[3]коэф!$A$1:$B$9,2,FALSE),0)+IFERROR(VLOOKUP(шахматка!I40,коэф!$G:$H,2,FALSE),0)+IFERROR(VLOOKUP(шахматка!M40,[3]коэф!$J$1:$K$3,2,FALSE),0)+IFERROR(VLOOKUP(шахматка!L40,[3]коэф!$D$1:$E$3,2,FALSE),0))*[3]база!$B$2*[3]база!$B$5</f>
        <v>0</v>
      </c>
      <c r="Q40" s="341"/>
      <c r="R40" s="342"/>
    </row>
    <row r="41" spans="1:18" x14ac:dyDescent="0.35">
      <c r="A41" s="337" t="s">
        <v>278</v>
      </c>
      <c r="B41" s="337" t="s">
        <v>279</v>
      </c>
      <c r="C41" s="326" t="s">
        <v>419</v>
      </c>
      <c r="D41" s="337" t="s">
        <v>366</v>
      </c>
      <c r="E41" s="338" t="s">
        <v>367</v>
      </c>
      <c r="F41" s="337" t="s">
        <v>282</v>
      </c>
      <c r="G41" s="337" t="s">
        <v>283</v>
      </c>
      <c r="H41" s="338">
        <v>1</v>
      </c>
      <c r="I41" s="337">
        <v>1</v>
      </c>
      <c r="J41" s="327">
        <v>0</v>
      </c>
      <c r="K41" s="339">
        <v>0</v>
      </c>
      <c r="L41" s="339" t="s">
        <v>284</v>
      </c>
      <c r="M41" s="339" t="s">
        <v>437</v>
      </c>
      <c r="N41" s="357" t="s">
        <v>432</v>
      </c>
      <c r="O41" s="340" t="s">
        <v>295</v>
      </c>
      <c r="P41" s="341">
        <f>K41*[3]база!$B$1*(1+IFERROR(VLOOKUP(шахматка!H41,[3]коэф!$A$1:$B$9,2,FALSE),0)+IFERROR(VLOOKUP(шахматка!I41,коэф!$G:$H,2,FALSE),0)+IFERROR(VLOOKUP(шахматка!M41,[3]коэф!$J$1:$K$3,2,FALSE),0)+IFERROR(VLOOKUP(шахматка!L41,[3]коэф!$D$1:$E$3,2,FALSE),0))*[3]база!$B$2*[3]база!$B$5</f>
        <v>0</v>
      </c>
      <c r="Q41" s="341"/>
      <c r="R41" s="342"/>
    </row>
    <row r="42" spans="1:18" x14ac:dyDescent="0.35">
      <c r="A42" s="337" t="s">
        <v>278</v>
      </c>
      <c r="B42" s="337" t="s">
        <v>279</v>
      </c>
      <c r="C42" s="326" t="s">
        <v>420</v>
      </c>
      <c r="D42" s="337" t="s">
        <v>368</v>
      </c>
      <c r="E42" s="338" t="s">
        <v>369</v>
      </c>
      <c r="F42" s="337" t="s">
        <v>282</v>
      </c>
      <c r="G42" s="337" t="s">
        <v>283</v>
      </c>
      <c r="H42" s="338">
        <v>1</v>
      </c>
      <c r="I42" s="337">
        <v>1</v>
      </c>
      <c r="J42" s="327">
        <v>0</v>
      </c>
      <c r="K42" s="339">
        <v>0</v>
      </c>
      <c r="L42" s="339" t="s">
        <v>288</v>
      </c>
      <c r="M42" s="339" t="s">
        <v>437</v>
      </c>
      <c r="N42" s="357" t="s">
        <v>432</v>
      </c>
      <c r="O42" s="340" t="s">
        <v>295</v>
      </c>
      <c r="P42" s="341">
        <f>K42*[3]база!$B$1*(1+IFERROR(VLOOKUP(шахматка!H42,[3]коэф!$A$1:$B$9,2,FALSE),0)+IFERROR(VLOOKUP(шахматка!I42,коэф!$G:$H,2,FALSE),0)+IFERROR(VLOOKUP(шахматка!M42,[3]коэф!$J$1:$K$3,2,FALSE),0)+IFERROR(VLOOKUP(шахматка!L42,[3]коэф!$D$1:$E$3,2,FALSE),0))*[3]база!$B$2*[3]база!$B$5</f>
        <v>0</v>
      </c>
      <c r="Q42" s="341"/>
      <c r="R42" s="342"/>
    </row>
    <row r="43" spans="1:18" x14ac:dyDescent="0.35">
      <c r="A43" s="337" t="s">
        <v>278</v>
      </c>
      <c r="B43" s="337" t="s">
        <v>279</v>
      </c>
      <c r="C43" s="326" t="s">
        <v>421</v>
      </c>
      <c r="D43" s="337" t="s">
        <v>370</v>
      </c>
      <c r="E43" s="338" t="s">
        <v>371</v>
      </c>
      <c r="F43" s="337" t="s">
        <v>282</v>
      </c>
      <c r="G43" s="337" t="s">
        <v>283</v>
      </c>
      <c r="H43" s="338">
        <v>1</v>
      </c>
      <c r="I43" s="337">
        <v>1</v>
      </c>
      <c r="J43" s="327">
        <v>0</v>
      </c>
      <c r="K43" s="339">
        <v>0</v>
      </c>
      <c r="L43" s="339" t="s">
        <v>292</v>
      </c>
      <c r="M43" s="339" t="s">
        <v>437</v>
      </c>
      <c r="N43" s="357" t="s">
        <v>432</v>
      </c>
      <c r="O43" s="340" t="s">
        <v>295</v>
      </c>
      <c r="P43" s="341">
        <f>K43*[3]база!$B$1*(1+IFERROR(VLOOKUP(шахматка!H43,[3]коэф!$A$1:$B$9,2,FALSE),0)+IFERROR(VLOOKUP(шахматка!I43,коэф!$G:$H,2,FALSE),0)+IFERROR(VLOOKUP(шахматка!M43,[3]коэф!$J$1:$K$3,2,FALSE),0)+IFERROR(VLOOKUP(шахматка!L43,[3]коэф!$D$1:$E$3,2,FALSE),0))*[3]база!$B$2*[3]база!$B$5</f>
        <v>0</v>
      </c>
      <c r="Q43" s="341"/>
      <c r="R43" s="342"/>
    </row>
    <row r="44" spans="1:18" x14ac:dyDescent="0.35">
      <c r="A44" s="337" t="s">
        <v>278</v>
      </c>
      <c r="B44" s="337" t="s">
        <v>279</v>
      </c>
      <c r="C44" s="326" t="s">
        <v>422</v>
      </c>
      <c r="D44" s="337" t="s">
        <v>372</v>
      </c>
      <c r="E44" s="338" t="s">
        <v>373</v>
      </c>
      <c r="F44" s="337" t="s">
        <v>282</v>
      </c>
      <c r="G44" s="337" t="s">
        <v>283</v>
      </c>
      <c r="H44" s="338">
        <v>1</v>
      </c>
      <c r="I44" s="337">
        <v>1</v>
      </c>
      <c r="J44" s="327">
        <v>0</v>
      </c>
      <c r="K44" s="339">
        <v>0</v>
      </c>
      <c r="L44" s="339" t="s">
        <v>284</v>
      </c>
      <c r="M44" s="339" t="s">
        <v>437</v>
      </c>
      <c r="N44" s="357" t="s">
        <v>432</v>
      </c>
      <c r="O44" s="340" t="s">
        <v>295</v>
      </c>
      <c r="P44" s="341">
        <f>K44*[3]база!$B$1*(1+IFERROR(VLOOKUP(шахматка!H44,[3]коэф!$A$1:$B$9,2,FALSE),0)+IFERROR(VLOOKUP(шахматка!I44,коэф!$G:$H,2,FALSE),0)+IFERROR(VLOOKUP(шахматка!M44,[3]коэф!$J$1:$K$3,2,FALSE),0)+IFERROR(VLOOKUP(шахматка!L44,[3]коэф!$D$1:$E$3,2,FALSE),0))*[3]база!$B$2*[3]база!$B$5</f>
        <v>0</v>
      </c>
      <c r="Q44" s="341"/>
      <c r="R44" s="342"/>
    </row>
    <row r="45" spans="1:18" x14ac:dyDescent="0.35">
      <c r="A45" s="337" t="s">
        <v>278</v>
      </c>
      <c r="B45" s="337" t="s">
        <v>279</v>
      </c>
      <c r="C45" s="326" t="s">
        <v>423</v>
      </c>
      <c r="D45" s="337" t="s">
        <v>374</v>
      </c>
      <c r="E45" s="338" t="s">
        <v>375</v>
      </c>
      <c r="F45" s="337" t="s">
        <v>282</v>
      </c>
      <c r="G45" s="337" t="s">
        <v>283</v>
      </c>
      <c r="H45" s="338">
        <v>1</v>
      </c>
      <c r="I45" s="337">
        <v>1</v>
      </c>
      <c r="J45" s="327">
        <v>0</v>
      </c>
      <c r="K45" s="339">
        <v>0</v>
      </c>
      <c r="L45" s="339" t="s">
        <v>288</v>
      </c>
      <c r="M45" s="339" t="s">
        <v>437</v>
      </c>
      <c r="N45" s="357" t="s">
        <v>432</v>
      </c>
      <c r="O45" s="340" t="s">
        <v>295</v>
      </c>
      <c r="P45" s="341">
        <f>K45*[3]база!$B$1*(1+IFERROR(VLOOKUP(шахматка!H45,[3]коэф!$A$1:$B$9,2,FALSE),0)+IFERROR(VLOOKUP(шахматка!I45,коэф!$G:$H,2,FALSE),0)+IFERROR(VLOOKUP(шахматка!M45,[3]коэф!$J$1:$K$3,2,FALSE),0)+IFERROR(VLOOKUP(шахматка!L45,[3]коэф!$D$1:$E$3,2,FALSE),0))*[3]база!$B$2*[3]база!$B$5</f>
        <v>0</v>
      </c>
      <c r="Q45" s="341"/>
      <c r="R45" s="342"/>
    </row>
    <row r="46" spans="1:18" x14ac:dyDescent="0.35">
      <c r="A46" s="337" t="s">
        <v>278</v>
      </c>
      <c r="B46" s="337" t="s">
        <v>279</v>
      </c>
      <c r="C46" s="326" t="s">
        <v>424</v>
      </c>
      <c r="D46" s="337" t="s">
        <v>376</v>
      </c>
      <c r="E46" s="338" t="s">
        <v>377</v>
      </c>
      <c r="F46" s="337" t="s">
        <v>282</v>
      </c>
      <c r="G46" s="337" t="s">
        <v>283</v>
      </c>
      <c r="H46" s="338">
        <v>1</v>
      </c>
      <c r="I46" s="337">
        <v>1</v>
      </c>
      <c r="J46" s="327">
        <v>0</v>
      </c>
      <c r="K46" s="339">
        <v>0</v>
      </c>
      <c r="L46" s="339" t="s">
        <v>292</v>
      </c>
      <c r="M46" s="339" t="s">
        <v>437</v>
      </c>
      <c r="N46" s="357" t="s">
        <v>432</v>
      </c>
      <c r="O46" s="340" t="s">
        <v>295</v>
      </c>
      <c r="P46" s="341">
        <f>K46*[3]база!$B$1*(1+IFERROR(VLOOKUP(шахматка!H46,[3]коэф!$A$1:$B$9,2,FALSE),0)+IFERROR(VLOOKUP(шахматка!I46,коэф!$G:$H,2,FALSE),0)+IFERROR(VLOOKUP(шахматка!M46,[3]коэф!$J$1:$K$3,2,FALSE),0)+IFERROR(VLOOKUP(шахматка!L46,[3]коэф!$D$1:$E$3,2,FALSE),0))*[3]база!$B$2*[3]база!$B$5</f>
        <v>0</v>
      </c>
      <c r="Q46" s="341"/>
      <c r="R46" s="342"/>
    </row>
    <row r="47" spans="1:18" x14ac:dyDescent="0.35">
      <c r="A47" s="337" t="s">
        <v>278</v>
      </c>
      <c r="B47" s="337" t="s">
        <v>279</v>
      </c>
      <c r="C47" s="326" t="s">
        <v>425</v>
      </c>
      <c r="D47" s="337" t="s">
        <v>378</v>
      </c>
      <c r="E47" s="338" t="s">
        <v>379</v>
      </c>
      <c r="F47" s="337" t="s">
        <v>282</v>
      </c>
      <c r="G47" s="337" t="s">
        <v>283</v>
      </c>
      <c r="H47" s="338">
        <v>1</v>
      </c>
      <c r="I47" s="337">
        <v>1</v>
      </c>
      <c r="J47" s="327">
        <v>0</v>
      </c>
      <c r="K47" s="339">
        <v>0</v>
      </c>
      <c r="L47" s="339" t="s">
        <v>284</v>
      </c>
      <c r="M47" s="339" t="s">
        <v>437</v>
      </c>
      <c r="N47" s="357" t="s">
        <v>432</v>
      </c>
      <c r="O47" s="340" t="s">
        <v>295</v>
      </c>
      <c r="P47" s="341">
        <f>K47*[3]база!$B$1*(1+IFERROR(VLOOKUP(шахматка!H47,[3]коэф!$A$1:$B$9,2,FALSE),0)+IFERROR(VLOOKUP(шахматка!I47,коэф!$G:$H,2,FALSE),0)+IFERROR(VLOOKUP(шахматка!M47,[3]коэф!$J$1:$K$3,2,FALSE),0)+IFERROR(VLOOKUP(шахматка!L47,[3]коэф!$D$1:$E$3,2,FALSE),0))*[3]база!$B$2*[3]база!$B$5</f>
        <v>0</v>
      </c>
      <c r="Q47" s="341"/>
      <c r="R47" s="342"/>
    </row>
    <row r="48" spans="1:18" x14ac:dyDescent="0.35">
      <c r="A48" s="337" t="s">
        <v>380</v>
      </c>
      <c r="B48" s="337" t="s">
        <v>279</v>
      </c>
      <c r="C48" s="326" t="s">
        <v>426</v>
      </c>
      <c r="D48" s="337" t="s">
        <v>381</v>
      </c>
      <c r="E48" s="338" t="s">
        <v>382</v>
      </c>
      <c r="F48" s="337" t="s">
        <v>282</v>
      </c>
      <c r="G48" s="337" t="s">
        <v>383</v>
      </c>
      <c r="H48" s="338">
        <v>1</v>
      </c>
      <c r="I48" s="337">
        <v>1</v>
      </c>
      <c r="J48" s="327">
        <v>0</v>
      </c>
      <c r="K48" s="339">
        <v>0</v>
      </c>
      <c r="L48" s="339" t="s">
        <v>288</v>
      </c>
      <c r="M48" s="339" t="s">
        <v>437</v>
      </c>
      <c r="N48" s="357" t="s">
        <v>432</v>
      </c>
      <c r="O48" s="340" t="s">
        <v>295</v>
      </c>
      <c r="P48" s="341">
        <f>K48*[3]база!$B$1*(1+IFERROR(VLOOKUP(шахматка!H48,[3]коэф!$A$1:$B$9,2,FALSE),0)+IFERROR(VLOOKUP(шахматка!I48,коэф!$G:$H,2,FALSE),0)+IFERROR(VLOOKUP(шахматка!M48,[3]коэф!$J$1:$K$3,2,FALSE),0)+IFERROR(VLOOKUP(шахматка!L48,[3]коэф!$D$1:$E$3,2,FALSE),0))*[3]база!$B$2*[3]база!$B$5</f>
        <v>0</v>
      </c>
      <c r="Q48" s="341"/>
      <c r="R48" s="343"/>
    </row>
    <row r="49" spans="1:18" x14ac:dyDescent="0.35">
      <c r="A49" s="337" t="s">
        <v>380</v>
      </c>
      <c r="B49" s="337" t="s">
        <v>279</v>
      </c>
      <c r="C49" s="326" t="s">
        <v>427</v>
      </c>
      <c r="D49" s="337" t="s">
        <v>384</v>
      </c>
      <c r="E49" s="338" t="s">
        <v>385</v>
      </c>
      <c r="F49" s="337" t="s">
        <v>282</v>
      </c>
      <c r="G49" s="337" t="s">
        <v>383</v>
      </c>
      <c r="H49" s="338">
        <v>1</v>
      </c>
      <c r="I49" s="337">
        <v>1</v>
      </c>
      <c r="J49" s="327">
        <v>0</v>
      </c>
      <c r="K49" s="339">
        <v>0</v>
      </c>
      <c r="L49" s="339" t="s">
        <v>292</v>
      </c>
      <c r="M49" s="339" t="s">
        <v>437</v>
      </c>
      <c r="N49" s="357" t="s">
        <v>432</v>
      </c>
      <c r="O49" s="340" t="s">
        <v>295</v>
      </c>
      <c r="P49" s="341">
        <f>K49*[3]база!$B$1*(1+IFERROR(VLOOKUP(шахматка!H49,[3]коэф!$A$1:$B$9,2,FALSE),0)+IFERROR(VLOOKUP(шахматка!I49,коэф!$G:$H,2,FALSE),0)+IFERROR(VLOOKUP(шахматка!M49,[3]коэф!$J$1:$K$3,2,FALSE),0)+IFERROR(VLOOKUP(шахматка!L49,[3]коэф!$D$1:$E$3,2,FALSE),0))*[3]база!$B$2*[3]база!$B$5</f>
        <v>0</v>
      </c>
      <c r="Q49" s="341"/>
      <c r="R49" s="343"/>
    </row>
    <row r="50" spans="1:18" x14ac:dyDescent="0.35">
      <c r="A50" s="337" t="s">
        <v>380</v>
      </c>
      <c r="B50" s="337" t="s">
        <v>279</v>
      </c>
      <c r="C50" s="326" t="s">
        <v>428</v>
      </c>
      <c r="D50" s="337" t="s">
        <v>386</v>
      </c>
      <c r="E50" s="338" t="s">
        <v>387</v>
      </c>
      <c r="F50" s="337" t="s">
        <v>282</v>
      </c>
      <c r="G50" s="337" t="s">
        <v>383</v>
      </c>
      <c r="H50" s="338">
        <v>1</v>
      </c>
      <c r="I50" s="337">
        <v>1</v>
      </c>
      <c r="J50" s="327">
        <v>0</v>
      </c>
      <c r="K50" s="339">
        <v>0</v>
      </c>
      <c r="L50" s="339" t="s">
        <v>284</v>
      </c>
      <c r="M50" s="339" t="s">
        <v>437</v>
      </c>
      <c r="N50" s="357" t="s">
        <v>432</v>
      </c>
      <c r="O50" s="340" t="s">
        <v>295</v>
      </c>
      <c r="P50" s="341">
        <f>K50*[3]база!$B$1*(1+IFERROR(VLOOKUP(шахматка!H50,[3]коэф!$A$1:$B$9,2,FALSE),0)+IFERROR(VLOOKUP(шахматка!I50,коэф!$G:$H,2,FALSE),0)+IFERROR(VLOOKUP(шахматка!M50,[3]коэф!$J$1:$K$3,2,FALSE),0)+IFERROR(VLOOKUP(шахматка!L50,[3]коэф!$D$1:$E$3,2,FALSE),0))*[3]база!$B$2*[3]база!$B$5</f>
        <v>0</v>
      </c>
      <c r="Q50" s="341"/>
      <c r="R50" s="343"/>
    </row>
    <row r="51" spans="1:18" x14ac:dyDescent="0.35">
      <c r="A51" s="337" t="s">
        <v>380</v>
      </c>
      <c r="B51" s="337" t="s">
        <v>279</v>
      </c>
      <c r="C51" s="326" t="s">
        <v>429</v>
      </c>
      <c r="D51" s="337" t="s">
        <v>388</v>
      </c>
      <c r="E51" s="338" t="s">
        <v>389</v>
      </c>
      <c r="F51" s="337" t="s">
        <v>282</v>
      </c>
      <c r="G51" s="337" t="s">
        <v>383</v>
      </c>
      <c r="H51" s="338">
        <v>1</v>
      </c>
      <c r="I51" s="337">
        <v>1</v>
      </c>
      <c r="J51" s="327">
        <v>0</v>
      </c>
      <c r="K51" s="339">
        <v>0</v>
      </c>
      <c r="L51" s="339" t="s">
        <v>288</v>
      </c>
      <c r="M51" s="339" t="s">
        <v>437</v>
      </c>
      <c r="N51" s="357" t="s">
        <v>432</v>
      </c>
      <c r="O51" s="340" t="s">
        <v>295</v>
      </c>
      <c r="P51" s="341">
        <f>K51*[3]база!$B$1*(1+IFERROR(VLOOKUP(шахматка!H51,[3]коэф!$A$1:$B$9,2,FALSE),0)+IFERROR(VLOOKUP(шахматка!I51,коэф!$G:$H,2,FALSE),0)+IFERROR(VLOOKUP(шахматка!M51,[3]коэф!$J$1:$K$3,2,FALSE),0)+IFERROR(VLOOKUP(шахматка!L51,[3]коэф!$D$1:$E$3,2,FALSE),0))*[3]база!$B$2*[3]база!$B$5</f>
        <v>0</v>
      </c>
      <c r="Q51" s="341"/>
      <c r="R51" s="343"/>
    </row>
    <row r="52" spans="1:18" ht="16" x14ac:dyDescent="0.35">
      <c r="A52" s="344"/>
      <c r="B52" s="344"/>
      <c r="C52" s="344"/>
      <c r="D52" s="344"/>
      <c r="E52" s="345"/>
      <c r="F52" s="344"/>
      <c r="G52" s="344"/>
      <c r="H52" s="345"/>
      <c r="I52" s="344"/>
      <c r="J52" s="346">
        <f>SUM(J2:J51)</f>
        <v>6484.7000000000007</v>
      </c>
      <c r="K52" s="346">
        <f>SUM(K2:K51)</f>
        <v>6484.7000000000007</v>
      </c>
      <c r="L52" s="346"/>
      <c r="M52" s="346"/>
      <c r="N52" s="344"/>
      <c r="O52" s="344"/>
    </row>
    <row r="53" spans="1:18" x14ac:dyDescent="0.35">
      <c r="P53" s="341">
        <f>SUBTOTAL(9,P2:P52)</f>
        <v>8488505859.3454533</v>
      </c>
      <c r="Q53" s="341"/>
      <c r="R53" s="343"/>
    </row>
    <row r="54" spans="1:18" x14ac:dyDescent="0.35">
      <c r="A54" s="360">
        <f>AVERAGEIF(N:N,'база офис'!B1,Q:Q)</f>
        <v>1360782.6446280989</v>
      </c>
      <c r="B54" s="427" t="s">
        <v>435</v>
      </c>
      <c r="C54" s="427"/>
      <c r="D54" s="427"/>
      <c r="E54" s="427"/>
      <c r="N54" s="341"/>
      <c r="P54" s="361"/>
      <c r="R54" s="343"/>
    </row>
    <row r="55" spans="1:18" x14ac:dyDescent="0.35">
      <c r="A55" s="360" t="e">
        <f>AVERAGEIF(N:N,'база коммерция'!B1,Q:Q)</f>
        <v>#DIV/0!</v>
      </c>
      <c r="B55" s="427" t="s">
        <v>436</v>
      </c>
      <c r="C55" s="427"/>
      <c r="D55" s="427"/>
      <c r="E55" s="427"/>
      <c r="M55" s="341"/>
      <c r="P55" s="343"/>
    </row>
    <row r="56" spans="1:18" x14ac:dyDescent="0.35">
      <c r="A56" s="343"/>
    </row>
    <row r="57" spans="1:18" x14ac:dyDescent="0.35">
      <c r="A57" s="343">
        <f>SUM(P4:P25)</f>
        <v>7669207562.6727266</v>
      </c>
      <c r="B57" s="336" t="s">
        <v>221</v>
      </c>
    </row>
    <row r="58" spans="1:18" x14ac:dyDescent="0.35">
      <c r="A58" s="343">
        <f>SUM(P2:P3)</f>
        <v>819298296.67272735</v>
      </c>
      <c r="B58" s="336" t="s">
        <v>245</v>
      </c>
    </row>
    <row r="60" spans="1:18" x14ac:dyDescent="0.35">
      <c r="A60" s="366" t="s">
        <v>221</v>
      </c>
    </row>
    <row r="61" spans="1:18" x14ac:dyDescent="0.35">
      <c r="A61" s="362">
        <f>SUM(P3:P25)</f>
        <v>8139230002.5272722</v>
      </c>
    </row>
    <row r="62" spans="1:18" x14ac:dyDescent="0.35">
      <c r="A62" s="363">
        <f>SUM(K3:K25)</f>
        <v>6232.08</v>
      </c>
    </row>
    <row r="63" spans="1:18" x14ac:dyDescent="0.35">
      <c r="A63" s="363">
        <f>A61/A62</f>
        <v>1306021.4250342217</v>
      </c>
    </row>
    <row r="64" spans="1:18" x14ac:dyDescent="0.35">
      <c r="A64" s="367" t="s">
        <v>245</v>
      </c>
    </row>
    <row r="65" spans="1:1" x14ac:dyDescent="0.35">
      <c r="A65" s="364"/>
    </row>
    <row r="66" spans="1:1" x14ac:dyDescent="0.35">
      <c r="A66" s="365"/>
    </row>
    <row r="67" spans="1:1" x14ac:dyDescent="0.35">
      <c r="A67" s="364"/>
    </row>
  </sheetData>
  <autoFilter ref="A1:O53" xr:uid="{00000000-0001-0000-0000-000000000000}"/>
  <mergeCells count="2">
    <mergeCell ref="B54:E54"/>
    <mergeCell ref="B55:E55"/>
  </mergeCells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45AC-7583-47B9-BC4D-09AFAC3816A9}">
  <dimension ref="A1:K16"/>
  <sheetViews>
    <sheetView workbookViewId="0">
      <selection activeCell="D22" sqref="D22"/>
    </sheetView>
  </sheetViews>
  <sheetFormatPr defaultColWidth="8.90625" defaultRowHeight="14.5" x14ac:dyDescent="0.35"/>
  <cols>
    <col min="1" max="1" width="22.90625" style="336" customWidth="1"/>
    <col min="2" max="2" width="16.6328125" style="336" customWidth="1"/>
    <col min="3" max="3" width="8.90625" style="336"/>
    <col min="4" max="4" width="19.90625" style="336" customWidth="1"/>
    <col min="5" max="5" width="13.36328125" style="336" customWidth="1"/>
    <col min="6" max="6" width="8.90625" style="336"/>
    <col min="7" max="7" width="15.36328125" style="336" customWidth="1"/>
    <col min="8" max="9" width="8.90625" style="336"/>
    <col min="10" max="10" width="21.6328125" style="336" customWidth="1"/>
    <col min="11" max="12" width="8.90625" style="336" customWidth="1"/>
    <col min="13" max="16384" width="8.90625" style="336"/>
  </cols>
  <sheetData>
    <row r="1" spans="1:11" x14ac:dyDescent="0.35">
      <c r="A1" s="350">
        <v>1</v>
      </c>
      <c r="B1" s="350">
        <v>0.05</v>
      </c>
      <c r="D1" s="368" t="s">
        <v>284</v>
      </c>
      <c r="E1" s="351">
        <v>0</v>
      </c>
      <c r="G1" s="352">
        <v>0</v>
      </c>
      <c r="H1" s="352">
        <v>0.2</v>
      </c>
      <c r="J1" s="353" t="s">
        <v>285</v>
      </c>
      <c r="K1" s="354">
        <v>-0.05</v>
      </c>
    </row>
    <row r="2" spans="1:11" x14ac:dyDescent="0.35">
      <c r="A2" s="350">
        <v>2</v>
      </c>
      <c r="B2" s="350">
        <v>0.04</v>
      </c>
      <c r="D2" s="368" t="s">
        <v>292</v>
      </c>
      <c r="E2" s="351">
        <v>0.03</v>
      </c>
      <c r="G2" s="352">
        <v>50</v>
      </c>
      <c r="H2" s="352">
        <v>0.1</v>
      </c>
      <c r="J2" s="353" t="s">
        <v>289</v>
      </c>
      <c r="K2" s="354">
        <v>0.06</v>
      </c>
    </row>
    <row r="3" spans="1:11" x14ac:dyDescent="0.35">
      <c r="A3" s="350">
        <v>3</v>
      </c>
      <c r="B3" s="350">
        <v>0.04</v>
      </c>
      <c r="D3" s="351"/>
      <c r="E3" s="351"/>
      <c r="G3" s="352">
        <v>100</v>
      </c>
      <c r="H3" s="352">
        <v>0.15</v>
      </c>
      <c r="J3" s="353" t="s">
        <v>437</v>
      </c>
      <c r="K3" s="354">
        <v>0</v>
      </c>
    </row>
    <row r="4" spans="1:11" x14ac:dyDescent="0.35">
      <c r="A4" s="350">
        <v>4</v>
      </c>
      <c r="B4" s="350">
        <v>0.03</v>
      </c>
      <c r="G4" s="352">
        <v>200</v>
      </c>
      <c r="H4" s="352">
        <v>0.1</v>
      </c>
      <c r="J4" s="336" t="s">
        <v>445</v>
      </c>
    </row>
    <row r="5" spans="1:11" x14ac:dyDescent="0.35">
      <c r="A5" s="350">
        <v>5</v>
      </c>
      <c r="B5" s="350">
        <v>0.03</v>
      </c>
      <c r="G5" s="352">
        <v>300</v>
      </c>
      <c r="H5" s="352">
        <v>0.06</v>
      </c>
    </row>
    <row r="6" spans="1:11" x14ac:dyDescent="0.35">
      <c r="A6" s="350">
        <v>6</v>
      </c>
      <c r="B6" s="350">
        <v>2.5000000000000001E-2</v>
      </c>
      <c r="G6" s="352">
        <v>400</v>
      </c>
      <c r="H6" s="352">
        <v>0.05</v>
      </c>
    </row>
    <row r="7" spans="1:11" x14ac:dyDescent="0.35">
      <c r="A7" s="350">
        <v>7</v>
      </c>
      <c r="B7" s="350">
        <v>0.02</v>
      </c>
      <c r="G7" s="352">
        <v>500</v>
      </c>
      <c r="H7" s="352">
        <v>0</v>
      </c>
    </row>
    <row r="8" spans="1:11" x14ac:dyDescent="0.35">
      <c r="A8" s="350">
        <v>8</v>
      </c>
      <c r="B8" s="350">
        <v>-0.03</v>
      </c>
      <c r="G8" s="352">
        <v>600</v>
      </c>
      <c r="H8" s="352">
        <v>-0.1</v>
      </c>
    </row>
    <row r="9" spans="1:11" x14ac:dyDescent="0.35">
      <c r="A9" s="350">
        <v>9</v>
      </c>
      <c r="B9" s="350">
        <v>-0.04</v>
      </c>
      <c r="G9" s="352">
        <v>700</v>
      </c>
      <c r="H9" s="352">
        <v>-0.15</v>
      </c>
    </row>
    <row r="10" spans="1:11" x14ac:dyDescent="0.35">
      <c r="A10" s="350">
        <v>10</v>
      </c>
      <c r="B10" s="350">
        <v>-0.05</v>
      </c>
    </row>
    <row r="14" spans="1:11" x14ac:dyDescent="0.35">
      <c r="E14" s="336" t="s">
        <v>446</v>
      </c>
    </row>
    <row r="15" spans="1:11" x14ac:dyDescent="0.35">
      <c r="E15" s="336" t="s">
        <v>447</v>
      </c>
    </row>
    <row r="16" spans="1:11" x14ac:dyDescent="0.35">
      <c r="E16" s="336" t="s">
        <v>448</v>
      </c>
      <c r="F16" s="336" t="s">
        <v>449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1F39-1ACF-4D40-9FBF-6D4536A33B31}">
  <dimension ref="A1:E8"/>
  <sheetViews>
    <sheetView workbookViewId="0">
      <selection activeCell="A5" sqref="A5"/>
    </sheetView>
  </sheetViews>
  <sheetFormatPr defaultColWidth="8.90625" defaultRowHeight="14.5" x14ac:dyDescent="0.35"/>
  <cols>
    <col min="1" max="1" width="23.1796875" style="336" customWidth="1"/>
    <col min="2" max="2" width="14.90625" style="336" customWidth="1"/>
    <col min="3" max="6" width="8.90625" style="336"/>
    <col min="7" max="7" width="11.36328125" style="336" customWidth="1"/>
    <col min="8" max="16384" width="8.90625" style="336"/>
  </cols>
  <sheetData>
    <row r="1" spans="1:5" x14ac:dyDescent="0.35">
      <c r="B1" s="336" t="s">
        <v>431</v>
      </c>
      <c r="D1" s="336" t="s">
        <v>440</v>
      </c>
      <c r="E1" s="336">
        <v>1</v>
      </c>
    </row>
    <row r="2" spans="1:5" x14ac:dyDescent="0.35">
      <c r="A2" s="336" t="s">
        <v>400</v>
      </c>
      <c r="B2" s="341">
        <v>1120000</v>
      </c>
      <c r="D2" s="336" t="s">
        <v>441</v>
      </c>
      <c r="E2" s="336">
        <v>1.01</v>
      </c>
    </row>
    <row r="3" spans="1:5" x14ac:dyDescent="0.35">
      <c r="A3" s="336" t="s">
        <v>401</v>
      </c>
      <c r="B3" s="336">
        <v>1.05</v>
      </c>
      <c r="D3" s="336" t="s">
        <v>442</v>
      </c>
      <c r="E3" s="336">
        <v>1.03</v>
      </c>
    </row>
    <row r="4" spans="1:5" x14ac:dyDescent="0.35">
      <c r="A4" s="336" t="s">
        <v>433</v>
      </c>
      <c r="B4" s="336">
        <f>COUNTA(шахматка!N4:N25)</f>
        <v>22</v>
      </c>
      <c r="D4" s="336" t="s">
        <v>443</v>
      </c>
      <c r="E4" s="336">
        <v>1.05</v>
      </c>
    </row>
    <row r="5" spans="1:5" x14ac:dyDescent="0.35">
      <c r="A5" s="336" t="s">
        <v>402</v>
      </c>
      <c r="B5" s="336">
        <v>10</v>
      </c>
      <c r="D5" s="336" t="s">
        <v>444</v>
      </c>
      <c r="E5" s="336">
        <v>1.08</v>
      </c>
    </row>
    <row r="6" spans="1:5" x14ac:dyDescent="0.35">
      <c r="A6" s="336" t="s">
        <v>403</v>
      </c>
      <c r="B6" s="355">
        <f>1+(B5/B4)*0.1</f>
        <v>1.0454545454545454</v>
      </c>
    </row>
    <row r="8" spans="1:5" x14ac:dyDescent="0.35">
      <c r="B8" s="35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5C50-7721-4BBD-9514-9C205AC87FBE}">
  <dimension ref="A1:E8"/>
  <sheetViews>
    <sheetView workbookViewId="0">
      <selection activeCell="B2" sqref="B2"/>
    </sheetView>
  </sheetViews>
  <sheetFormatPr defaultColWidth="8.90625" defaultRowHeight="14.5" x14ac:dyDescent="0.35"/>
  <cols>
    <col min="1" max="1" width="23.1796875" style="336" customWidth="1"/>
    <col min="2" max="2" width="14.90625" style="336" customWidth="1"/>
    <col min="3" max="16384" width="8.90625" style="336"/>
  </cols>
  <sheetData>
    <row r="1" spans="1:5" x14ac:dyDescent="0.35">
      <c r="B1" s="336" t="s">
        <v>430</v>
      </c>
      <c r="D1" s="336" t="s">
        <v>440</v>
      </c>
      <c r="E1" s="336">
        <v>1</v>
      </c>
    </row>
    <row r="2" spans="1:5" x14ac:dyDescent="0.35">
      <c r="A2" s="336" t="s">
        <v>400</v>
      </c>
      <c r="B2" s="341">
        <v>1150000</v>
      </c>
      <c r="D2" s="336" t="s">
        <v>441</v>
      </c>
      <c r="E2" s="336">
        <v>1.01</v>
      </c>
    </row>
    <row r="3" spans="1:5" x14ac:dyDescent="0.35">
      <c r="A3" s="358" t="s">
        <v>401</v>
      </c>
      <c r="B3" s="358">
        <v>1</v>
      </c>
      <c r="D3" s="336" t="s">
        <v>442</v>
      </c>
      <c r="E3" s="336">
        <v>1.03</v>
      </c>
    </row>
    <row r="4" spans="1:5" x14ac:dyDescent="0.35">
      <c r="A4" s="336" t="s">
        <v>434</v>
      </c>
      <c r="B4" s="336">
        <v>1</v>
      </c>
      <c r="D4" s="336" t="s">
        <v>443</v>
      </c>
      <c r="E4" s="336">
        <v>1.05</v>
      </c>
    </row>
    <row r="5" spans="1:5" x14ac:dyDescent="0.35">
      <c r="A5" s="336" t="s">
        <v>402</v>
      </c>
      <c r="B5" s="336">
        <v>0</v>
      </c>
      <c r="D5" s="336" t="s">
        <v>444</v>
      </c>
      <c r="E5" s="336">
        <v>1.08</v>
      </c>
    </row>
    <row r="6" spans="1:5" x14ac:dyDescent="0.35">
      <c r="A6" s="336" t="s">
        <v>403</v>
      </c>
      <c r="B6" s="369">
        <f>1+(B5/B4)*0.1</f>
        <v>1</v>
      </c>
    </row>
    <row r="8" spans="1:5" x14ac:dyDescent="0.35">
      <c r="B8" s="35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42E7-9E9C-4007-86C8-82625AAD0479}">
  <dimension ref="B2:I11"/>
  <sheetViews>
    <sheetView workbookViewId="0">
      <selection activeCell="H10" sqref="H10"/>
    </sheetView>
  </sheetViews>
  <sheetFormatPr defaultColWidth="8.90625" defaultRowHeight="14.5" x14ac:dyDescent="0.35"/>
  <cols>
    <col min="1" max="7" width="8.90625" style="336"/>
    <col min="8" max="8" width="17.36328125" style="336" bestFit="1" customWidth="1"/>
    <col min="9" max="9" width="13.08984375" style="336" customWidth="1"/>
    <col min="10" max="16384" width="8.90625" style="336"/>
  </cols>
  <sheetData>
    <row r="2" spans="2:9" ht="23.5" x14ac:dyDescent="0.35">
      <c r="B2" s="347" t="s">
        <v>393</v>
      </c>
    </row>
    <row r="4" spans="2:9" x14ac:dyDescent="0.35">
      <c r="B4" s="348" t="s">
        <v>279</v>
      </c>
      <c r="C4" s="348" t="s">
        <v>394</v>
      </c>
      <c r="D4" s="348" t="s">
        <v>395</v>
      </c>
      <c r="E4" s="348" t="s">
        <v>392</v>
      </c>
      <c r="F4" s="348" t="s">
        <v>391</v>
      </c>
      <c r="G4" s="348" t="s">
        <v>383</v>
      </c>
      <c r="H4" s="348" t="s">
        <v>396</v>
      </c>
      <c r="I4" s="348" t="s">
        <v>390</v>
      </c>
    </row>
    <row r="5" spans="2:9" x14ac:dyDescent="0.35">
      <c r="B5" s="349" t="s">
        <v>397</v>
      </c>
      <c r="C5" s="349" t="s">
        <v>270</v>
      </c>
      <c r="D5" s="349" t="s">
        <v>249</v>
      </c>
      <c r="E5" s="349" t="s">
        <v>398</v>
      </c>
      <c r="F5" s="349" t="s">
        <v>248</v>
      </c>
      <c r="G5" s="349" t="s">
        <v>274</v>
      </c>
      <c r="H5" s="349" t="s">
        <v>275</v>
      </c>
      <c r="I5" s="349" t="s">
        <v>399</v>
      </c>
    </row>
    <row r="8" spans="2:9" x14ac:dyDescent="0.35">
      <c r="H8" s="341">
        <v>31164000000</v>
      </c>
    </row>
    <row r="9" spans="2:9" x14ac:dyDescent="0.35">
      <c r="H9" s="341">
        <v>13076057000</v>
      </c>
    </row>
    <row r="10" spans="2:9" x14ac:dyDescent="0.35">
      <c r="H10" s="343">
        <f>H8+H9</f>
        <v>44240057000</v>
      </c>
    </row>
    <row r="11" spans="2:9" x14ac:dyDescent="0.35">
      <c r="H11" s="343">
        <f>H10/55961</f>
        <v>790551.58056503639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DDC8-F542-4396-99BD-CA28CC768CA8}">
  <dimension ref="B6:AC51"/>
  <sheetViews>
    <sheetView topLeftCell="B4" zoomScale="90" zoomScaleNormal="90" workbookViewId="0">
      <pane xSplit="2" ySplit="3" topLeftCell="D7" activePane="bottomRight" state="frozen"/>
      <selection pane="topRight" activeCell="D4" sqref="D4"/>
      <selection pane="bottomLeft" activeCell="B7" sqref="B7"/>
      <selection pane="bottomRight" activeCell="H41" sqref="H41"/>
    </sheetView>
  </sheetViews>
  <sheetFormatPr defaultRowHeight="14.5" x14ac:dyDescent="0.35"/>
  <cols>
    <col min="2" max="2" width="54.90625" bestFit="1" customWidth="1"/>
  </cols>
  <sheetData>
    <row r="6" spans="2:29" x14ac:dyDescent="0.35">
      <c r="B6" s="117" t="s">
        <v>102</v>
      </c>
      <c r="C6" s="118" t="s">
        <v>103</v>
      </c>
      <c r="D6" s="203">
        <f>DCF!D3</f>
        <v>2026</v>
      </c>
      <c r="E6" s="202">
        <f>D6+1</f>
        <v>2027</v>
      </c>
      <c r="F6" s="202">
        <f t="shared" ref="F6:AC6" si="0">E6+1</f>
        <v>2028</v>
      </c>
      <c r="G6" s="202">
        <f t="shared" si="0"/>
        <v>2029</v>
      </c>
      <c r="H6" s="202">
        <f t="shared" si="0"/>
        <v>2030</v>
      </c>
      <c r="I6" s="202">
        <f t="shared" si="0"/>
        <v>2031</v>
      </c>
      <c r="J6" s="202">
        <f t="shared" si="0"/>
        <v>2032</v>
      </c>
      <c r="K6" s="202">
        <f t="shared" si="0"/>
        <v>2033</v>
      </c>
      <c r="L6" s="202">
        <f t="shared" si="0"/>
        <v>2034</v>
      </c>
      <c r="M6" s="202">
        <f t="shared" si="0"/>
        <v>2035</v>
      </c>
      <c r="N6" s="202">
        <f t="shared" si="0"/>
        <v>2036</v>
      </c>
      <c r="O6" s="202">
        <f t="shared" si="0"/>
        <v>2037</v>
      </c>
      <c r="P6" s="202">
        <f t="shared" si="0"/>
        <v>2038</v>
      </c>
      <c r="Q6" s="202">
        <f t="shared" si="0"/>
        <v>2039</v>
      </c>
      <c r="R6" s="202">
        <f t="shared" si="0"/>
        <v>2040</v>
      </c>
      <c r="S6" s="202">
        <f t="shared" si="0"/>
        <v>2041</v>
      </c>
      <c r="T6" s="202">
        <f t="shared" si="0"/>
        <v>2042</v>
      </c>
      <c r="U6" s="202">
        <f t="shared" si="0"/>
        <v>2043</v>
      </c>
      <c r="V6" s="202">
        <f t="shared" si="0"/>
        <v>2044</v>
      </c>
      <c r="W6" s="202">
        <f t="shared" si="0"/>
        <v>2045</v>
      </c>
      <c r="X6" s="202">
        <f t="shared" si="0"/>
        <v>2046</v>
      </c>
      <c r="Y6" s="202">
        <f t="shared" si="0"/>
        <v>2047</v>
      </c>
      <c r="Z6" s="202">
        <f t="shared" si="0"/>
        <v>2048</v>
      </c>
      <c r="AA6" s="202">
        <f t="shared" si="0"/>
        <v>2049</v>
      </c>
      <c r="AB6" s="202">
        <f t="shared" si="0"/>
        <v>2050</v>
      </c>
      <c r="AC6" s="202">
        <f t="shared" si="0"/>
        <v>2051</v>
      </c>
    </row>
    <row r="7" spans="2:29" x14ac:dyDescent="0.35">
      <c r="B7" s="120" t="s">
        <v>104</v>
      </c>
      <c r="C7" s="121">
        <f t="shared" ref="C7:C15" si="1">SUM(D7:KO7)</f>
        <v>10713300000</v>
      </c>
      <c r="D7" s="122">
        <f>SUM(D8:D8)</f>
        <v>1949820600</v>
      </c>
      <c r="E7" s="122">
        <f t="shared" ref="E7:AC7" si="2">SUM(E8:E8)</f>
        <v>4146047100</v>
      </c>
      <c r="F7" s="122">
        <f t="shared" si="2"/>
        <v>4617432299.999999</v>
      </c>
      <c r="G7" s="122">
        <f t="shared" si="2"/>
        <v>0</v>
      </c>
      <c r="H7" s="122">
        <f t="shared" si="2"/>
        <v>0</v>
      </c>
      <c r="I7" s="122">
        <f t="shared" si="2"/>
        <v>0</v>
      </c>
      <c r="J7" s="122">
        <f t="shared" si="2"/>
        <v>0</v>
      </c>
      <c r="K7" s="122">
        <f t="shared" si="2"/>
        <v>0</v>
      </c>
      <c r="L7" s="122">
        <f t="shared" si="2"/>
        <v>0</v>
      </c>
      <c r="M7" s="122">
        <f t="shared" si="2"/>
        <v>0</v>
      </c>
      <c r="N7" s="122">
        <f t="shared" si="2"/>
        <v>0</v>
      </c>
      <c r="O7" s="122">
        <f t="shared" si="2"/>
        <v>0</v>
      </c>
      <c r="P7" s="122">
        <f t="shared" si="2"/>
        <v>0</v>
      </c>
      <c r="Q7" s="122">
        <f t="shared" si="2"/>
        <v>0</v>
      </c>
      <c r="R7" s="122">
        <f t="shared" si="2"/>
        <v>0</v>
      </c>
      <c r="S7" s="122">
        <f t="shared" si="2"/>
        <v>0</v>
      </c>
      <c r="T7" s="122">
        <f t="shared" si="2"/>
        <v>0</v>
      </c>
      <c r="U7" s="122">
        <f t="shared" si="2"/>
        <v>0</v>
      </c>
      <c r="V7" s="122">
        <f t="shared" si="2"/>
        <v>0</v>
      </c>
      <c r="W7" s="122">
        <f t="shared" si="2"/>
        <v>0</v>
      </c>
      <c r="X7" s="122">
        <f t="shared" si="2"/>
        <v>0</v>
      </c>
      <c r="Y7" s="122">
        <f t="shared" si="2"/>
        <v>0</v>
      </c>
      <c r="Z7" s="122">
        <f t="shared" si="2"/>
        <v>0</v>
      </c>
      <c r="AA7" s="122">
        <f t="shared" si="2"/>
        <v>0</v>
      </c>
      <c r="AB7" s="122">
        <f t="shared" si="2"/>
        <v>0</v>
      </c>
      <c r="AC7" s="122">
        <f t="shared" si="2"/>
        <v>0</v>
      </c>
    </row>
    <row r="8" spans="2:29" x14ac:dyDescent="0.35">
      <c r="B8" s="126" t="s">
        <v>105</v>
      </c>
      <c r="C8" s="123">
        <f t="shared" si="1"/>
        <v>10713300000</v>
      </c>
      <c r="D8" s="124">
        <f>SUMIF(DCF!$D$3:$KQ$3,'DCF year'!D$6,DCF!D8:KQ8)</f>
        <v>1949820600</v>
      </c>
      <c r="E8" s="124">
        <f>SUMIF(DCF!E3:KR3,'DCF year'!E$6,DCF!E8:KR8)</f>
        <v>4146047100</v>
      </c>
      <c r="F8" s="124">
        <f>SUMIF(DCF!F3:KS3,'DCF year'!F$6,DCF!F8:KS8)</f>
        <v>4617432299.999999</v>
      </c>
      <c r="G8" s="124">
        <f>SUMIF(DCF!G3:KT3,'DCF year'!G$6,DCF!G8:KT8)</f>
        <v>0</v>
      </c>
      <c r="H8" s="124">
        <f>SUMIF(DCF!H3:KU3,'DCF year'!H$6,DCF!H8:KU8)</f>
        <v>0</v>
      </c>
      <c r="I8" s="124">
        <f>SUMIF(DCF!I3:KV3,'DCF year'!I$6,DCF!I8:KV8)</f>
        <v>0</v>
      </c>
      <c r="J8" s="124">
        <f>SUMIF(DCF!J3:KW3,'DCF year'!J$6,DCF!J8:KW8)</f>
        <v>0</v>
      </c>
      <c r="K8" s="124">
        <f>SUMIF(DCF!K3:KX3,'DCF year'!K$6,DCF!K8:KX8)</f>
        <v>0</v>
      </c>
      <c r="L8" s="124">
        <f>SUMIF(DCF!L3:KY3,'DCF year'!L$6,DCF!L8:KY8)</f>
        <v>0</v>
      </c>
      <c r="M8" s="124">
        <f>SUMIF(DCF!M3:KZ3,'DCF year'!M$6,DCF!M8:KZ8)</f>
        <v>0</v>
      </c>
      <c r="N8" s="124">
        <f>SUMIF(DCF!N3:LA3,'DCF year'!N$6,DCF!N8:LA8)</f>
        <v>0</v>
      </c>
      <c r="O8" s="124">
        <f>SUMIF(DCF!O3:LB3,'DCF year'!O$6,DCF!O8:LB8)</f>
        <v>0</v>
      </c>
      <c r="P8" s="124">
        <f>SUMIF(DCF!P3:LC3,'DCF year'!P$6,DCF!P8:LC8)</f>
        <v>0</v>
      </c>
      <c r="Q8" s="124">
        <f>SUMIF(DCF!Q3:LD3,'DCF year'!Q$6,DCF!Q8:LD8)</f>
        <v>0</v>
      </c>
      <c r="R8" s="124">
        <f>SUMIF(DCF!R3:LE3,'DCF year'!R$6,DCF!R8:LE8)</f>
        <v>0</v>
      </c>
      <c r="S8" s="124">
        <f>SUMIF(DCF!S3:LF3,'DCF year'!S$6,DCF!S8:LF8)</f>
        <v>0</v>
      </c>
      <c r="T8" s="124">
        <f>SUMIF(DCF!T3:LG3,'DCF year'!T$6,DCF!T8:LG8)</f>
        <v>0</v>
      </c>
      <c r="U8" s="124">
        <f>SUMIF(DCF!U3:LH3,'DCF year'!U$6,DCF!U8:LH8)</f>
        <v>0</v>
      </c>
      <c r="V8" s="124">
        <f>SUMIF(DCF!V3:LI3,'DCF year'!V$6,DCF!V8:LI8)</f>
        <v>0</v>
      </c>
      <c r="W8" s="124">
        <f>SUMIF(DCF!W3:LJ3,'DCF year'!W$6,DCF!W8:LJ8)</f>
        <v>0</v>
      </c>
      <c r="X8" s="124">
        <f>SUMIF(DCF!X3:LK3,'DCF year'!X$6,DCF!X8:LK8)</f>
        <v>0</v>
      </c>
      <c r="Y8" s="124">
        <f>SUMIF(DCF!Y3:LL3,'DCF year'!Y$6,DCF!Y8:LL8)</f>
        <v>0</v>
      </c>
      <c r="Z8" s="124">
        <f>SUMIF(DCF!Z3:LM3,'DCF year'!Z$6,DCF!Z8:LM8)</f>
        <v>0</v>
      </c>
      <c r="AA8" s="124">
        <f>SUMIF(DCF!AA3:LN3,'DCF year'!AA$6,DCF!AA8:LN8)</f>
        <v>0</v>
      </c>
      <c r="AB8" s="124">
        <f>SUMIF(DCF!AB3:LO3,'DCF year'!AB$6,DCF!AB8:LO8)</f>
        <v>0</v>
      </c>
      <c r="AC8" s="124">
        <f>SUMIF(DCF!AC3:LP3,'DCF year'!AC$6,DCF!AC8:LP8)</f>
        <v>0</v>
      </c>
    </row>
    <row r="9" spans="2:29" x14ac:dyDescent="0.35">
      <c r="B9" s="125" t="s">
        <v>106</v>
      </c>
      <c r="C9" s="121">
        <f t="shared" si="1"/>
        <v>5833314060.8999996</v>
      </c>
      <c r="D9" s="122">
        <f>SUM(D10:D10)</f>
        <v>1574994796.4430001</v>
      </c>
      <c r="E9" s="122">
        <f t="shared" ref="E9:R9" si="3">SUM(E10:E10)</f>
        <v>3954986933.2901998</v>
      </c>
      <c r="F9" s="122">
        <f t="shared" si="3"/>
        <v>303332331.1667999</v>
      </c>
      <c r="G9" s="122">
        <f t="shared" si="3"/>
        <v>0</v>
      </c>
      <c r="H9" s="122">
        <f t="shared" si="3"/>
        <v>0</v>
      </c>
      <c r="I9" s="122">
        <f t="shared" si="3"/>
        <v>0</v>
      </c>
      <c r="J9" s="122">
        <f t="shared" si="3"/>
        <v>0</v>
      </c>
      <c r="K9" s="122">
        <f t="shared" si="3"/>
        <v>0</v>
      </c>
      <c r="L9" s="122">
        <f t="shared" si="3"/>
        <v>0</v>
      </c>
      <c r="M9" s="122">
        <f t="shared" si="3"/>
        <v>0</v>
      </c>
      <c r="N9" s="122">
        <f t="shared" si="3"/>
        <v>0</v>
      </c>
      <c r="O9" s="122">
        <f t="shared" si="3"/>
        <v>0</v>
      </c>
      <c r="P9" s="122">
        <f t="shared" si="3"/>
        <v>0</v>
      </c>
      <c r="Q9" s="122">
        <f t="shared" si="3"/>
        <v>0</v>
      </c>
      <c r="R9" s="122">
        <f t="shared" si="3"/>
        <v>0</v>
      </c>
      <c r="S9" s="122">
        <f t="shared" ref="S9:AC9" si="4">SUM(S10:S10)</f>
        <v>0</v>
      </c>
      <c r="T9" s="122">
        <f t="shared" si="4"/>
        <v>0</v>
      </c>
      <c r="U9" s="122">
        <f t="shared" si="4"/>
        <v>0</v>
      </c>
      <c r="V9" s="122">
        <f t="shared" si="4"/>
        <v>0</v>
      </c>
      <c r="W9" s="122">
        <f t="shared" si="4"/>
        <v>0</v>
      </c>
      <c r="X9" s="122">
        <f t="shared" si="4"/>
        <v>0</v>
      </c>
      <c r="Y9" s="122">
        <f t="shared" si="4"/>
        <v>0</v>
      </c>
      <c r="Z9" s="122">
        <f t="shared" si="4"/>
        <v>0</v>
      </c>
      <c r="AA9" s="122">
        <f t="shared" si="4"/>
        <v>0</v>
      </c>
      <c r="AB9" s="122">
        <f t="shared" si="4"/>
        <v>0</v>
      </c>
      <c r="AC9" s="122">
        <f t="shared" si="4"/>
        <v>0</v>
      </c>
    </row>
    <row r="10" spans="2:29" x14ac:dyDescent="0.35">
      <c r="B10" s="126" t="s">
        <v>107</v>
      </c>
      <c r="C10" s="123">
        <f t="shared" si="1"/>
        <v>5833314060.8999996</v>
      </c>
      <c r="D10" s="124">
        <f>SUMIF(DCF!D$3:KQ$3,'DCF year'!D$6,DCF!D10:KQ10)</f>
        <v>1574994796.4430001</v>
      </c>
      <c r="E10" s="124">
        <f>SUMIF(DCF!E$3:KR$3,'DCF year'!E$6,DCF!E10:KR10)</f>
        <v>3954986933.2901998</v>
      </c>
      <c r="F10" s="124">
        <f>SUMIF(DCF!F$3:KS$3,'DCF year'!F$6,DCF!F10:KS10)</f>
        <v>303332331.1667999</v>
      </c>
      <c r="G10" s="124">
        <f>SUMIF(DCF!G$3:KT$3,'DCF year'!G$6,DCF!G10:KT10)</f>
        <v>0</v>
      </c>
      <c r="H10" s="124">
        <f>SUMIF(DCF!H$3:KU$3,'DCF year'!H$6,DCF!H10:KU10)</f>
        <v>0</v>
      </c>
      <c r="I10" s="124">
        <f>SUMIF(DCF!I$3:KV$3,'DCF year'!I$6,DCF!I10:KV10)</f>
        <v>0</v>
      </c>
      <c r="J10" s="124">
        <f>SUMIF(DCF!J$3:KW$3,'DCF year'!J$6,DCF!J10:KW10)</f>
        <v>0</v>
      </c>
      <c r="K10" s="124">
        <f>SUMIF(DCF!K$3:KX$3,'DCF year'!K$6,DCF!K10:KX10)</f>
        <v>0</v>
      </c>
      <c r="L10" s="124">
        <f>SUMIF(DCF!L$3:KY$3,'DCF year'!L$6,DCF!L10:KY10)</f>
        <v>0</v>
      </c>
      <c r="M10" s="124">
        <f>SUMIF(DCF!M$3:KZ$3,'DCF year'!M$6,DCF!M10:KZ10)</f>
        <v>0</v>
      </c>
      <c r="N10" s="124">
        <f>SUMIF(DCF!N$3:LA$3,'DCF year'!N$6,DCF!N10:LA10)</f>
        <v>0</v>
      </c>
      <c r="O10" s="124">
        <f>SUMIF(DCF!O$3:LB$3,'DCF year'!O$6,DCF!O10:LB10)</f>
        <v>0</v>
      </c>
      <c r="P10" s="124">
        <f>SUMIF(DCF!P$3:LC$3,'DCF year'!P$6,DCF!P10:LC10)</f>
        <v>0</v>
      </c>
      <c r="Q10" s="124">
        <f>SUMIF(DCF!Q$3:LD$3,'DCF year'!Q$6,DCF!Q10:LD10)</f>
        <v>0</v>
      </c>
      <c r="R10" s="124">
        <f>SUMIF(DCF!R$3:LE$3,'DCF year'!R$6,DCF!R10:LE10)</f>
        <v>0</v>
      </c>
      <c r="S10" s="124">
        <f>SUMIF(DCF!S$3:LF$3,'DCF year'!S$6,DCF!S10:LF10)</f>
        <v>0</v>
      </c>
      <c r="T10" s="124">
        <f>SUMIF(DCF!T$3:LG$3,'DCF year'!T$6,DCF!T10:LG10)</f>
        <v>0</v>
      </c>
      <c r="U10" s="124">
        <f>SUMIF(DCF!U$3:LH$3,'DCF year'!U$6,DCF!U10:LH10)</f>
        <v>0</v>
      </c>
      <c r="V10" s="124">
        <f>SUMIF(DCF!V$3:LI$3,'DCF year'!V$6,DCF!V10:LI10)</f>
        <v>0</v>
      </c>
      <c r="W10" s="124">
        <f>SUMIF(DCF!W$3:LJ$3,'DCF year'!W$6,DCF!W10:LJ10)</f>
        <v>0</v>
      </c>
      <c r="X10" s="124">
        <f>SUMIF(DCF!X$3:LK$3,'DCF year'!X$6,DCF!X10:LK10)</f>
        <v>0</v>
      </c>
      <c r="Y10" s="124">
        <f>SUMIF(DCF!Y$3:LL$3,'DCF year'!Y$6,DCF!Y10:LL10)</f>
        <v>0</v>
      </c>
      <c r="Z10" s="124">
        <f>SUMIF(DCF!Z$3:LM$3,'DCF year'!Z$6,DCF!Z10:LM10)</f>
        <v>0</v>
      </c>
      <c r="AA10" s="124">
        <f>SUMIF(DCF!AA$3:LN$3,'DCF year'!AA$6,DCF!AA10:LN10)</f>
        <v>0</v>
      </c>
      <c r="AB10" s="124">
        <f>SUMIF(DCF!AB$3:LO$3,'DCF year'!AB$6,DCF!AB10:LO10)</f>
        <v>0</v>
      </c>
      <c r="AC10" s="124">
        <f>SUMIF(DCF!AC$3:LP$3,'DCF year'!AC$6,DCF!AC10:LP10)</f>
        <v>0</v>
      </c>
    </row>
    <row r="11" spans="2:29" x14ac:dyDescent="0.35">
      <c r="B11" s="127" t="s">
        <v>108</v>
      </c>
      <c r="C11" s="121">
        <f t="shared" si="1"/>
        <v>4879985939.0999994</v>
      </c>
      <c r="D11" s="122">
        <f>D7-D9</f>
        <v>374825803.55699992</v>
      </c>
      <c r="E11" s="122">
        <f t="shared" ref="E11:AC11" si="5">E7-E9</f>
        <v>191060166.70980024</v>
      </c>
      <c r="F11" s="122">
        <f t="shared" si="5"/>
        <v>4314099968.8331995</v>
      </c>
      <c r="G11" s="122">
        <f t="shared" si="5"/>
        <v>0</v>
      </c>
      <c r="H11" s="122">
        <f t="shared" si="5"/>
        <v>0</v>
      </c>
      <c r="I11" s="122">
        <f t="shared" si="5"/>
        <v>0</v>
      </c>
      <c r="J11" s="122">
        <f t="shared" si="5"/>
        <v>0</v>
      </c>
      <c r="K11" s="122">
        <f t="shared" si="5"/>
        <v>0</v>
      </c>
      <c r="L11" s="122">
        <f t="shared" si="5"/>
        <v>0</v>
      </c>
      <c r="M11" s="122">
        <f t="shared" si="5"/>
        <v>0</v>
      </c>
      <c r="N11" s="122">
        <f t="shared" si="5"/>
        <v>0</v>
      </c>
      <c r="O11" s="122">
        <f t="shared" si="5"/>
        <v>0</v>
      </c>
      <c r="P11" s="122">
        <f t="shared" si="5"/>
        <v>0</v>
      </c>
      <c r="Q11" s="122">
        <f t="shared" si="5"/>
        <v>0</v>
      </c>
      <c r="R11" s="122">
        <f t="shared" si="5"/>
        <v>0</v>
      </c>
      <c r="S11" s="122">
        <f t="shared" si="5"/>
        <v>0</v>
      </c>
      <c r="T11" s="122">
        <f t="shared" si="5"/>
        <v>0</v>
      </c>
      <c r="U11" s="122">
        <f t="shared" si="5"/>
        <v>0</v>
      </c>
      <c r="V11" s="122">
        <f t="shared" si="5"/>
        <v>0</v>
      </c>
      <c r="W11" s="122">
        <f t="shared" si="5"/>
        <v>0</v>
      </c>
      <c r="X11" s="122">
        <f t="shared" si="5"/>
        <v>0</v>
      </c>
      <c r="Y11" s="122">
        <f t="shared" si="5"/>
        <v>0</v>
      </c>
      <c r="Z11" s="122">
        <f t="shared" si="5"/>
        <v>0</v>
      </c>
      <c r="AA11" s="122">
        <f t="shared" si="5"/>
        <v>0</v>
      </c>
      <c r="AB11" s="122">
        <f t="shared" si="5"/>
        <v>0</v>
      </c>
      <c r="AC11" s="122">
        <f t="shared" si="5"/>
        <v>0</v>
      </c>
    </row>
    <row r="12" spans="2:29" x14ac:dyDescent="0.35">
      <c r="B12" s="126" t="s">
        <v>109</v>
      </c>
      <c r="C12" s="123">
        <f t="shared" si="1"/>
        <v>687711458.89655018</v>
      </c>
      <c r="D12" s="124">
        <f>SUMIF(DCF!D$3:KQ$3,'DCF year'!D$6,DCF!D12:KQ12)</f>
        <v>34385572.944827512</v>
      </c>
      <c r="E12" s="124">
        <f>SUMIF(DCF!E$3:KR$3,'DCF year'!E$6,DCF!E12:KR12)</f>
        <v>137542291.77931005</v>
      </c>
      <c r="F12" s="124">
        <f>SUMIF(DCF!F$3:KS$3,'DCF year'!F$6,DCF!F12:KS12)</f>
        <v>515783594.17241263</v>
      </c>
      <c r="G12" s="124">
        <f>SUMIF(DCF!G$3:KT$3,'DCF year'!G$6,DCF!G12:KT12)</f>
        <v>0</v>
      </c>
      <c r="H12" s="124">
        <f>SUMIF(DCF!H$3:KU$3,'DCF year'!H$6,DCF!H12:KU12)</f>
        <v>0</v>
      </c>
      <c r="I12" s="124">
        <f>SUMIF(DCF!I$3:KV$3,'DCF year'!I$6,DCF!I12:KV12)</f>
        <v>0</v>
      </c>
      <c r="J12" s="124">
        <f>SUMIF(DCF!J$3:KW$3,'DCF year'!J$6,DCF!J12:KW12)</f>
        <v>0</v>
      </c>
      <c r="K12" s="124">
        <f>SUMIF(DCF!K$3:KX$3,'DCF year'!K$6,DCF!K12:KX12)</f>
        <v>0</v>
      </c>
      <c r="L12" s="124">
        <f>SUMIF(DCF!L$3:KY$3,'DCF year'!L$6,DCF!L12:KY12)</f>
        <v>0</v>
      </c>
      <c r="M12" s="124">
        <f>SUMIF(DCF!M$3:KZ$3,'DCF year'!M$6,DCF!M12:KZ12)</f>
        <v>0</v>
      </c>
      <c r="N12" s="124">
        <f>SUMIF(DCF!N$3:LA$3,'DCF year'!N$6,DCF!N12:LA12)</f>
        <v>0</v>
      </c>
      <c r="O12" s="124">
        <f>SUMIF(DCF!O$3:LB$3,'DCF year'!O$6,DCF!O12:LB12)</f>
        <v>0</v>
      </c>
      <c r="P12" s="124">
        <f>SUMIF(DCF!P$3:LC$3,'DCF year'!P$6,DCF!P12:LC12)</f>
        <v>0</v>
      </c>
      <c r="Q12" s="124">
        <f>SUMIF(DCF!Q$3:LD$3,'DCF year'!Q$6,DCF!Q12:LD12)</f>
        <v>0</v>
      </c>
      <c r="R12" s="124">
        <f>SUMIF(DCF!R$3:LE$3,'DCF year'!R$6,DCF!R12:LE12)</f>
        <v>0</v>
      </c>
      <c r="S12" s="124">
        <f>SUMIF(DCF!S$3:LF$3,'DCF year'!S$6,DCF!S12:LF12)</f>
        <v>0</v>
      </c>
      <c r="T12" s="124">
        <f>SUMIF(DCF!T$3:LG$3,'DCF year'!T$6,DCF!T12:LG12)</f>
        <v>0</v>
      </c>
      <c r="U12" s="124">
        <f>SUMIF(DCF!U$3:LH$3,'DCF year'!U$6,DCF!U12:LH12)</f>
        <v>0</v>
      </c>
      <c r="V12" s="124">
        <f>SUMIF(DCF!V$3:LI$3,'DCF year'!V$6,DCF!V12:LI12)</f>
        <v>0</v>
      </c>
      <c r="W12" s="124">
        <f>SUMIF(DCF!W$3:LJ$3,'DCF year'!W$6,DCF!W12:LJ12)</f>
        <v>0</v>
      </c>
      <c r="X12" s="124">
        <f>SUMIF(DCF!X$3:LK$3,'DCF year'!X$6,DCF!X12:LK12)</f>
        <v>0</v>
      </c>
      <c r="Y12" s="124">
        <f>SUMIF(DCF!Y$3:LL$3,'DCF year'!Y$6,DCF!Y12:LL12)</f>
        <v>0</v>
      </c>
      <c r="Z12" s="124">
        <f>SUMIF(DCF!Z$3:LM$3,'DCF year'!Z$6,DCF!Z12:LM12)</f>
        <v>0</v>
      </c>
      <c r="AA12" s="124">
        <f>SUMIF(DCF!AA$3:LN$3,'DCF year'!AA$6,DCF!AA12:LN12)</f>
        <v>0</v>
      </c>
      <c r="AB12" s="124">
        <f>SUMIF(DCF!AB$3:LO$3,'DCF year'!AB$6,DCF!AB12:LO12)</f>
        <v>0</v>
      </c>
      <c r="AC12" s="124">
        <f>SUMIF(DCF!AC$3:LP$3,'DCF year'!AC$6,DCF!AC12:LP12)</f>
        <v>0</v>
      </c>
    </row>
    <row r="13" spans="2:29" x14ac:dyDescent="0.35">
      <c r="B13" s="126" t="s">
        <v>37</v>
      </c>
      <c r="C13" s="123">
        <f t="shared" si="1"/>
        <v>641580597.84069002</v>
      </c>
      <c r="D13" s="124">
        <f>SUMIF(DCF!D$3:KQ$3,'DCF year'!D$6,DCF!D13:KQ13)</f>
        <v>0</v>
      </c>
      <c r="E13" s="124">
        <f>SUMIF(DCF!E$3:KR$3,'DCF year'!E$6,DCF!E13:KR13)</f>
        <v>128316119.568138</v>
      </c>
      <c r="F13" s="124">
        <f>SUMIF(DCF!F$3:KS$3,'DCF year'!F$6,DCF!F13:KS13)</f>
        <v>513264478.27255201</v>
      </c>
      <c r="G13" s="124">
        <f>SUMIF(DCF!G$3:KT$3,'DCF year'!G$6,DCF!G13:KT13)</f>
        <v>0</v>
      </c>
      <c r="H13" s="124">
        <f>SUMIF(DCF!H$3:KU$3,'DCF year'!H$6,DCF!H13:KU13)</f>
        <v>0</v>
      </c>
      <c r="I13" s="124">
        <f>SUMIF(DCF!I$3:KV$3,'DCF year'!I$6,DCF!I13:KV13)</f>
        <v>0</v>
      </c>
      <c r="J13" s="124">
        <f>SUMIF(DCF!J$3:KW$3,'DCF year'!J$6,DCF!J13:KW13)</f>
        <v>0</v>
      </c>
      <c r="K13" s="124">
        <f>SUMIF(DCF!K$3:KX$3,'DCF year'!K$6,DCF!K13:KX13)</f>
        <v>0</v>
      </c>
      <c r="L13" s="124">
        <f>SUMIF(DCF!L$3:KY$3,'DCF year'!L$6,DCF!L13:KY13)</f>
        <v>0</v>
      </c>
      <c r="M13" s="124">
        <f>SUMIF(DCF!M$3:KZ$3,'DCF year'!M$6,DCF!M13:KZ13)</f>
        <v>0</v>
      </c>
      <c r="N13" s="124">
        <f>SUMIF(DCF!N$3:LA$3,'DCF year'!N$6,DCF!N13:LA13)</f>
        <v>0</v>
      </c>
      <c r="O13" s="124">
        <f>SUMIF(DCF!O$3:LB$3,'DCF year'!O$6,DCF!O13:LB13)</f>
        <v>0</v>
      </c>
      <c r="P13" s="124">
        <f>SUMIF(DCF!P$3:LC$3,'DCF year'!P$6,DCF!P13:LC13)</f>
        <v>0</v>
      </c>
      <c r="Q13" s="124">
        <f>SUMIF(DCF!Q$3:LD$3,'DCF year'!Q$6,DCF!Q13:LD13)</f>
        <v>0</v>
      </c>
      <c r="R13" s="124">
        <f>SUMIF(DCF!R$3:LE$3,'DCF year'!R$6,DCF!R13:LE13)</f>
        <v>0</v>
      </c>
      <c r="S13" s="124">
        <f>SUMIF(DCF!S$3:LF$3,'DCF year'!S$6,DCF!S13:LF13)</f>
        <v>0</v>
      </c>
      <c r="T13" s="124">
        <f>SUMIF(DCF!T$3:LG$3,'DCF year'!T$6,DCF!T13:LG13)</f>
        <v>0</v>
      </c>
      <c r="U13" s="124">
        <f>SUMIF(DCF!U$3:LH$3,'DCF year'!U$6,DCF!U13:LH13)</f>
        <v>0</v>
      </c>
      <c r="V13" s="124">
        <f>SUMIF(DCF!V$3:LI$3,'DCF year'!V$6,DCF!V13:LI13)</f>
        <v>0</v>
      </c>
      <c r="W13" s="124">
        <f>SUMIF(DCF!W$3:LJ$3,'DCF year'!W$6,DCF!W13:LJ13)</f>
        <v>0</v>
      </c>
      <c r="X13" s="124">
        <f>SUMIF(DCF!X$3:LK$3,'DCF year'!X$6,DCF!X13:LK13)</f>
        <v>0</v>
      </c>
      <c r="Y13" s="124">
        <f>SUMIF(DCF!Y$3:LL$3,'DCF year'!Y$6,DCF!Y13:LL13)</f>
        <v>0</v>
      </c>
      <c r="Z13" s="124">
        <f>SUMIF(DCF!Z$3:LM$3,'DCF year'!Z$6,DCF!Z13:LM13)</f>
        <v>0</v>
      </c>
      <c r="AA13" s="124">
        <f>SUMIF(DCF!AA$3:LN$3,'DCF year'!AA$6,DCF!AA13:LN13)</f>
        <v>0</v>
      </c>
      <c r="AB13" s="124">
        <f>SUMIF(DCF!AB$3:LO$3,'DCF year'!AB$6,DCF!AB13:LO13)</f>
        <v>0</v>
      </c>
      <c r="AC13" s="124">
        <f>SUMIF(DCF!AC$3:LP$3,'DCF year'!AC$6,DCF!AC13:LP13)</f>
        <v>0</v>
      </c>
    </row>
    <row r="14" spans="2:29" x14ac:dyDescent="0.35">
      <c r="B14" s="126" t="s">
        <v>110</v>
      </c>
      <c r="C14" s="123">
        <f t="shared" si="1"/>
        <v>112218750</v>
      </c>
      <c r="D14" s="124">
        <f>SUMIF(DCF!D$3:KQ$3,'DCF year'!D$6,DCF!D14:KQ14)</f>
        <v>61031250</v>
      </c>
      <c r="E14" s="124">
        <f>SUMIF(DCF!E$3:KR$3,'DCF year'!E$6,DCF!E14:KR14)</f>
        <v>51187500</v>
      </c>
      <c r="F14" s="124">
        <f>SUMIF(DCF!F$3:KS$3,'DCF year'!F$6,DCF!F14:KS14)</f>
        <v>0</v>
      </c>
      <c r="G14" s="124">
        <f>SUMIF(DCF!G$3:KT$3,'DCF year'!G$6,DCF!G14:KT14)</f>
        <v>0</v>
      </c>
      <c r="H14" s="124">
        <f>SUMIF(DCF!H$3:KU$3,'DCF year'!H$6,DCF!H14:KU14)</f>
        <v>0</v>
      </c>
      <c r="I14" s="124">
        <f>SUMIF(DCF!I$3:KV$3,'DCF year'!I$6,DCF!I14:KV14)</f>
        <v>0</v>
      </c>
      <c r="J14" s="124">
        <f>SUMIF(DCF!J$3:KW$3,'DCF year'!J$6,DCF!J14:KW14)</f>
        <v>0</v>
      </c>
      <c r="K14" s="124">
        <f>SUMIF(DCF!K$3:KX$3,'DCF year'!K$6,DCF!K14:KX14)</f>
        <v>0</v>
      </c>
      <c r="L14" s="124">
        <f>SUMIF(DCF!L$3:KY$3,'DCF year'!L$6,DCF!L14:KY14)</f>
        <v>0</v>
      </c>
      <c r="M14" s="124">
        <f>SUMIF(DCF!M$3:KZ$3,'DCF year'!M$6,DCF!M14:KZ14)</f>
        <v>0</v>
      </c>
      <c r="N14" s="124">
        <f>SUMIF(DCF!N$3:LA$3,'DCF year'!N$6,DCF!N14:LA14)</f>
        <v>0</v>
      </c>
      <c r="O14" s="124">
        <f>SUMIF(DCF!O$3:LB$3,'DCF year'!O$6,DCF!O14:LB14)</f>
        <v>0</v>
      </c>
      <c r="P14" s="124">
        <f>SUMIF(DCF!P$3:LC$3,'DCF year'!P$6,DCF!P14:LC14)</f>
        <v>0</v>
      </c>
      <c r="Q14" s="124">
        <f>SUMIF(DCF!Q$3:LD$3,'DCF year'!Q$6,DCF!Q14:LD14)</f>
        <v>0</v>
      </c>
      <c r="R14" s="124">
        <f>SUMIF(DCF!R$3:LE$3,'DCF year'!R$6,DCF!R14:LE14)</f>
        <v>0</v>
      </c>
      <c r="S14" s="124">
        <f>SUMIF(DCF!S$3:LF$3,'DCF year'!S$6,DCF!S14:LF14)</f>
        <v>0</v>
      </c>
      <c r="T14" s="124">
        <f>SUMIF(DCF!T$3:LG$3,'DCF year'!T$6,DCF!T14:LG14)</f>
        <v>0</v>
      </c>
      <c r="U14" s="124">
        <f>SUMIF(DCF!U$3:LH$3,'DCF year'!U$6,DCF!U14:LH14)</f>
        <v>0</v>
      </c>
      <c r="V14" s="124">
        <f>SUMIF(DCF!V$3:LI$3,'DCF year'!V$6,DCF!V14:LI14)</f>
        <v>0</v>
      </c>
      <c r="W14" s="124">
        <f>SUMIF(DCF!W$3:LJ$3,'DCF year'!W$6,DCF!W14:LJ14)</f>
        <v>0</v>
      </c>
      <c r="X14" s="124">
        <f>SUMIF(DCF!X$3:LK$3,'DCF year'!X$6,DCF!X14:LK14)</f>
        <v>0</v>
      </c>
      <c r="Y14" s="124">
        <f>SUMIF(DCF!Y$3:LL$3,'DCF year'!Y$6,DCF!Y14:LL14)</f>
        <v>0</v>
      </c>
      <c r="Z14" s="124">
        <f>SUMIF(DCF!Z$3:LM$3,'DCF year'!Z$6,DCF!Z14:LM14)</f>
        <v>0</v>
      </c>
      <c r="AA14" s="124">
        <f>SUMIF(DCF!AA$3:LN$3,'DCF year'!AA$6,DCF!AA14:LN14)</f>
        <v>0</v>
      </c>
      <c r="AB14" s="124">
        <f>SUMIF(DCF!AB$3:LO$3,'DCF year'!AB$6,DCF!AB14:LO14)</f>
        <v>0</v>
      </c>
      <c r="AC14" s="124">
        <f>SUMIF(DCF!AC$3:LP$3,'DCF year'!AC$6,DCF!AC14:LP14)</f>
        <v>0</v>
      </c>
    </row>
    <row r="15" spans="2:29" x14ac:dyDescent="0.35">
      <c r="B15" s="129" t="s">
        <v>111</v>
      </c>
      <c r="C15" s="121">
        <f t="shared" si="1"/>
        <v>3438475132.3627596</v>
      </c>
      <c r="D15" s="131">
        <f t="shared" ref="D15:AC15" si="6">D11-SUM(D12:D14)</f>
        <v>279408980.61217242</v>
      </c>
      <c r="E15" s="131">
        <f t="shared" si="6"/>
        <v>-125985744.63764781</v>
      </c>
      <c r="F15" s="131">
        <f t="shared" si="6"/>
        <v>3285051896.3882351</v>
      </c>
      <c r="G15" s="131">
        <f t="shared" si="6"/>
        <v>0</v>
      </c>
      <c r="H15" s="131">
        <f t="shared" si="6"/>
        <v>0</v>
      </c>
      <c r="I15" s="131">
        <f t="shared" si="6"/>
        <v>0</v>
      </c>
      <c r="J15" s="131">
        <f t="shared" si="6"/>
        <v>0</v>
      </c>
      <c r="K15" s="131">
        <f t="shared" si="6"/>
        <v>0</v>
      </c>
      <c r="L15" s="131">
        <f t="shared" si="6"/>
        <v>0</v>
      </c>
      <c r="M15" s="131">
        <f t="shared" si="6"/>
        <v>0</v>
      </c>
      <c r="N15" s="131">
        <f t="shared" si="6"/>
        <v>0</v>
      </c>
      <c r="O15" s="131">
        <f t="shared" si="6"/>
        <v>0</v>
      </c>
      <c r="P15" s="131">
        <f t="shared" si="6"/>
        <v>0</v>
      </c>
      <c r="Q15" s="131">
        <f t="shared" si="6"/>
        <v>0</v>
      </c>
      <c r="R15" s="131">
        <f t="shared" si="6"/>
        <v>0</v>
      </c>
      <c r="S15" s="131">
        <f t="shared" si="6"/>
        <v>0</v>
      </c>
      <c r="T15" s="131">
        <f t="shared" si="6"/>
        <v>0</v>
      </c>
      <c r="U15" s="131">
        <f t="shared" si="6"/>
        <v>0</v>
      </c>
      <c r="V15" s="131">
        <f t="shared" si="6"/>
        <v>0</v>
      </c>
      <c r="W15" s="131">
        <f t="shared" si="6"/>
        <v>0</v>
      </c>
      <c r="X15" s="131">
        <f t="shared" si="6"/>
        <v>0</v>
      </c>
      <c r="Y15" s="131">
        <f t="shared" si="6"/>
        <v>0</v>
      </c>
      <c r="Z15" s="131">
        <f t="shared" si="6"/>
        <v>0</v>
      </c>
      <c r="AA15" s="131">
        <f t="shared" si="6"/>
        <v>0</v>
      </c>
      <c r="AB15" s="131">
        <f t="shared" si="6"/>
        <v>0</v>
      </c>
      <c r="AC15" s="131">
        <f t="shared" si="6"/>
        <v>0</v>
      </c>
    </row>
    <row r="16" spans="2:29" x14ac:dyDescent="0.35">
      <c r="B16" s="132"/>
      <c r="C16" s="132"/>
      <c r="D16" s="132"/>
      <c r="E16" s="132"/>
      <c r="F16" s="132"/>
      <c r="G16" s="132"/>
      <c r="H16" s="132"/>
    </row>
    <row r="17" spans="2:29" x14ac:dyDescent="0.35">
      <c r="B17" s="126" t="s">
        <v>112</v>
      </c>
      <c r="C17" s="123">
        <f>SUM(D17:KO17)</f>
        <v>675000000</v>
      </c>
      <c r="D17" s="128">
        <f>SUMIF(DCF!D$3:KQ$3,'DCF year'!D$6,DCF!D16:KQ16)</f>
        <v>0</v>
      </c>
      <c r="E17" s="128">
        <f>SUMIF(DCF!E$3:KR$3,'DCF year'!E$6,DCF!E16:KR16)</f>
        <v>0</v>
      </c>
      <c r="F17" s="128">
        <f>SUMIF(DCF!F$3:KS$3,'DCF year'!F$6,DCF!F16:KS16)</f>
        <v>675000000</v>
      </c>
      <c r="G17" s="128">
        <f>SUMIF(DCF!G$3:KT$3,'DCF year'!G$6,DCF!G16:KT16)</f>
        <v>0</v>
      </c>
      <c r="H17" s="128">
        <f>SUMIF(DCF!H$3:KU$3,'DCF year'!H$6,DCF!H16:KU16)</f>
        <v>0</v>
      </c>
      <c r="I17" s="128">
        <f>SUMIF(DCF!I$3:KV$3,'DCF year'!I$6,DCF!I16:KV16)</f>
        <v>0</v>
      </c>
      <c r="J17" s="128">
        <f>SUMIF(DCF!J$3:KW$3,'DCF year'!J$6,DCF!J16:KW16)</f>
        <v>0</v>
      </c>
      <c r="K17" s="128">
        <f>SUMIF(DCF!K$3:KX$3,'DCF year'!K$6,DCF!K16:KX16)</f>
        <v>0</v>
      </c>
      <c r="L17" s="128">
        <f>SUMIF(DCF!L$3:KY$3,'DCF year'!L$6,DCF!L16:KY16)</f>
        <v>0</v>
      </c>
      <c r="M17" s="128">
        <f>SUMIF(DCF!M$3:KZ$3,'DCF year'!M$6,DCF!M16:KZ16)</f>
        <v>0</v>
      </c>
      <c r="N17" s="128">
        <f>SUMIF(DCF!N$3:LA$3,'DCF year'!N$6,DCF!N16:LA16)</f>
        <v>0</v>
      </c>
      <c r="O17" s="128">
        <f>SUMIF(DCF!O$3:LB$3,'DCF year'!O$6,DCF!O16:LB16)</f>
        <v>0</v>
      </c>
      <c r="P17" s="128">
        <f>SUMIF(DCF!P$3:LC$3,'DCF year'!P$6,DCF!P16:LC16)</f>
        <v>0</v>
      </c>
      <c r="Q17" s="128">
        <f>SUMIF(DCF!Q$3:LD$3,'DCF year'!Q$6,DCF!Q16:LD16)</f>
        <v>0</v>
      </c>
      <c r="R17" s="128">
        <f>SUMIF(DCF!R$3:LE$3,'DCF year'!R$6,DCF!R16:LE16)</f>
        <v>0</v>
      </c>
      <c r="S17" s="128">
        <f>SUMIF(DCF!S$3:LF$3,'DCF year'!S$6,DCF!S16:LF16)</f>
        <v>0</v>
      </c>
      <c r="T17" s="128">
        <f>SUMIF(DCF!T$3:LG$3,'DCF year'!T$6,DCF!T16:LG16)</f>
        <v>0</v>
      </c>
      <c r="U17" s="128">
        <f>SUMIF(DCF!U$3:LH$3,'DCF year'!U$6,DCF!U16:LH16)</f>
        <v>0</v>
      </c>
      <c r="V17" s="128">
        <f>SUMIF(DCF!V$3:LI$3,'DCF year'!V$6,DCF!V16:LI16)</f>
        <v>0</v>
      </c>
      <c r="W17" s="128">
        <f>SUMIF(DCF!W$3:LJ$3,'DCF year'!W$6,DCF!W16:LJ16)</f>
        <v>0</v>
      </c>
      <c r="X17" s="128">
        <f>SUMIF(DCF!X$3:LK$3,'DCF year'!X$6,DCF!X16:LK16)</f>
        <v>0</v>
      </c>
      <c r="Y17" s="128">
        <f>SUMIF(DCF!Y$3:LL$3,'DCF year'!Y$6,DCF!Y16:LL16)</f>
        <v>0</v>
      </c>
      <c r="Z17" s="128">
        <f>SUMIF(DCF!Z$3:LM$3,'DCF year'!Z$6,DCF!Z16:LM16)</f>
        <v>0</v>
      </c>
      <c r="AA17" s="128">
        <f>SUMIF(DCF!AA$3:LN$3,'DCF year'!AA$6,DCF!AA16:LN16)</f>
        <v>0</v>
      </c>
      <c r="AB17" s="128">
        <f>SUMIF(DCF!AB$3:LO$3,'DCF year'!AB$6,DCF!AB16:LO16)</f>
        <v>0</v>
      </c>
      <c r="AC17" s="128">
        <f>SUMIF(DCF!AC$3:LP$3,'DCF year'!AC$6,DCF!AC16:LP16)</f>
        <v>0</v>
      </c>
    </row>
    <row r="18" spans="2:29" x14ac:dyDescent="0.35">
      <c r="B18" s="126" t="s">
        <v>113</v>
      </c>
      <c r="C18" s="123">
        <f>SUM(D18:KO18)</f>
        <v>0</v>
      </c>
      <c r="D18" s="128">
        <f>SUMIF(DCF!D$3:KQ$3,'DCF year'!D$6,DCF!D17:KQ17)</f>
        <v>0</v>
      </c>
      <c r="E18" s="128">
        <f>SUMIF(DCF!E$3:KR$3,'DCF year'!E$6,DCF!E17:KR17)</f>
        <v>0</v>
      </c>
      <c r="F18" s="128">
        <f>SUMIF(DCF!F$3:KS$3,'DCF year'!F$6,DCF!F17:KS17)</f>
        <v>0</v>
      </c>
      <c r="G18" s="128">
        <f>SUMIF(DCF!G$3:KT$3,'DCF year'!G$6,DCF!G17:KT17)</f>
        <v>0</v>
      </c>
      <c r="H18" s="128">
        <f>SUMIF(DCF!H$3:KU$3,'DCF year'!H$6,DCF!H17:KU17)</f>
        <v>0</v>
      </c>
      <c r="I18" s="128">
        <f>SUMIF(DCF!I$3:KV$3,'DCF year'!I$6,DCF!I17:KV17)</f>
        <v>0</v>
      </c>
      <c r="J18" s="128">
        <f>SUMIF(DCF!J$3:KW$3,'DCF year'!J$6,DCF!J17:KW17)</f>
        <v>0</v>
      </c>
      <c r="K18" s="128">
        <f>SUMIF(DCF!K$3:KX$3,'DCF year'!K$6,DCF!K17:KX17)</f>
        <v>0</v>
      </c>
      <c r="L18" s="128">
        <f>SUMIF(DCF!L$3:KY$3,'DCF year'!L$6,DCF!L17:KY17)</f>
        <v>0</v>
      </c>
      <c r="M18" s="128">
        <f>SUMIF(DCF!M$3:KZ$3,'DCF year'!M$6,DCF!M17:KZ17)</f>
        <v>0</v>
      </c>
      <c r="N18" s="128">
        <f>SUMIF(DCF!N$3:LA$3,'DCF year'!N$6,DCF!N17:LA17)</f>
        <v>0</v>
      </c>
      <c r="O18" s="128">
        <f>SUMIF(DCF!O$3:LB$3,'DCF year'!O$6,DCF!O17:LB17)</f>
        <v>0</v>
      </c>
      <c r="P18" s="128">
        <f>SUMIF(DCF!P$3:LC$3,'DCF year'!P$6,DCF!P17:LC17)</f>
        <v>0</v>
      </c>
      <c r="Q18" s="128">
        <f>SUMIF(DCF!Q$3:LD$3,'DCF year'!Q$6,DCF!Q17:LD17)</f>
        <v>0</v>
      </c>
      <c r="R18" s="128">
        <f>SUMIF(DCF!R$3:LE$3,'DCF year'!R$6,DCF!R17:LE17)</f>
        <v>0</v>
      </c>
      <c r="S18" s="128">
        <f>SUMIF(DCF!S$3:LF$3,'DCF year'!S$6,DCF!S17:LF17)</f>
        <v>0</v>
      </c>
      <c r="T18" s="128">
        <f>SUMIF(DCF!T$3:LG$3,'DCF year'!T$6,DCF!T17:LG17)</f>
        <v>0</v>
      </c>
      <c r="U18" s="128">
        <f>SUMIF(DCF!U$3:LH$3,'DCF year'!U$6,DCF!U17:LH17)</f>
        <v>0</v>
      </c>
      <c r="V18" s="128">
        <f>SUMIF(DCF!V$3:LI$3,'DCF year'!V$6,DCF!V17:LI17)</f>
        <v>0</v>
      </c>
      <c r="W18" s="128">
        <f>SUMIF(DCF!W$3:LJ$3,'DCF year'!W$6,DCF!W17:LJ17)</f>
        <v>0</v>
      </c>
      <c r="X18" s="128">
        <f>SUMIF(DCF!X$3:LK$3,'DCF year'!X$6,DCF!X17:LK17)</f>
        <v>0</v>
      </c>
      <c r="Y18" s="128">
        <f>SUMIF(DCF!Y$3:LL$3,'DCF year'!Y$6,DCF!Y17:LL17)</f>
        <v>0</v>
      </c>
      <c r="Z18" s="128">
        <f>SUMIF(DCF!Z$3:LM$3,'DCF year'!Z$6,DCF!Z17:LM17)</f>
        <v>0</v>
      </c>
      <c r="AA18" s="128">
        <f>SUMIF(DCF!AA$3:LN$3,'DCF year'!AA$6,DCF!AA17:LN17)</f>
        <v>0</v>
      </c>
      <c r="AB18" s="128">
        <f>SUMIF(DCF!AB$3:LO$3,'DCF year'!AB$6,DCF!AB17:LO17)</f>
        <v>0</v>
      </c>
      <c r="AC18" s="128">
        <f>SUMIF(DCF!AC$3:LP$3,'DCF year'!AC$6,DCF!AC17:LP17)</f>
        <v>0</v>
      </c>
    </row>
    <row r="19" spans="2:29" x14ac:dyDescent="0.35">
      <c r="B19" s="126" t="s">
        <v>114</v>
      </c>
      <c r="C19" s="123">
        <f>SUM(D19:KO19)</f>
        <v>197152741</v>
      </c>
      <c r="D19" s="128">
        <f>SUMIF(DCF!D$3:KQ$3,'DCF year'!D$6,DCF!D18:KQ18)</f>
        <v>94633315.680000007</v>
      </c>
      <c r="E19" s="128">
        <f>SUMIF(DCF!E$3:KR$3,'DCF year'!E$6,DCF!E18:KR18)</f>
        <v>102519425.32000001</v>
      </c>
      <c r="F19" s="128">
        <f>SUMIF(DCF!F$3:KS$3,'DCF year'!F$6,DCF!F18:KS18)</f>
        <v>0</v>
      </c>
      <c r="G19" s="128">
        <f>SUMIF(DCF!G$3:KT$3,'DCF year'!G$6,DCF!G18:KT18)</f>
        <v>0</v>
      </c>
      <c r="H19" s="128">
        <f>SUMIF(DCF!H$3:KU$3,'DCF year'!H$6,DCF!H18:KU18)</f>
        <v>0</v>
      </c>
      <c r="I19" s="128">
        <f>SUMIF(DCF!I$3:KV$3,'DCF year'!I$6,DCF!I18:KV18)</f>
        <v>0</v>
      </c>
      <c r="J19" s="128">
        <f>SUMIF(DCF!J$3:KW$3,'DCF year'!J$6,DCF!J18:KW18)</f>
        <v>0</v>
      </c>
      <c r="K19" s="128">
        <f>SUMIF(DCF!K$3:KX$3,'DCF year'!K$6,DCF!K18:KX18)</f>
        <v>0</v>
      </c>
      <c r="L19" s="128">
        <f>SUMIF(DCF!L$3:KY$3,'DCF year'!L$6,DCF!L18:KY18)</f>
        <v>0</v>
      </c>
      <c r="M19" s="128">
        <f>SUMIF(DCF!M$3:KZ$3,'DCF year'!M$6,DCF!M18:KZ18)</f>
        <v>0</v>
      </c>
      <c r="N19" s="128">
        <f>SUMIF(DCF!N$3:LA$3,'DCF year'!N$6,DCF!N18:LA18)</f>
        <v>0</v>
      </c>
      <c r="O19" s="128">
        <f>SUMIF(DCF!O$3:LB$3,'DCF year'!O$6,DCF!O18:LB18)</f>
        <v>0</v>
      </c>
      <c r="P19" s="128">
        <f>SUMIF(DCF!P$3:LC$3,'DCF year'!P$6,DCF!P18:LC18)</f>
        <v>0</v>
      </c>
      <c r="Q19" s="128">
        <f>SUMIF(DCF!Q$3:LD$3,'DCF year'!Q$6,DCF!Q18:LD18)</f>
        <v>0</v>
      </c>
      <c r="R19" s="128">
        <f>SUMIF(DCF!R$3:LE$3,'DCF year'!R$6,DCF!R18:LE18)</f>
        <v>0</v>
      </c>
      <c r="S19" s="128">
        <f>SUMIF(DCF!S$3:LF$3,'DCF year'!S$6,DCF!S18:LF18)</f>
        <v>0</v>
      </c>
      <c r="T19" s="128">
        <f>SUMIF(DCF!T$3:LG$3,'DCF year'!T$6,DCF!T18:LG18)</f>
        <v>0</v>
      </c>
      <c r="U19" s="128">
        <f>SUMIF(DCF!U$3:LH$3,'DCF year'!U$6,DCF!U18:LH18)</f>
        <v>0</v>
      </c>
      <c r="V19" s="128">
        <f>SUMIF(DCF!V$3:LI$3,'DCF year'!V$6,DCF!V18:LI18)</f>
        <v>0</v>
      </c>
      <c r="W19" s="128">
        <f>SUMIF(DCF!W$3:LJ$3,'DCF year'!W$6,DCF!W18:LJ18)</f>
        <v>0</v>
      </c>
      <c r="X19" s="128">
        <f>SUMIF(DCF!X$3:LK$3,'DCF year'!X$6,DCF!X18:LK18)</f>
        <v>0</v>
      </c>
      <c r="Y19" s="128">
        <f>SUMIF(DCF!Y$3:LL$3,'DCF year'!Y$6,DCF!Y18:LL18)</f>
        <v>0</v>
      </c>
      <c r="Z19" s="128">
        <f>SUMIF(DCF!Z$3:LM$3,'DCF year'!Z$6,DCF!Z18:LM18)</f>
        <v>0</v>
      </c>
      <c r="AA19" s="128">
        <f>SUMIF(DCF!AA$3:LN$3,'DCF year'!AA$6,DCF!AA18:LN18)</f>
        <v>0</v>
      </c>
      <c r="AB19" s="128">
        <f>SUMIF(DCF!AB$3:LO$3,'DCF year'!AB$6,DCF!AB18:LO18)</f>
        <v>0</v>
      </c>
      <c r="AC19" s="128">
        <f>SUMIF(DCF!AC$3:LP$3,'DCF year'!AC$6,DCF!AC18:LP18)</f>
        <v>0</v>
      </c>
    </row>
    <row r="20" spans="2:29" x14ac:dyDescent="0.35">
      <c r="B20" s="129" t="s">
        <v>115</v>
      </c>
      <c r="C20" s="130">
        <f>SUM(D20:KO20)</f>
        <v>-872152741</v>
      </c>
      <c r="D20" s="131">
        <f t="shared" ref="D20:AC20" si="7">-SUM(D17:D19)</f>
        <v>-94633315.680000007</v>
      </c>
      <c r="E20" s="131">
        <f t="shared" si="7"/>
        <v>-102519425.32000001</v>
      </c>
      <c r="F20" s="131">
        <f t="shared" si="7"/>
        <v>-675000000</v>
      </c>
      <c r="G20" s="131">
        <f t="shared" si="7"/>
        <v>0</v>
      </c>
      <c r="H20" s="131">
        <f t="shared" si="7"/>
        <v>0</v>
      </c>
      <c r="I20" s="131">
        <f t="shared" si="7"/>
        <v>0</v>
      </c>
      <c r="J20" s="131">
        <f t="shared" si="7"/>
        <v>0</v>
      </c>
      <c r="K20" s="131">
        <f t="shared" si="7"/>
        <v>0</v>
      </c>
      <c r="L20" s="131">
        <f t="shared" si="7"/>
        <v>0</v>
      </c>
      <c r="M20" s="131">
        <f t="shared" si="7"/>
        <v>0</v>
      </c>
      <c r="N20" s="131">
        <f t="shared" si="7"/>
        <v>0</v>
      </c>
      <c r="O20" s="131">
        <f t="shared" si="7"/>
        <v>0</v>
      </c>
      <c r="P20" s="131">
        <f t="shared" si="7"/>
        <v>0</v>
      </c>
      <c r="Q20" s="131">
        <f t="shared" si="7"/>
        <v>0</v>
      </c>
      <c r="R20" s="131">
        <f t="shared" si="7"/>
        <v>0</v>
      </c>
      <c r="S20" s="131">
        <f t="shared" si="7"/>
        <v>0</v>
      </c>
      <c r="T20" s="131">
        <f t="shared" si="7"/>
        <v>0</v>
      </c>
      <c r="U20" s="131">
        <f t="shared" si="7"/>
        <v>0</v>
      </c>
      <c r="V20" s="131">
        <f t="shared" si="7"/>
        <v>0</v>
      </c>
      <c r="W20" s="131">
        <f t="shared" si="7"/>
        <v>0</v>
      </c>
      <c r="X20" s="131">
        <f t="shared" si="7"/>
        <v>0</v>
      </c>
      <c r="Y20" s="131">
        <f t="shared" si="7"/>
        <v>0</v>
      </c>
      <c r="Z20" s="131">
        <f t="shared" si="7"/>
        <v>0</v>
      </c>
      <c r="AA20" s="131">
        <f t="shared" si="7"/>
        <v>0</v>
      </c>
      <c r="AB20" s="131">
        <f t="shared" si="7"/>
        <v>0</v>
      </c>
      <c r="AC20" s="131">
        <f t="shared" si="7"/>
        <v>0</v>
      </c>
    </row>
    <row r="21" spans="2:29" x14ac:dyDescent="0.35">
      <c r="B21" s="132"/>
      <c r="C21" s="132"/>
      <c r="D21" s="132"/>
      <c r="E21" s="132"/>
      <c r="F21" s="132"/>
      <c r="G21" s="132"/>
      <c r="H21" s="132"/>
    </row>
    <row r="22" spans="2:29" x14ac:dyDescent="0.35">
      <c r="B22" s="134" t="s">
        <v>116</v>
      </c>
      <c r="C22" s="135">
        <f>SUM(D22:KO22)</f>
        <v>2566322391.3627596</v>
      </c>
      <c r="D22" s="136">
        <f>D15+D20</f>
        <v>184775664.93217242</v>
      </c>
      <c r="E22" s="136">
        <f t="shared" ref="E22:AC22" si="8">E15+E20</f>
        <v>-228505169.9576478</v>
      </c>
      <c r="F22" s="136">
        <f>F15+F20</f>
        <v>2610051896.3882351</v>
      </c>
      <c r="G22" s="136">
        <f>G15+G20</f>
        <v>0</v>
      </c>
      <c r="H22" s="136">
        <f t="shared" si="8"/>
        <v>0</v>
      </c>
      <c r="I22" s="136">
        <f t="shared" si="8"/>
        <v>0</v>
      </c>
      <c r="J22" s="136">
        <f t="shared" si="8"/>
        <v>0</v>
      </c>
      <c r="K22" s="136">
        <f t="shared" si="8"/>
        <v>0</v>
      </c>
      <c r="L22" s="136">
        <f t="shared" si="8"/>
        <v>0</v>
      </c>
      <c r="M22" s="136">
        <f t="shared" si="8"/>
        <v>0</v>
      </c>
      <c r="N22" s="136">
        <f t="shared" si="8"/>
        <v>0</v>
      </c>
      <c r="O22" s="136">
        <f t="shared" si="8"/>
        <v>0</v>
      </c>
      <c r="P22" s="136">
        <f t="shared" si="8"/>
        <v>0</v>
      </c>
      <c r="Q22" s="136">
        <f t="shared" si="8"/>
        <v>0</v>
      </c>
      <c r="R22" s="136">
        <f t="shared" si="8"/>
        <v>0</v>
      </c>
      <c r="S22" s="136">
        <f t="shared" si="8"/>
        <v>0</v>
      </c>
      <c r="T22" s="136">
        <f t="shared" si="8"/>
        <v>0</v>
      </c>
      <c r="U22" s="136">
        <f t="shared" si="8"/>
        <v>0</v>
      </c>
      <c r="V22" s="136">
        <f t="shared" si="8"/>
        <v>0</v>
      </c>
      <c r="W22" s="136">
        <f t="shared" si="8"/>
        <v>0</v>
      </c>
      <c r="X22" s="136">
        <f t="shared" si="8"/>
        <v>0</v>
      </c>
      <c r="Y22" s="136">
        <f t="shared" si="8"/>
        <v>0</v>
      </c>
      <c r="Z22" s="136">
        <f t="shared" si="8"/>
        <v>0</v>
      </c>
      <c r="AA22" s="136">
        <f t="shared" si="8"/>
        <v>0</v>
      </c>
      <c r="AB22" s="136">
        <f t="shared" si="8"/>
        <v>0</v>
      </c>
      <c r="AC22" s="136">
        <f t="shared" si="8"/>
        <v>0</v>
      </c>
    </row>
    <row r="23" spans="2:29" x14ac:dyDescent="0.35">
      <c r="B23" s="137"/>
      <c r="C23" s="123"/>
      <c r="D23" s="138"/>
      <c r="E23" s="139"/>
      <c r="F23" s="139"/>
      <c r="G23" s="139"/>
      <c r="H23" s="139"/>
    </row>
    <row r="24" spans="2:29" x14ac:dyDescent="0.35">
      <c r="B24" s="126" t="s">
        <v>117</v>
      </c>
      <c r="C24" s="123">
        <f t="shared" ref="C24:C31" si="9">SUM(D24:KO24)</f>
        <v>675000000</v>
      </c>
      <c r="D24" s="128">
        <f>SUMIF(DCF!D$3:KQ$3,'DCF year'!D$6,DCF!D22:KQ22)</f>
        <v>675000000</v>
      </c>
      <c r="E24" s="128">
        <f>SUMIF(DCF!E$3:KR$3,'DCF year'!E$6,DCF!E22:KR22)</f>
        <v>0</v>
      </c>
      <c r="F24" s="128">
        <f>SUMIF(DCF!F$3:KS$3,'DCF year'!F$6,DCF!F22:KS22)</f>
        <v>0</v>
      </c>
      <c r="G24" s="128">
        <f>SUMIF(DCF!G$3:KT$3,'DCF year'!G$6,DCF!G22:KT22)</f>
        <v>0</v>
      </c>
      <c r="H24" s="128">
        <f>SUMIF(DCF!H$3:KU$3,'DCF year'!H$6,DCF!H22:KU22)</f>
        <v>0</v>
      </c>
      <c r="I24" s="128">
        <f>SUMIF(DCF!I$3:KV$3,'DCF year'!I$6,DCF!I22:KV22)</f>
        <v>0</v>
      </c>
      <c r="J24" s="128">
        <f>SUMIF(DCF!J$3:KW$3,'DCF year'!J$6,DCF!J22:KW22)</f>
        <v>0</v>
      </c>
      <c r="K24" s="128">
        <f>SUMIF(DCF!K$3:KX$3,'DCF year'!K$6,DCF!K22:KX22)</f>
        <v>0</v>
      </c>
      <c r="L24" s="128">
        <f>SUMIF(DCF!L$3:KY$3,'DCF year'!L$6,DCF!L22:KY22)</f>
        <v>0</v>
      </c>
      <c r="M24" s="128">
        <f>SUMIF(DCF!M$3:KZ$3,'DCF year'!M$6,DCF!M22:KZ22)</f>
        <v>0</v>
      </c>
      <c r="N24" s="128">
        <f>SUMIF(DCF!N$3:LA$3,'DCF year'!N$6,DCF!N22:LA22)</f>
        <v>0</v>
      </c>
      <c r="O24" s="128">
        <f>SUMIF(DCF!O$3:LB$3,'DCF year'!O$6,DCF!O22:LB22)</f>
        <v>0</v>
      </c>
      <c r="P24" s="128">
        <f>SUMIF(DCF!P$3:LC$3,'DCF year'!P$6,DCF!P22:LC22)</f>
        <v>0</v>
      </c>
      <c r="Q24" s="128">
        <f>SUMIF(DCF!Q$3:LD$3,'DCF year'!Q$6,DCF!Q22:LD22)</f>
        <v>0</v>
      </c>
      <c r="R24" s="128">
        <f>SUMIF(DCF!R$3:LE$3,'DCF year'!R$6,DCF!R22:LE22)</f>
        <v>0</v>
      </c>
      <c r="S24" s="128">
        <f>SUMIF(DCF!S$3:LF$3,'DCF year'!S$6,DCF!S22:LF22)</f>
        <v>0</v>
      </c>
      <c r="T24" s="128">
        <f>SUMIF(DCF!T$3:LG$3,'DCF year'!T$6,DCF!T22:LG22)</f>
        <v>0</v>
      </c>
      <c r="U24" s="128">
        <f>SUMIF(DCF!U$3:LH$3,'DCF year'!U$6,DCF!U22:LH22)</f>
        <v>0</v>
      </c>
      <c r="V24" s="128">
        <f>SUMIF(DCF!V$3:LI$3,'DCF year'!V$6,DCF!V22:LI22)</f>
        <v>0</v>
      </c>
      <c r="W24" s="128">
        <f>SUMIF(DCF!W$3:LJ$3,'DCF year'!W$6,DCF!W22:LJ22)</f>
        <v>0</v>
      </c>
      <c r="X24" s="128">
        <f>SUMIF(DCF!X$3:LK$3,'DCF year'!X$6,DCF!X22:LK22)</f>
        <v>0</v>
      </c>
      <c r="Y24" s="128">
        <f>SUMIF(DCF!Y$3:LL$3,'DCF year'!Y$6,DCF!Y22:LL22)</f>
        <v>0</v>
      </c>
      <c r="Z24" s="128">
        <f>SUMIF(DCF!Z$3:LM$3,'DCF year'!Z$6,DCF!Z22:LM22)</f>
        <v>0</v>
      </c>
      <c r="AA24" s="128">
        <f>SUMIF(DCF!AA$3:LN$3,'DCF year'!AA$6,DCF!AA22:LN22)</f>
        <v>0</v>
      </c>
      <c r="AB24" s="128">
        <f>SUMIF(DCF!AB$3:LO$3,'DCF year'!AB$6,DCF!AB22:LO22)</f>
        <v>0</v>
      </c>
      <c r="AC24" s="128">
        <f>SUMIF(DCF!AC$3:LP$3,'DCF year'!AC$6,DCF!AC22:LP22)</f>
        <v>0</v>
      </c>
    </row>
    <row r="25" spans="2:29" x14ac:dyDescent="0.35">
      <c r="B25" s="126" t="s">
        <v>118</v>
      </c>
      <c r="C25" s="123">
        <f t="shared" si="9"/>
        <v>0</v>
      </c>
      <c r="D25" s="128">
        <f>SUMIF(DCF!D$3:KQ$3,'DCF year'!D$6,DCF!D23:KQ23)</f>
        <v>0</v>
      </c>
      <c r="E25" s="128">
        <f>SUMIF(DCF!E$3:KR$3,'DCF year'!E$6,DCF!E23:KR23)</f>
        <v>0</v>
      </c>
      <c r="F25" s="128">
        <f>SUMIF(DCF!F$3:KS$3,'DCF year'!F$6,DCF!F23:KS23)</f>
        <v>0</v>
      </c>
      <c r="G25" s="128">
        <f>SUMIF(DCF!G$3:KT$3,'DCF year'!G$6,DCF!G23:KT23)</f>
        <v>0</v>
      </c>
      <c r="H25" s="128">
        <f>SUMIF(DCF!H$3:KU$3,'DCF year'!H$6,DCF!H23:KU23)</f>
        <v>0</v>
      </c>
      <c r="I25" s="128">
        <f>SUMIF(DCF!I$3:KV$3,'DCF year'!I$6,DCF!I23:KV23)</f>
        <v>0</v>
      </c>
      <c r="J25" s="128">
        <f>SUMIF(DCF!J$3:KW$3,'DCF year'!J$6,DCF!J23:KW23)</f>
        <v>0</v>
      </c>
      <c r="K25" s="128">
        <f>SUMIF(DCF!K$3:KX$3,'DCF year'!K$6,DCF!K23:KX23)</f>
        <v>0</v>
      </c>
      <c r="L25" s="128">
        <f>SUMIF(DCF!L$3:KY$3,'DCF year'!L$6,DCF!L23:KY23)</f>
        <v>0</v>
      </c>
      <c r="M25" s="128">
        <f>SUMIF(DCF!M$3:KZ$3,'DCF year'!M$6,DCF!M23:KZ23)</f>
        <v>0</v>
      </c>
      <c r="N25" s="128">
        <f>SUMIF(DCF!N$3:LA$3,'DCF year'!N$6,DCF!N23:LA23)</f>
        <v>0</v>
      </c>
      <c r="O25" s="128">
        <f>SUMIF(DCF!O$3:LB$3,'DCF year'!O$6,DCF!O23:LB23)</f>
        <v>0</v>
      </c>
      <c r="P25" s="128">
        <f>SUMIF(DCF!P$3:LC$3,'DCF year'!P$6,DCF!P23:LC23)</f>
        <v>0</v>
      </c>
      <c r="Q25" s="128">
        <f>SUMIF(DCF!Q$3:LD$3,'DCF year'!Q$6,DCF!Q23:LD23)</f>
        <v>0</v>
      </c>
      <c r="R25" s="128">
        <f>SUMIF(DCF!R$3:LE$3,'DCF year'!R$6,DCF!R23:LE23)</f>
        <v>0</v>
      </c>
      <c r="S25" s="128">
        <f>SUMIF(DCF!S$3:LF$3,'DCF year'!S$6,DCF!S23:LF23)</f>
        <v>0</v>
      </c>
      <c r="T25" s="128">
        <f>SUMIF(DCF!T$3:LG$3,'DCF year'!T$6,DCF!T23:LG23)</f>
        <v>0</v>
      </c>
      <c r="U25" s="128">
        <f>SUMIF(DCF!U$3:LH$3,'DCF year'!U$6,DCF!U23:LH23)</f>
        <v>0</v>
      </c>
      <c r="V25" s="128">
        <f>SUMIF(DCF!V$3:LI$3,'DCF year'!V$6,DCF!V23:LI23)</f>
        <v>0</v>
      </c>
      <c r="W25" s="128">
        <f>SUMIF(DCF!W$3:LJ$3,'DCF year'!W$6,DCF!W23:LJ23)</f>
        <v>0</v>
      </c>
      <c r="X25" s="128">
        <f>SUMIF(DCF!X$3:LK$3,'DCF year'!X$6,DCF!X23:LK23)</f>
        <v>0</v>
      </c>
      <c r="Y25" s="128">
        <f>SUMIF(DCF!Y$3:LL$3,'DCF year'!Y$6,DCF!Y23:LL23)</f>
        <v>0</v>
      </c>
      <c r="Z25" s="128">
        <f>SUMIF(DCF!Z$3:LM$3,'DCF year'!Z$6,DCF!Z23:LM23)</f>
        <v>0</v>
      </c>
      <c r="AA25" s="128">
        <f>SUMIF(DCF!AA$3:LN$3,'DCF year'!AA$6,DCF!AA23:LN23)</f>
        <v>0</v>
      </c>
      <c r="AB25" s="128">
        <f>SUMIF(DCF!AB$3:LO$3,'DCF year'!AB$6,DCF!AB23:LO23)</f>
        <v>0</v>
      </c>
      <c r="AC25" s="128">
        <f>SUMIF(DCF!AC$3:LP$3,'DCF year'!AC$6,DCF!AC23:LP23)</f>
        <v>0</v>
      </c>
    </row>
    <row r="26" spans="2:29" x14ac:dyDescent="0.35">
      <c r="B26" s="126" t="s">
        <v>119</v>
      </c>
      <c r="C26" s="123">
        <f t="shared" si="9"/>
        <v>0</v>
      </c>
      <c r="D26" s="128">
        <f>SUMIF(DCF!D$3:KQ$3,'DCF year'!D$6,DCF!D24:KQ24)</f>
        <v>0</v>
      </c>
      <c r="E26" s="128">
        <f>SUMIF(DCF!E$3:KR$3,'DCF year'!E$6,DCF!E24:KR24)</f>
        <v>0</v>
      </c>
      <c r="F26" s="128">
        <f>SUMIF(DCF!F$3:KS$3,'DCF year'!F$6,DCF!F24:KS24)</f>
        <v>0</v>
      </c>
      <c r="G26" s="128">
        <f>SUMIF(DCF!G$3:KT$3,'DCF year'!G$6,DCF!G24:KT24)</f>
        <v>0</v>
      </c>
      <c r="H26" s="128">
        <f>SUMIF(DCF!H$3:KU$3,'DCF year'!H$6,DCF!H24:KU24)</f>
        <v>0</v>
      </c>
      <c r="I26" s="128">
        <f>SUMIF(DCF!I$3:KV$3,'DCF year'!I$6,DCF!I24:KV24)</f>
        <v>0</v>
      </c>
      <c r="J26" s="128">
        <f>SUMIF(DCF!J$3:KW$3,'DCF year'!J$6,DCF!J24:KW24)</f>
        <v>0</v>
      </c>
      <c r="K26" s="128">
        <f>SUMIF(DCF!K$3:KX$3,'DCF year'!K$6,DCF!K24:KX24)</f>
        <v>0</v>
      </c>
      <c r="L26" s="128">
        <f>SUMIF(DCF!L$3:KY$3,'DCF year'!L$6,DCF!L24:KY24)</f>
        <v>0</v>
      </c>
      <c r="M26" s="128">
        <f>SUMIF(DCF!M$3:KZ$3,'DCF year'!M$6,DCF!M24:KZ24)</f>
        <v>0</v>
      </c>
      <c r="N26" s="128">
        <f>SUMIF(DCF!N$3:LA$3,'DCF year'!N$6,DCF!N24:LA24)</f>
        <v>0</v>
      </c>
      <c r="O26" s="128">
        <f>SUMIF(DCF!O$3:LB$3,'DCF year'!O$6,DCF!O24:LB24)</f>
        <v>0</v>
      </c>
      <c r="P26" s="128">
        <f>SUMIF(DCF!P$3:LC$3,'DCF year'!P$6,DCF!P24:LC24)</f>
        <v>0</v>
      </c>
      <c r="Q26" s="128">
        <f>SUMIF(DCF!Q$3:LD$3,'DCF year'!Q$6,DCF!Q24:LD24)</f>
        <v>0</v>
      </c>
      <c r="R26" s="128">
        <f>SUMIF(DCF!R$3:LE$3,'DCF year'!R$6,DCF!R24:LE24)</f>
        <v>0</v>
      </c>
      <c r="S26" s="128">
        <f>SUMIF(DCF!S$3:LF$3,'DCF year'!S$6,DCF!S24:LF24)</f>
        <v>0</v>
      </c>
      <c r="T26" s="128">
        <f>SUMIF(DCF!T$3:LG$3,'DCF year'!T$6,DCF!T24:LG24)</f>
        <v>0</v>
      </c>
      <c r="U26" s="128">
        <f>SUMIF(DCF!U$3:LH$3,'DCF year'!U$6,DCF!U24:LH24)</f>
        <v>0</v>
      </c>
      <c r="V26" s="128">
        <f>SUMIF(DCF!V$3:LI$3,'DCF year'!V$6,DCF!V24:LI24)</f>
        <v>0</v>
      </c>
      <c r="W26" s="128">
        <f>SUMIF(DCF!W$3:LJ$3,'DCF year'!W$6,DCF!W24:LJ24)</f>
        <v>0</v>
      </c>
      <c r="X26" s="128">
        <f>SUMIF(DCF!X$3:LK$3,'DCF year'!X$6,DCF!X24:LK24)</f>
        <v>0</v>
      </c>
      <c r="Y26" s="128">
        <f>SUMIF(DCF!Y$3:LL$3,'DCF year'!Y$6,DCF!Y24:LL24)</f>
        <v>0</v>
      </c>
      <c r="Z26" s="128">
        <f>SUMIF(DCF!Z$3:LM$3,'DCF year'!Z$6,DCF!Z24:LM24)</f>
        <v>0</v>
      </c>
      <c r="AA26" s="128">
        <f>SUMIF(DCF!AA$3:LN$3,'DCF year'!AA$6,DCF!AA24:LN24)</f>
        <v>0</v>
      </c>
      <c r="AB26" s="128">
        <f>SUMIF(DCF!AB$3:LO$3,'DCF year'!AB$6,DCF!AB24:LO24)</f>
        <v>0</v>
      </c>
      <c r="AC26" s="128">
        <f>SUMIF(DCF!AC$3:LP$3,'DCF year'!AC$6,DCF!AC24:LP24)</f>
        <v>0</v>
      </c>
    </row>
    <row r="27" spans="2:29" x14ac:dyDescent="0.35">
      <c r="B27" s="126" t="s">
        <v>120</v>
      </c>
      <c r="C27" s="123">
        <f t="shared" si="9"/>
        <v>675000000</v>
      </c>
      <c r="D27" s="128">
        <f>SUMIF(DCF!D$3:KQ$3,'DCF year'!D$6,DCF!D25:KQ25)</f>
        <v>225000000</v>
      </c>
      <c r="E27" s="128">
        <f>SUMIF(DCF!E$3:KR$3,'DCF year'!E$6,DCF!E25:KR25)</f>
        <v>450000000</v>
      </c>
      <c r="F27" s="128">
        <f>SUMIF(DCF!F$3:KS$3,'DCF year'!F$6,DCF!F25:KS25)</f>
        <v>0</v>
      </c>
      <c r="G27" s="128">
        <f>SUMIF(DCF!G$3:KT$3,'DCF year'!G$6,DCF!G25:KT25)</f>
        <v>0</v>
      </c>
      <c r="H27" s="128">
        <f>SUMIF(DCF!H$3:KU$3,'DCF year'!H$6,DCF!H25:KU25)</f>
        <v>0</v>
      </c>
      <c r="I27" s="128">
        <f>SUMIF(DCF!I$3:KV$3,'DCF year'!I$6,DCF!I25:KV25)</f>
        <v>0</v>
      </c>
      <c r="J27" s="128">
        <f>SUMIF(DCF!J$3:KW$3,'DCF year'!J$6,DCF!J25:KW25)</f>
        <v>0</v>
      </c>
      <c r="K27" s="128">
        <f>SUMIF(DCF!K$3:KX$3,'DCF year'!K$6,DCF!K25:KX25)</f>
        <v>0</v>
      </c>
      <c r="L27" s="128">
        <f>SUMIF(DCF!L$3:KY$3,'DCF year'!L$6,DCF!L25:KY25)</f>
        <v>0</v>
      </c>
      <c r="M27" s="128">
        <f>SUMIF(DCF!M$3:KZ$3,'DCF year'!M$6,DCF!M25:KZ25)</f>
        <v>0</v>
      </c>
      <c r="N27" s="128">
        <f>SUMIF(DCF!N$3:LA$3,'DCF year'!N$6,DCF!N25:LA25)</f>
        <v>0</v>
      </c>
      <c r="O27" s="128">
        <f>SUMIF(DCF!O$3:LB$3,'DCF year'!O$6,DCF!O25:LB25)</f>
        <v>0</v>
      </c>
      <c r="P27" s="128">
        <f>SUMIF(DCF!P$3:LC$3,'DCF year'!P$6,DCF!P25:LC25)</f>
        <v>0</v>
      </c>
      <c r="Q27" s="128">
        <f>SUMIF(DCF!Q$3:LD$3,'DCF year'!Q$6,DCF!Q25:LD25)</f>
        <v>0</v>
      </c>
      <c r="R27" s="128">
        <f>SUMIF(DCF!R$3:LE$3,'DCF year'!R$6,DCF!R25:LE25)</f>
        <v>0</v>
      </c>
      <c r="S27" s="128">
        <f>SUMIF(DCF!S$3:LF$3,'DCF year'!S$6,DCF!S25:LF25)</f>
        <v>0</v>
      </c>
      <c r="T27" s="128">
        <f>SUMIF(DCF!T$3:LG$3,'DCF year'!T$6,DCF!T25:LG25)</f>
        <v>0</v>
      </c>
      <c r="U27" s="128">
        <f>SUMIF(DCF!U$3:LH$3,'DCF year'!U$6,DCF!U25:LH25)</f>
        <v>0</v>
      </c>
      <c r="V27" s="128">
        <f>SUMIF(DCF!V$3:LI$3,'DCF year'!V$6,DCF!V25:LI25)</f>
        <v>0</v>
      </c>
      <c r="W27" s="128">
        <f>SUMIF(DCF!W$3:LJ$3,'DCF year'!W$6,DCF!W25:LJ25)</f>
        <v>0</v>
      </c>
      <c r="X27" s="128">
        <f>SUMIF(DCF!X$3:LK$3,'DCF year'!X$6,DCF!X25:LK25)</f>
        <v>0</v>
      </c>
      <c r="Y27" s="128">
        <f>SUMIF(DCF!Y$3:LL$3,'DCF year'!Y$6,DCF!Y25:LL25)</f>
        <v>0</v>
      </c>
      <c r="Z27" s="128">
        <f>SUMIF(DCF!Z$3:LM$3,'DCF year'!Z$6,DCF!Z25:LM25)</f>
        <v>0</v>
      </c>
      <c r="AA27" s="128">
        <f>SUMIF(DCF!AA$3:LN$3,'DCF year'!AA$6,DCF!AA25:LN25)</f>
        <v>0</v>
      </c>
      <c r="AB27" s="128">
        <f>SUMIF(DCF!AB$3:LO$3,'DCF year'!AB$6,DCF!AB25:LO25)</f>
        <v>0</v>
      </c>
      <c r="AC27" s="128">
        <f>SUMIF(DCF!AC$3:LP$3,'DCF year'!AC$6,DCF!AC25:LP25)</f>
        <v>0</v>
      </c>
    </row>
    <row r="28" spans="2:29" x14ac:dyDescent="0.35">
      <c r="B28" s="126" t="s">
        <v>121</v>
      </c>
      <c r="C28" s="123">
        <f t="shared" si="9"/>
        <v>0</v>
      </c>
      <c r="D28" s="128">
        <f>SUMIF(DCF!D$3:KQ$3,'DCF year'!D$6,DCF!D26:KQ26)</f>
        <v>0</v>
      </c>
      <c r="E28" s="128">
        <f>SUMIF(DCF!E$3:KR$3,'DCF year'!E$6,DCF!E26:KR26)</f>
        <v>0</v>
      </c>
      <c r="F28" s="128">
        <f>SUMIF(DCF!F$3:KS$3,'DCF year'!F$6,DCF!F26:KS26)</f>
        <v>0</v>
      </c>
      <c r="G28" s="128">
        <f>SUMIF(DCF!G$3:KT$3,'DCF year'!G$6,DCF!G26:KT26)</f>
        <v>0</v>
      </c>
      <c r="H28" s="128">
        <f>SUMIF(DCF!H$3:KU$3,'DCF year'!H$6,DCF!H26:KU26)</f>
        <v>0</v>
      </c>
      <c r="I28" s="128">
        <f>SUMIF(DCF!I$3:KV$3,'DCF year'!I$6,DCF!I26:KV26)</f>
        <v>0</v>
      </c>
      <c r="J28" s="128">
        <f>SUMIF(DCF!J$3:KW$3,'DCF year'!J$6,DCF!J26:KW26)</f>
        <v>0</v>
      </c>
      <c r="K28" s="128">
        <f>SUMIF(DCF!K$3:KX$3,'DCF year'!K$6,DCF!K26:KX26)</f>
        <v>0</v>
      </c>
      <c r="L28" s="128">
        <f>SUMIF(DCF!L$3:KY$3,'DCF year'!L$6,DCF!L26:KY26)</f>
        <v>0</v>
      </c>
      <c r="M28" s="128">
        <f>SUMIF(DCF!M$3:KZ$3,'DCF year'!M$6,DCF!M26:KZ26)</f>
        <v>0</v>
      </c>
      <c r="N28" s="128">
        <f>SUMIF(DCF!N$3:LA$3,'DCF year'!N$6,DCF!N26:LA26)</f>
        <v>0</v>
      </c>
      <c r="O28" s="128">
        <f>SUMIF(DCF!O$3:LB$3,'DCF year'!O$6,DCF!O26:LB26)</f>
        <v>0</v>
      </c>
      <c r="P28" s="128">
        <f>SUMIF(DCF!P$3:LC$3,'DCF year'!P$6,DCF!P26:LC26)</f>
        <v>0</v>
      </c>
      <c r="Q28" s="128">
        <f>SUMIF(DCF!Q$3:LD$3,'DCF year'!Q$6,DCF!Q26:LD26)</f>
        <v>0</v>
      </c>
      <c r="R28" s="128">
        <f>SUMIF(DCF!R$3:LE$3,'DCF year'!R$6,DCF!R26:LE26)</f>
        <v>0</v>
      </c>
      <c r="S28" s="128">
        <f>SUMIF(DCF!S$3:LF$3,'DCF year'!S$6,DCF!S26:LF26)</f>
        <v>0</v>
      </c>
      <c r="T28" s="128">
        <f>SUMIF(DCF!T$3:LG$3,'DCF year'!T$6,DCF!T26:LG26)</f>
        <v>0</v>
      </c>
      <c r="U28" s="128">
        <f>SUMIF(DCF!U$3:LH$3,'DCF year'!U$6,DCF!U26:LH26)</f>
        <v>0</v>
      </c>
      <c r="V28" s="128">
        <f>SUMIF(DCF!V$3:LI$3,'DCF year'!V$6,DCF!V26:LI26)</f>
        <v>0</v>
      </c>
      <c r="W28" s="128">
        <f>SUMIF(DCF!W$3:LJ$3,'DCF year'!W$6,DCF!W26:LJ26)</f>
        <v>0</v>
      </c>
      <c r="X28" s="128">
        <f>SUMIF(DCF!X$3:LK$3,'DCF year'!X$6,DCF!X26:LK26)</f>
        <v>0</v>
      </c>
      <c r="Y28" s="128">
        <f>SUMIF(DCF!Y$3:LL$3,'DCF year'!Y$6,DCF!Y26:LL26)</f>
        <v>0</v>
      </c>
      <c r="Z28" s="128">
        <f>SUMIF(DCF!Z$3:LM$3,'DCF year'!Z$6,DCF!Z26:LM26)</f>
        <v>0</v>
      </c>
      <c r="AA28" s="128">
        <f>SUMIF(DCF!AA$3:LN$3,'DCF year'!AA$6,DCF!AA26:LN26)</f>
        <v>0</v>
      </c>
      <c r="AB28" s="128">
        <f>SUMIF(DCF!AB$3:LO$3,'DCF year'!AB$6,DCF!AB26:LO26)</f>
        <v>0</v>
      </c>
      <c r="AC28" s="128">
        <f>SUMIF(DCF!AC$3:LP$3,'DCF year'!AC$6,DCF!AC26:LP26)</f>
        <v>0</v>
      </c>
    </row>
    <row r="29" spans="2:29" x14ac:dyDescent="0.35">
      <c r="B29" s="126" t="s">
        <v>122</v>
      </c>
      <c r="C29" s="123">
        <f t="shared" si="9"/>
        <v>0</v>
      </c>
      <c r="D29" s="128">
        <f>SUMIF(DCF!D$3:KQ$3,'DCF year'!D$6,DCF!D27:KQ27)</f>
        <v>0</v>
      </c>
      <c r="E29" s="128">
        <f>SUMIF(DCF!E$3:KR$3,'DCF year'!E$6,DCF!E27:KR27)</f>
        <v>0</v>
      </c>
      <c r="F29" s="128">
        <f>SUMIF(DCF!F$3:KS$3,'DCF year'!F$6,DCF!F27:KS27)</f>
        <v>0</v>
      </c>
      <c r="G29" s="128">
        <f>SUMIF(DCF!G$3:KT$3,'DCF year'!G$6,DCF!G27:KT27)</f>
        <v>0</v>
      </c>
      <c r="H29" s="128">
        <f>SUMIF(DCF!H$3:KU$3,'DCF year'!H$6,DCF!H27:KU27)</f>
        <v>0</v>
      </c>
      <c r="I29" s="128">
        <f>SUMIF(DCF!I$3:KV$3,'DCF year'!I$6,DCF!I27:KV27)</f>
        <v>0</v>
      </c>
      <c r="J29" s="128">
        <f>SUMIF(DCF!J$3:KW$3,'DCF year'!J$6,DCF!J27:KW27)</f>
        <v>0</v>
      </c>
      <c r="K29" s="128">
        <f>SUMIF(DCF!K$3:KX$3,'DCF year'!K$6,DCF!K27:KX27)</f>
        <v>0</v>
      </c>
      <c r="L29" s="128">
        <f>SUMIF(DCF!L$3:KY$3,'DCF year'!L$6,DCF!L27:KY27)</f>
        <v>0</v>
      </c>
      <c r="M29" s="128">
        <f>SUMIF(DCF!M$3:KZ$3,'DCF year'!M$6,DCF!M27:KZ27)</f>
        <v>0</v>
      </c>
      <c r="N29" s="128">
        <f>SUMIF(DCF!N$3:LA$3,'DCF year'!N$6,DCF!N27:LA27)</f>
        <v>0</v>
      </c>
      <c r="O29" s="128">
        <f>SUMIF(DCF!O$3:LB$3,'DCF year'!O$6,DCF!O27:LB27)</f>
        <v>0</v>
      </c>
      <c r="P29" s="128">
        <f>SUMIF(DCF!P$3:LC$3,'DCF year'!P$6,DCF!P27:LC27)</f>
        <v>0</v>
      </c>
      <c r="Q29" s="128">
        <f>SUMIF(DCF!Q$3:LD$3,'DCF year'!Q$6,DCF!Q27:LD27)</f>
        <v>0</v>
      </c>
      <c r="R29" s="128">
        <f>SUMIF(DCF!R$3:LE$3,'DCF year'!R$6,DCF!R27:LE27)</f>
        <v>0</v>
      </c>
      <c r="S29" s="128">
        <f>SUMIF(DCF!S$3:LF$3,'DCF year'!S$6,DCF!S27:LF27)</f>
        <v>0</v>
      </c>
      <c r="T29" s="128">
        <f>SUMIF(DCF!T$3:LG$3,'DCF year'!T$6,DCF!T27:LG27)</f>
        <v>0</v>
      </c>
      <c r="U29" s="128">
        <f>SUMIF(DCF!U$3:LH$3,'DCF year'!U$6,DCF!U27:LH27)</f>
        <v>0</v>
      </c>
      <c r="V29" s="128">
        <f>SUMIF(DCF!V$3:LI$3,'DCF year'!V$6,DCF!V27:LI27)</f>
        <v>0</v>
      </c>
      <c r="W29" s="128">
        <f>SUMIF(DCF!W$3:LJ$3,'DCF year'!W$6,DCF!W27:LJ27)</f>
        <v>0</v>
      </c>
      <c r="X29" s="128">
        <f>SUMIF(DCF!X$3:LK$3,'DCF year'!X$6,DCF!X27:LK27)</f>
        <v>0</v>
      </c>
      <c r="Y29" s="128">
        <f>SUMIF(DCF!Y$3:LL$3,'DCF year'!Y$6,DCF!Y27:LL27)</f>
        <v>0</v>
      </c>
      <c r="Z29" s="128">
        <f>SUMIF(DCF!Z$3:LM$3,'DCF year'!Z$6,DCF!Z27:LM27)</f>
        <v>0</v>
      </c>
      <c r="AA29" s="128">
        <f>SUMIF(DCF!AA$3:LN$3,'DCF year'!AA$6,DCF!AA27:LN27)</f>
        <v>0</v>
      </c>
      <c r="AB29" s="128">
        <f>SUMIF(DCF!AB$3:LO$3,'DCF year'!AB$6,DCF!AB27:LO27)</f>
        <v>0</v>
      </c>
      <c r="AC29" s="128">
        <f>SUMIF(DCF!AC$3:LP$3,'DCF year'!AC$6,DCF!AC27:LP27)</f>
        <v>0</v>
      </c>
    </row>
    <row r="30" spans="2:29" x14ac:dyDescent="0.35">
      <c r="B30" s="126" t="s">
        <v>123</v>
      </c>
      <c r="C30" s="123">
        <f t="shared" si="9"/>
        <v>0</v>
      </c>
      <c r="D30" s="128">
        <f>SUMIF(DCF!D$3:KQ$3,'DCF year'!D$6,DCF!D28:KQ28)</f>
        <v>0</v>
      </c>
      <c r="E30" s="128">
        <f>SUMIF(DCF!E$3:KR$3,'DCF year'!E$6,DCF!E28:KR28)</f>
        <v>0</v>
      </c>
      <c r="F30" s="128">
        <f>SUMIF(DCF!F$3:KS$3,'DCF year'!F$6,DCF!F28:KS28)</f>
        <v>0</v>
      </c>
      <c r="G30" s="128">
        <f>SUMIF(DCF!G$3:KT$3,'DCF year'!G$6,DCF!G28:KT28)</f>
        <v>0</v>
      </c>
      <c r="H30" s="128">
        <f>SUMIF(DCF!H$3:KU$3,'DCF year'!H$6,DCF!H28:KU28)</f>
        <v>0</v>
      </c>
      <c r="I30" s="128">
        <f>SUMIF(DCF!I$3:KV$3,'DCF year'!I$6,DCF!I28:KV28)</f>
        <v>0</v>
      </c>
      <c r="J30" s="128">
        <f>SUMIF(DCF!J$3:KW$3,'DCF year'!J$6,DCF!J28:KW28)</f>
        <v>0</v>
      </c>
      <c r="K30" s="128">
        <f>SUMIF(DCF!K$3:KX$3,'DCF year'!K$6,DCF!K28:KX28)</f>
        <v>0</v>
      </c>
      <c r="L30" s="128">
        <f>SUMIF(DCF!L$3:KY$3,'DCF year'!L$6,DCF!L28:KY28)</f>
        <v>0</v>
      </c>
      <c r="M30" s="128">
        <f>SUMIF(DCF!M$3:KZ$3,'DCF year'!M$6,DCF!M28:KZ28)</f>
        <v>0</v>
      </c>
      <c r="N30" s="128">
        <f>SUMIF(DCF!N$3:LA$3,'DCF year'!N$6,DCF!N28:LA28)</f>
        <v>0</v>
      </c>
      <c r="O30" s="128">
        <f>SUMIF(DCF!O$3:LB$3,'DCF year'!O$6,DCF!O28:LB28)</f>
        <v>0</v>
      </c>
      <c r="P30" s="128">
        <f>SUMIF(DCF!P$3:LC$3,'DCF year'!P$6,DCF!P28:LC28)</f>
        <v>0</v>
      </c>
      <c r="Q30" s="128">
        <f>SUMIF(DCF!Q$3:LD$3,'DCF year'!Q$6,DCF!Q28:LD28)</f>
        <v>0</v>
      </c>
      <c r="R30" s="128">
        <f>SUMIF(DCF!R$3:LE$3,'DCF year'!R$6,DCF!R28:LE28)</f>
        <v>0</v>
      </c>
      <c r="S30" s="128">
        <f>SUMIF(DCF!S$3:LF$3,'DCF year'!S$6,DCF!S28:LF28)</f>
        <v>0</v>
      </c>
      <c r="T30" s="128">
        <f>SUMIF(DCF!T$3:LG$3,'DCF year'!T$6,DCF!T28:LG28)</f>
        <v>0</v>
      </c>
      <c r="U30" s="128">
        <f>SUMIF(DCF!U$3:LH$3,'DCF year'!U$6,DCF!U28:LH28)</f>
        <v>0</v>
      </c>
      <c r="V30" s="128">
        <f>SUMIF(DCF!V$3:LI$3,'DCF year'!V$6,DCF!V28:LI28)</f>
        <v>0</v>
      </c>
      <c r="W30" s="128">
        <f>SUMIF(DCF!W$3:LJ$3,'DCF year'!W$6,DCF!W28:LJ28)</f>
        <v>0</v>
      </c>
      <c r="X30" s="128">
        <f>SUMIF(DCF!X$3:LK$3,'DCF year'!X$6,DCF!X28:LK28)</f>
        <v>0</v>
      </c>
      <c r="Y30" s="128">
        <f>SUMIF(DCF!Y$3:LL$3,'DCF year'!Y$6,DCF!Y28:LL28)</f>
        <v>0</v>
      </c>
      <c r="Z30" s="128">
        <f>SUMIF(DCF!Z$3:LM$3,'DCF year'!Z$6,DCF!Z28:LM28)</f>
        <v>0</v>
      </c>
      <c r="AA30" s="128">
        <f>SUMIF(DCF!AA$3:LN$3,'DCF year'!AA$6,DCF!AA28:LN28)</f>
        <v>0</v>
      </c>
      <c r="AB30" s="128">
        <f>SUMIF(DCF!AB$3:LO$3,'DCF year'!AB$6,DCF!AB28:LO28)</f>
        <v>0</v>
      </c>
      <c r="AC30" s="128">
        <f>SUMIF(DCF!AC$3:LP$3,'DCF year'!AC$6,DCF!AC28:LP28)</f>
        <v>0</v>
      </c>
    </row>
    <row r="31" spans="2:29" x14ac:dyDescent="0.35">
      <c r="B31" s="129" t="s">
        <v>124</v>
      </c>
      <c r="C31" s="144">
        <f t="shared" si="9"/>
        <v>0</v>
      </c>
      <c r="D31" s="145">
        <f t="shared" ref="D31:AC31" si="10">D24+D25+D26-D27-D28-D30-D29</f>
        <v>450000000</v>
      </c>
      <c r="E31" s="145">
        <f t="shared" si="10"/>
        <v>-450000000</v>
      </c>
      <c r="F31" s="145">
        <f t="shared" si="10"/>
        <v>0</v>
      </c>
      <c r="G31" s="145">
        <f t="shared" si="10"/>
        <v>0</v>
      </c>
      <c r="H31" s="145">
        <f t="shared" si="10"/>
        <v>0</v>
      </c>
      <c r="I31" s="145">
        <f t="shared" si="10"/>
        <v>0</v>
      </c>
      <c r="J31" s="145">
        <f t="shared" si="10"/>
        <v>0</v>
      </c>
      <c r="K31" s="145">
        <f t="shared" si="10"/>
        <v>0</v>
      </c>
      <c r="L31" s="145">
        <f t="shared" si="10"/>
        <v>0</v>
      </c>
      <c r="M31" s="145">
        <f t="shared" si="10"/>
        <v>0</v>
      </c>
      <c r="N31" s="145">
        <f t="shared" si="10"/>
        <v>0</v>
      </c>
      <c r="O31" s="145">
        <f t="shared" si="10"/>
        <v>0</v>
      </c>
      <c r="P31" s="145">
        <f t="shared" si="10"/>
        <v>0</v>
      </c>
      <c r="Q31" s="145">
        <f t="shared" si="10"/>
        <v>0</v>
      </c>
      <c r="R31" s="145">
        <f t="shared" si="10"/>
        <v>0</v>
      </c>
      <c r="S31" s="145">
        <f t="shared" si="10"/>
        <v>0</v>
      </c>
      <c r="T31" s="145">
        <f t="shared" si="10"/>
        <v>0</v>
      </c>
      <c r="U31" s="145">
        <f t="shared" si="10"/>
        <v>0</v>
      </c>
      <c r="V31" s="145">
        <f t="shared" si="10"/>
        <v>0</v>
      </c>
      <c r="W31" s="145">
        <f t="shared" si="10"/>
        <v>0</v>
      </c>
      <c r="X31" s="145">
        <f t="shared" si="10"/>
        <v>0</v>
      </c>
      <c r="Y31" s="145">
        <f t="shared" si="10"/>
        <v>0</v>
      </c>
      <c r="Z31" s="145">
        <f t="shared" si="10"/>
        <v>0</v>
      </c>
      <c r="AA31" s="145">
        <f t="shared" si="10"/>
        <v>0</v>
      </c>
      <c r="AB31" s="145">
        <f t="shared" si="10"/>
        <v>0</v>
      </c>
      <c r="AC31" s="145">
        <f t="shared" si="10"/>
        <v>0</v>
      </c>
    </row>
    <row r="32" spans="2:29" x14ac:dyDescent="0.35">
      <c r="B32" s="132"/>
      <c r="C32" s="132"/>
      <c r="D32" s="132"/>
      <c r="E32" s="132"/>
      <c r="F32" s="132"/>
      <c r="G32" s="132"/>
      <c r="H32" s="132"/>
    </row>
    <row r="33" spans="2:29" x14ac:dyDescent="0.35">
      <c r="B33" s="146" t="s">
        <v>125</v>
      </c>
      <c r="C33" s="204">
        <f>SUM(D33:KO33)</f>
        <v>2566322391.3627596</v>
      </c>
      <c r="D33" s="147">
        <f>D22+D31</f>
        <v>634775664.93217242</v>
      </c>
      <c r="E33" s="148">
        <f>E22+E31</f>
        <v>-678505169.9576478</v>
      </c>
      <c r="F33" s="148">
        <f>F22+F31</f>
        <v>2610051896.3882351</v>
      </c>
      <c r="G33" s="148">
        <f>G22+G31</f>
        <v>0</v>
      </c>
      <c r="H33" s="148">
        <f t="shared" ref="H33:AC33" si="11">H22+H31</f>
        <v>0</v>
      </c>
      <c r="I33" s="148">
        <f t="shared" si="11"/>
        <v>0</v>
      </c>
      <c r="J33" s="148">
        <f t="shared" si="11"/>
        <v>0</v>
      </c>
      <c r="K33" s="148">
        <f t="shared" si="11"/>
        <v>0</v>
      </c>
      <c r="L33" s="148">
        <f t="shared" si="11"/>
        <v>0</v>
      </c>
      <c r="M33" s="148">
        <f t="shared" si="11"/>
        <v>0</v>
      </c>
      <c r="N33" s="148">
        <f t="shared" si="11"/>
        <v>0</v>
      </c>
      <c r="O33" s="148">
        <f t="shared" si="11"/>
        <v>0</v>
      </c>
      <c r="P33" s="148">
        <f t="shared" si="11"/>
        <v>0</v>
      </c>
      <c r="Q33" s="148">
        <f t="shared" si="11"/>
        <v>0</v>
      </c>
      <c r="R33" s="148">
        <f t="shared" si="11"/>
        <v>0</v>
      </c>
      <c r="S33" s="148">
        <f t="shared" si="11"/>
        <v>0</v>
      </c>
      <c r="T33" s="148">
        <f t="shared" si="11"/>
        <v>0</v>
      </c>
      <c r="U33" s="148">
        <f t="shared" si="11"/>
        <v>0</v>
      </c>
      <c r="V33" s="148">
        <f t="shared" si="11"/>
        <v>0</v>
      </c>
      <c r="W33" s="148">
        <f t="shared" si="11"/>
        <v>0</v>
      </c>
      <c r="X33" s="148">
        <f t="shared" si="11"/>
        <v>0</v>
      </c>
      <c r="Y33" s="148">
        <f t="shared" si="11"/>
        <v>0</v>
      </c>
      <c r="Z33" s="148">
        <f t="shared" si="11"/>
        <v>0</v>
      </c>
      <c r="AA33" s="148">
        <f t="shared" si="11"/>
        <v>0</v>
      </c>
      <c r="AB33" s="148">
        <f t="shared" si="11"/>
        <v>0</v>
      </c>
      <c r="AC33" s="148">
        <f t="shared" si="11"/>
        <v>0</v>
      </c>
    </row>
    <row r="34" spans="2:29" x14ac:dyDescent="0.35">
      <c r="B34" s="149"/>
      <c r="C34" s="150"/>
      <c r="D34" s="151"/>
      <c r="E34" s="151"/>
      <c r="F34" s="151"/>
      <c r="G34" s="151"/>
      <c r="H34" s="151"/>
    </row>
    <row r="35" spans="2:29" x14ac:dyDescent="0.35">
      <c r="B35" s="152"/>
      <c r="C35" s="153"/>
      <c r="D35" s="153"/>
      <c r="E35" s="153"/>
      <c r="F35" s="153"/>
      <c r="G35" s="153"/>
      <c r="H35" s="153"/>
    </row>
    <row r="36" spans="2:29" x14ac:dyDescent="0.35">
      <c r="B36" s="154" t="s">
        <v>126</v>
      </c>
      <c r="C36" s="150"/>
      <c r="D36" s="155">
        <f>D33</f>
        <v>634775664.93217242</v>
      </c>
      <c r="E36" s="155">
        <f>D36+E33</f>
        <v>-43729505.025475383</v>
      </c>
      <c r="F36" s="155">
        <f t="shared" ref="F36:AC36" si="12">E36+F33</f>
        <v>2566322391.3627596</v>
      </c>
      <c r="G36" s="155">
        <f t="shared" si="12"/>
        <v>2566322391.3627596</v>
      </c>
      <c r="H36" s="155">
        <f t="shared" si="12"/>
        <v>2566322391.3627596</v>
      </c>
      <c r="I36" s="155">
        <f t="shared" si="12"/>
        <v>2566322391.3627596</v>
      </c>
      <c r="J36" s="155">
        <f t="shared" si="12"/>
        <v>2566322391.3627596</v>
      </c>
      <c r="K36" s="155">
        <f t="shared" si="12"/>
        <v>2566322391.3627596</v>
      </c>
      <c r="L36" s="155">
        <f t="shared" si="12"/>
        <v>2566322391.3627596</v>
      </c>
      <c r="M36" s="155">
        <f t="shared" si="12"/>
        <v>2566322391.3627596</v>
      </c>
      <c r="N36" s="155">
        <f t="shared" si="12"/>
        <v>2566322391.3627596</v>
      </c>
      <c r="O36" s="155">
        <f t="shared" si="12"/>
        <v>2566322391.3627596</v>
      </c>
      <c r="P36" s="155">
        <f t="shared" si="12"/>
        <v>2566322391.3627596</v>
      </c>
      <c r="Q36" s="155">
        <f t="shared" si="12"/>
        <v>2566322391.3627596</v>
      </c>
      <c r="R36" s="155">
        <f t="shared" si="12"/>
        <v>2566322391.3627596</v>
      </c>
      <c r="S36" s="155">
        <f t="shared" si="12"/>
        <v>2566322391.3627596</v>
      </c>
      <c r="T36" s="155">
        <f t="shared" si="12"/>
        <v>2566322391.3627596</v>
      </c>
      <c r="U36" s="155">
        <f t="shared" si="12"/>
        <v>2566322391.3627596</v>
      </c>
      <c r="V36" s="155">
        <f t="shared" si="12"/>
        <v>2566322391.3627596</v>
      </c>
      <c r="W36" s="155">
        <f t="shared" si="12"/>
        <v>2566322391.3627596</v>
      </c>
      <c r="X36" s="155">
        <f t="shared" si="12"/>
        <v>2566322391.3627596</v>
      </c>
      <c r="Y36" s="155">
        <f t="shared" si="12"/>
        <v>2566322391.3627596</v>
      </c>
      <c r="Z36" s="155">
        <f t="shared" si="12"/>
        <v>2566322391.3627596</v>
      </c>
      <c r="AA36" s="155">
        <f t="shared" si="12"/>
        <v>2566322391.3627596</v>
      </c>
      <c r="AB36" s="155">
        <f t="shared" si="12"/>
        <v>2566322391.3627596</v>
      </c>
      <c r="AC36" s="155">
        <f t="shared" si="12"/>
        <v>2566322391.3627596</v>
      </c>
    </row>
    <row r="37" spans="2:29" x14ac:dyDescent="0.35">
      <c r="B37" s="154" t="s">
        <v>202</v>
      </c>
      <c r="C37" s="156">
        <f>SUM(D37:AN37)</f>
        <v>1</v>
      </c>
      <c r="D37" s="157">
        <f>IF(D36&lt;0,1,0)</f>
        <v>0</v>
      </c>
      <c r="E37" s="157">
        <f t="shared" ref="E37:AC37" si="13">IF(E36&lt;0,1,0)</f>
        <v>1</v>
      </c>
      <c r="F37" s="157">
        <f t="shared" si="13"/>
        <v>0</v>
      </c>
      <c r="G37" s="157">
        <f t="shared" si="13"/>
        <v>0</v>
      </c>
      <c r="H37" s="157">
        <f t="shared" si="13"/>
        <v>0</v>
      </c>
      <c r="I37" s="157">
        <f t="shared" si="13"/>
        <v>0</v>
      </c>
      <c r="J37" s="157">
        <f t="shared" si="13"/>
        <v>0</v>
      </c>
      <c r="K37" s="157">
        <f t="shared" si="13"/>
        <v>0</v>
      </c>
      <c r="L37" s="157">
        <f t="shared" si="13"/>
        <v>0</v>
      </c>
      <c r="M37" s="157">
        <f t="shared" si="13"/>
        <v>0</v>
      </c>
      <c r="N37" s="157">
        <f t="shared" si="13"/>
        <v>0</v>
      </c>
      <c r="O37" s="157">
        <f t="shared" si="13"/>
        <v>0</v>
      </c>
      <c r="P37" s="157">
        <f t="shared" si="13"/>
        <v>0</v>
      </c>
      <c r="Q37" s="157">
        <f t="shared" si="13"/>
        <v>0</v>
      </c>
      <c r="R37" s="157">
        <f t="shared" si="13"/>
        <v>0</v>
      </c>
      <c r="S37" s="157">
        <f t="shared" si="13"/>
        <v>0</v>
      </c>
      <c r="T37" s="157">
        <f t="shared" si="13"/>
        <v>0</v>
      </c>
      <c r="U37" s="157">
        <f t="shared" si="13"/>
        <v>0</v>
      </c>
      <c r="V37" s="157">
        <f t="shared" si="13"/>
        <v>0</v>
      </c>
      <c r="W37" s="157">
        <f t="shared" si="13"/>
        <v>0</v>
      </c>
      <c r="X37" s="157">
        <f t="shared" si="13"/>
        <v>0</v>
      </c>
      <c r="Y37" s="157">
        <f t="shared" si="13"/>
        <v>0</v>
      </c>
      <c r="Z37" s="157">
        <f t="shared" si="13"/>
        <v>0</v>
      </c>
      <c r="AA37" s="157">
        <f t="shared" si="13"/>
        <v>0</v>
      </c>
      <c r="AB37" s="157">
        <f t="shared" si="13"/>
        <v>0</v>
      </c>
      <c r="AC37" s="157">
        <f t="shared" si="13"/>
        <v>0</v>
      </c>
    </row>
    <row r="38" spans="2:29" x14ac:dyDescent="0.35">
      <c r="B38" s="158"/>
      <c r="C38" s="159"/>
      <c r="D38" s="160"/>
      <c r="E38" s="160"/>
      <c r="F38" s="160"/>
      <c r="G38" s="160"/>
      <c r="H38" s="160"/>
    </row>
    <row r="39" spans="2:29" x14ac:dyDescent="0.35">
      <c r="B39" s="154" t="s">
        <v>127</v>
      </c>
      <c r="C39" s="150"/>
      <c r="D39" s="128">
        <f>SUMIF(DCF!D$3:KQ$3,'DCF year'!D$6,DCF!D35:KQ35)</f>
        <v>178214965.64617661</v>
      </c>
      <c r="E39" s="128">
        <f>SUMIF(DCF!E$3:KR$3,'DCF year'!E$6,DCF!E35:KR35)</f>
        <v>-201977475.97251654</v>
      </c>
      <c r="F39" s="128">
        <f>SUMIF(DCF!F$3:KS$3,'DCF year'!F$6,DCF!F35:KS35)</f>
        <v>1777055419.1582842</v>
      </c>
      <c r="G39" s="128">
        <f>SUMIF(DCF!G$3:KT$3,'DCF year'!G$6,DCF!G35:KT35)</f>
        <v>0</v>
      </c>
      <c r="H39" s="128">
        <f>SUMIF(DCF!H$3:KU$3,'DCF year'!H$6,DCF!H35:KU35)</f>
        <v>0</v>
      </c>
      <c r="I39" s="128">
        <f>SUMIF(DCF!I$3:KV$3,'DCF year'!I$6,DCF!I35:KV35)</f>
        <v>0</v>
      </c>
      <c r="J39" s="128">
        <f>SUMIF(DCF!J$3:KW$3,'DCF year'!J$6,DCF!J35:KW35)</f>
        <v>0</v>
      </c>
      <c r="K39" s="128">
        <f>SUMIF(DCF!K$3:KX$3,'DCF year'!K$6,DCF!K35:KX35)</f>
        <v>0</v>
      </c>
      <c r="L39" s="128">
        <f>SUMIF(DCF!L$3:KY$3,'DCF year'!L$6,DCF!L35:KY35)</f>
        <v>0</v>
      </c>
      <c r="M39" s="128">
        <f>SUMIF(DCF!M$3:KZ$3,'DCF year'!M$6,DCF!M35:KZ35)</f>
        <v>0</v>
      </c>
      <c r="N39" s="128">
        <f>SUMIF(DCF!N$3:LA$3,'DCF year'!N$6,DCF!N35:LA35)</f>
        <v>0</v>
      </c>
      <c r="O39" s="128">
        <f>SUMIF(DCF!O$3:LB$3,'DCF year'!O$6,DCF!O35:LB35)</f>
        <v>0</v>
      </c>
      <c r="P39" s="128">
        <f>SUMIF(DCF!P$3:LC$3,'DCF year'!P$6,DCF!P35:LC35)</f>
        <v>0</v>
      </c>
      <c r="Q39" s="128">
        <f>SUMIF(DCF!Q$3:LD$3,'DCF year'!Q$6,DCF!Q35:LD35)</f>
        <v>0</v>
      </c>
      <c r="R39" s="128">
        <f>SUMIF(DCF!R$3:LE$3,'DCF year'!R$6,DCF!R35:LE35)</f>
        <v>0</v>
      </c>
      <c r="S39" s="128">
        <f>SUMIF(DCF!S$3:LF$3,'DCF year'!S$6,DCF!S35:LF35)</f>
        <v>0</v>
      </c>
      <c r="T39" s="128">
        <f>SUMIF(DCF!T$3:LG$3,'DCF year'!T$6,DCF!T35:LG35)</f>
        <v>0</v>
      </c>
      <c r="U39" s="128">
        <f>SUMIF(DCF!U$3:LH$3,'DCF year'!U$6,DCF!U35:LH35)</f>
        <v>0</v>
      </c>
      <c r="V39" s="128">
        <f>SUMIF(DCF!V$3:LI$3,'DCF year'!V$6,DCF!V35:LI35)</f>
        <v>0</v>
      </c>
      <c r="W39" s="128">
        <f>SUMIF(DCF!W$3:LJ$3,'DCF year'!W$6,DCF!W35:LJ35)</f>
        <v>0</v>
      </c>
      <c r="X39" s="128">
        <f>SUMIF(DCF!X$3:LK$3,'DCF year'!X$6,DCF!X35:LK35)</f>
        <v>0</v>
      </c>
      <c r="Y39" s="128">
        <f>SUMIF(DCF!Y$3:LL$3,'DCF year'!Y$6,DCF!Y35:LL35)</f>
        <v>0</v>
      </c>
      <c r="Z39" s="128">
        <f>SUMIF(DCF!Z$3:LM$3,'DCF year'!Z$6,DCF!Z35:LM35)</f>
        <v>0</v>
      </c>
      <c r="AA39" s="128">
        <f>SUMIF(DCF!AA$3:LN$3,'DCF year'!AA$6,DCF!AA35:LN35)</f>
        <v>0</v>
      </c>
      <c r="AB39" s="128">
        <f>SUMIF(DCF!AB$3:LO$3,'DCF year'!AB$6,DCF!AB35:LO35)</f>
        <v>0</v>
      </c>
      <c r="AC39" s="128">
        <f>SUMIF(DCF!AC$3:LP$3,'DCF year'!AC$6,DCF!AC35:LP35)</f>
        <v>0</v>
      </c>
    </row>
    <row r="40" spans="2:29" x14ac:dyDescent="0.35">
      <c r="B40" s="154" t="s">
        <v>126</v>
      </c>
      <c r="C40" s="150"/>
      <c r="D40" s="155">
        <f>D39</f>
        <v>178214965.64617661</v>
      </c>
      <c r="E40" s="155">
        <f t="shared" ref="E40:AC40" si="14">E39</f>
        <v>-201977475.97251654</v>
      </c>
      <c r="F40" s="155">
        <f t="shared" si="14"/>
        <v>1777055419.1582842</v>
      </c>
      <c r="G40" s="155">
        <f t="shared" si="14"/>
        <v>0</v>
      </c>
      <c r="H40" s="155">
        <f t="shared" si="14"/>
        <v>0</v>
      </c>
      <c r="I40" s="155">
        <f t="shared" si="14"/>
        <v>0</v>
      </c>
      <c r="J40" s="155">
        <f t="shared" si="14"/>
        <v>0</v>
      </c>
      <c r="K40" s="155">
        <f t="shared" si="14"/>
        <v>0</v>
      </c>
      <c r="L40" s="155">
        <f t="shared" si="14"/>
        <v>0</v>
      </c>
      <c r="M40" s="155">
        <f t="shared" si="14"/>
        <v>0</v>
      </c>
      <c r="N40" s="155">
        <f t="shared" si="14"/>
        <v>0</v>
      </c>
      <c r="O40" s="155">
        <f t="shared" si="14"/>
        <v>0</v>
      </c>
      <c r="P40" s="155">
        <f t="shared" si="14"/>
        <v>0</v>
      </c>
      <c r="Q40" s="155">
        <f t="shared" si="14"/>
        <v>0</v>
      </c>
      <c r="R40" s="155">
        <f t="shared" si="14"/>
        <v>0</v>
      </c>
      <c r="S40" s="155">
        <f t="shared" si="14"/>
        <v>0</v>
      </c>
      <c r="T40" s="155">
        <f t="shared" si="14"/>
        <v>0</v>
      </c>
      <c r="U40" s="155">
        <f t="shared" si="14"/>
        <v>0</v>
      </c>
      <c r="V40" s="155">
        <f t="shared" si="14"/>
        <v>0</v>
      </c>
      <c r="W40" s="155">
        <f t="shared" si="14"/>
        <v>0</v>
      </c>
      <c r="X40" s="155">
        <f t="shared" si="14"/>
        <v>0</v>
      </c>
      <c r="Y40" s="155">
        <f t="shared" si="14"/>
        <v>0</v>
      </c>
      <c r="Z40" s="155">
        <f t="shared" si="14"/>
        <v>0</v>
      </c>
      <c r="AA40" s="155">
        <f t="shared" si="14"/>
        <v>0</v>
      </c>
      <c r="AB40" s="155">
        <f t="shared" si="14"/>
        <v>0</v>
      </c>
      <c r="AC40" s="155">
        <f t="shared" si="14"/>
        <v>0</v>
      </c>
    </row>
    <row r="41" spans="2:29" x14ac:dyDescent="0.35">
      <c r="B41" s="154" t="s">
        <v>202</v>
      </c>
      <c r="C41" s="156">
        <f>DCF!C37</f>
        <v>1</v>
      </c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</row>
    <row r="43" spans="2:29" x14ac:dyDescent="0.35">
      <c r="B43" s="162" t="s">
        <v>129</v>
      </c>
      <c r="C43" s="163">
        <v>0.18</v>
      </c>
    </row>
    <row r="44" spans="2:29" x14ac:dyDescent="0.35">
      <c r="B44" s="166" t="s">
        <v>130</v>
      </c>
      <c r="C44" s="163">
        <f>DCF!C41*12</f>
        <v>181.70697276242902</v>
      </c>
    </row>
    <row r="45" spans="2:29" x14ac:dyDescent="0.35">
      <c r="B45" s="166" t="s">
        <v>131</v>
      </c>
      <c r="C45" s="205">
        <f>DCF!C42</f>
        <v>1877744404.3243635</v>
      </c>
    </row>
    <row r="46" spans="2:29" x14ac:dyDescent="0.35">
      <c r="B46" s="170"/>
      <c r="C46" s="171"/>
    </row>
    <row r="47" spans="2:29" x14ac:dyDescent="0.35">
      <c r="B47" s="166" t="s">
        <v>132</v>
      </c>
      <c r="C47" s="163">
        <f>DCF!C44</f>
        <v>0</v>
      </c>
    </row>
    <row r="48" spans="2:29" x14ac:dyDescent="0.35">
      <c r="B48" s="166" t="s">
        <v>133</v>
      </c>
      <c r="C48" s="163">
        <f>DCF!C45</f>
        <v>3.8019590983152001</v>
      </c>
    </row>
    <row r="49" spans="2:3" x14ac:dyDescent="0.35">
      <c r="B49" s="166" t="s">
        <v>8</v>
      </c>
      <c r="C49" s="163">
        <f>DCF!C46</f>
        <v>1</v>
      </c>
    </row>
    <row r="50" spans="2:3" x14ac:dyDescent="0.35">
      <c r="B50" s="166" t="s">
        <v>134</v>
      </c>
      <c r="C50" s="163">
        <f>DCF!C47*12</f>
        <v>0.20999999999999996</v>
      </c>
    </row>
    <row r="51" spans="2:3" x14ac:dyDescent="0.35">
      <c r="B51" s="166" t="s">
        <v>133</v>
      </c>
      <c r="C51" s="163">
        <f>DCF!C48</f>
        <v>3.8019590983152001</v>
      </c>
    </row>
  </sheetData>
  <conditionalFormatting sqref="D36:AC36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9F99-ECDE-4D2A-9D6D-DDCD12F5558E}">
  <dimension ref="B3:I36"/>
  <sheetViews>
    <sheetView zoomScale="90" zoomScaleNormal="90" workbookViewId="0">
      <selection activeCell="C9" sqref="C9"/>
    </sheetView>
  </sheetViews>
  <sheetFormatPr defaultRowHeight="14.5" x14ac:dyDescent="0.35"/>
  <cols>
    <col min="1" max="1" width="2.6328125" customWidth="1"/>
    <col min="2" max="2" width="35" bestFit="1" customWidth="1"/>
    <col min="3" max="3" width="17.453125" bestFit="1" customWidth="1"/>
    <col min="5" max="5" width="44.08984375" bestFit="1" customWidth="1"/>
    <col min="6" max="6" width="17.453125" bestFit="1" customWidth="1"/>
    <col min="7" max="7" width="12.6328125" customWidth="1"/>
    <col min="8" max="8" width="24.453125" customWidth="1"/>
    <col min="9" max="9" width="15" customWidth="1"/>
  </cols>
  <sheetData>
    <row r="3" spans="2:9" x14ac:dyDescent="0.35">
      <c r="B3" s="1" t="s">
        <v>0</v>
      </c>
      <c r="C3" s="2"/>
    </row>
    <row r="4" spans="2:9" x14ac:dyDescent="0.35">
      <c r="B4" t="s">
        <v>1</v>
      </c>
      <c r="C4" s="5">
        <f>'PnL (2)'!B74</f>
        <v>13588860069.896606</v>
      </c>
    </row>
    <row r="5" spans="2:9" x14ac:dyDescent="0.35">
      <c r="B5" t="s">
        <v>2</v>
      </c>
      <c r="C5" s="219">
        <f>'PnL (2)'!B75</f>
        <v>0.15281573189325062</v>
      </c>
    </row>
    <row r="6" spans="2:9" x14ac:dyDescent="0.35">
      <c r="B6" s="3" t="s">
        <v>3</v>
      </c>
      <c r="C6" s="219">
        <f>'DCF (2)'!C46</f>
        <v>-6.3982157868435712</v>
      </c>
    </row>
    <row r="7" spans="2:9" x14ac:dyDescent="0.35">
      <c r="B7" s="3" t="s">
        <v>4</v>
      </c>
      <c r="C7" s="4">
        <f>'DCF (2)'!C49*12</f>
        <v>0.20999999999999996</v>
      </c>
    </row>
    <row r="8" spans="2:9" x14ac:dyDescent="0.35">
      <c r="B8" s="3" t="s">
        <v>5</v>
      </c>
      <c r="C8" s="4" t="e">
        <f>'DCF (2)'!C43</f>
        <v>#NUM!</v>
      </c>
    </row>
    <row r="9" spans="2:9" x14ac:dyDescent="0.35">
      <c r="B9" s="3" t="s">
        <v>6</v>
      </c>
      <c r="C9" s="5">
        <f>'DCF (2)'!C44</f>
        <v>-31318888071.226879</v>
      </c>
    </row>
    <row r="10" spans="2:9" x14ac:dyDescent="0.35">
      <c r="B10" s="6" t="s">
        <v>7</v>
      </c>
      <c r="C10" s="5" t="e">
        <f>'DCF (2)'!C39</f>
        <v>#N/A</v>
      </c>
    </row>
    <row r="11" spans="2:9" x14ac:dyDescent="0.35">
      <c r="B11" s="6" t="s">
        <v>8</v>
      </c>
      <c r="C11" s="5" t="e">
        <f>'DCF (2)'!C48</f>
        <v>#N/A</v>
      </c>
    </row>
    <row r="14" spans="2:9" x14ac:dyDescent="0.35">
      <c r="B14" s="111" t="s">
        <v>9</v>
      </c>
      <c r="C14" s="96"/>
      <c r="D14" s="97"/>
      <c r="E14" s="97"/>
      <c r="F14" s="97"/>
      <c r="G14" s="97"/>
      <c r="H14" s="97"/>
      <c r="I14" s="98"/>
    </row>
    <row r="15" spans="2:9" x14ac:dyDescent="0.35">
      <c r="B15" s="99" t="s">
        <v>10</v>
      </c>
      <c r="C15" s="6"/>
      <c r="E15" s="95" t="s">
        <v>11</v>
      </c>
      <c r="H15" s="100" t="s">
        <v>12</v>
      </c>
      <c r="I15" s="101"/>
    </row>
    <row r="16" spans="2:9" x14ac:dyDescent="0.35">
      <c r="B16" s="102" t="s">
        <v>13</v>
      </c>
      <c r="C16" s="7">
        <v>10.0131</v>
      </c>
      <c r="E16" s="6" t="s">
        <v>14</v>
      </c>
      <c r="F16" s="31">
        <v>635000</v>
      </c>
      <c r="H16" s="6" t="s">
        <v>15</v>
      </c>
      <c r="I16" s="31">
        <v>334817</v>
      </c>
    </row>
    <row r="17" spans="2:9" x14ac:dyDescent="0.35">
      <c r="B17" s="102" t="s">
        <v>16</v>
      </c>
      <c r="C17" s="31">
        <v>500</v>
      </c>
      <c r="E17" s="6" t="s">
        <v>17</v>
      </c>
      <c r="F17" s="31">
        <v>700000</v>
      </c>
      <c r="H17" s="6" t="s">
        <v>18</v>
      </c>
      <c r="I17" s="31">
        <v>24412.178338625992</v>
      </c>
    </row>
    <row r="18" spans="2:9" x14ac:dyDescent="0.35">
      <c r="B18" s="102" t="s">
        <v>19</v>
      </c>
      <c r="C18" s="31">
        <v>20000</v>
      </c>
      <c r="E18" s="6" t="s">
        <v>20</v>
      </c>
      <c r="F18" s="31">
        <v>150000</v>
      </c>
      <c r="H18" s="6" t="s">
        <v>21</v>
      </c>
      <c r="I18" s="104">
        <v>4.5499999999999999E-2</v>
      </c>
    </row>
    <row r="19" spans="2:9" x14ac:dyDescent="0.35">
      <c r="B19" s="102" t="s">
        <v>22</v>
      </c>
      <c r="C19" s="31">
        <f>C16*100*C18*C17</f>
        <v>10013100000</v>
      </c>
      <c r="E19" s="6" t="s">
        <v>23</v>
      </c>
      <c r="F19" s="31">
        <v>6000000</v>
      </c>
      <c r="H19" s="6" t="s">
        <v>24</v>
      </c>
      <c r="I19" s="103">
        <v>2.4E-2</v>
      </c>
    </row>
    <row r="20" spans="2:9" x14ac:dyDescent="0.35">
      <c r="B20" s="105"/>
      <c r="H20" s="6" t="s">
        <v>25</v>
      </c>
      <c r="I20" s="106"/>
    </row>
    <row r="21" spans="2:9" x14ac:dyDescent="0.35">
      <c r="B21" s="105"/>
    </row>
    <row r="22" spans="2:9" x14ac:dyDescent="0.35">
      <c r="B22" s="99" t="s">
        <v>26</v>
      </c>
      <c r="E22" s="99" t="s">
        <v>27</v>
      </c>
      <c r="H22" s="99" t="s">
        <v>28</v>
      </c>
    </row>
    <row r="23" spans="2:9" x14ac:dyDescent="0.35">
      <c r="B23" s="102" t="s">
        <v>29</v>
      </c>
      <c r="C23">
        <v>9</v>
      </c>
      <c r="E23" t="s">
        <v>30</v>
      </c>
      <c r="H23" s="6" t="s">
        <v>31</v>
      </c>
      <c r="I23" s="107">
        <f>'PnL все'!B50</f>
        <v>197152741</v>
      </c>
    </row>
    <row r="24" spans="2:9" x14ac:dyDescent="0.35">
      <c r="B24" s="102" t="s">
        <v>32</v>
      </c>
      <c r="C24" s="197"/>
      <c r="E24" s="6" t="s">
        <v>33</v>
      </c>
      <c r="F24" s="107">
        <v>0</v>
      </c>
      <c r="H24" s="6" t="s">
        <v>34</v>
      </c>
      <c r="I24" s="107">
        <f>'PnL все'!B70</f>
        <v>687711458.89655018</v>
      </c>
    </row>
    <row r="25" spans="2:9" x14ac:dyDescent="0.35">
      <c r="B25" s="102" t="s">
        <v>35</v>
      </c>
      <c r="C25" s="197">
        <f>'PnL все'!B7</f>
        <v>6901</v>
      </c>
      <c r="E25" s="6" t="s">
        <v>36</v>
      </c>
      <c r="F25" s="107">
        <v>36</v>
      </c>
      <c r="H25" s="6" t="s">
        <v>37</v>
      </c>
      <c r="I25" s="107">
        <f>'PnL все'!B73</f>
        <v>641580597.84069002</v>
      </c>
    </row>
    <row r="26" spans="2:9" x14ac:dyDescent="0.35">
      <c r="B26" s="102" t="s">
        <v>38</v>
      </c>
      <c r="C26" s="197">
        <f>C25</f>
        <v>6901</v>
      </c>
      <c r="E26" t="s">
        <v>39</v>
      </c>
      <c r="F26" s="107">
        <f>'PnL все'!B74</f>
        <v>2566322391.3627601</v>
      </c>
      <c r="I26" s="101"/>
    </row>
    <row r="27" spans="2:9" x14ac:dyDescent="0.35">
      <c r="E27" t="s">
        <v>40</v>
      </c>
      <c r="F27" s="173">
        <v>46157</v>
      </c>
      <c r="I27" s="101"/>
    </row>
    <row r="28" spans="2:9" x14ac:dyDescent="0.35">
      <c r="B28" s="102" t="s">
        <v>41</v>
      </c>
      <c r="E28" t="s">
        <v>42</v>
      </c>
      <c r="F28">
        <v>21</v>
      </c>
      <c r="I28" s="101"/>
    </row>
    <row r="29" spans="2:9" x14ac:dyDescent="0.35">
      <c r="B29" s="102" t="s">
        <v>43</v>
      </c>
      <c r="C29" s="173">
        <v>46157</v>
      </c>
      <c r="E29" t="s">
        <v>44</v>
      </c>
      <c r="F29">
        <v>0</v>
      </c>
      <c r="I29" s="101"/>
    </row>
    <row r="30" spans="2:9" x14ac:dyDescent="0.35">
      <c r="B30" s="105"/>
      <c r="I30" s="101"/>
    </row>
    <row r="31" spans="2:9" x14ac:dyDescent="0.35">
      <c r="B31" s="108"/>
      <c r="C31" s="109"/>
      <c r="D31" s="109"/>
      <c r="E31" s="109"/>
      <c r="F31" s="109"/>
      <c r="G31" s="109"/>
      <c r="H31" s="109"/>
      <c r="I31" s="110"/>
    </row>
    <row r="34" spans="2:5" x14ac:dyDescent="0.35">
      <c r="B34" s="6" t="s">
        <v>30</v>
      </c>
      <c r="C34" s="9">
        <v>0</v>
      </c>
    </row>
    <row r="35" spans="2:5" x14ac:dyDescent="0.35">
      <c r="B35" s="6" t="s">
        <v>45</v>
      </c>
      <c r="C35" s="8">
        <v>0.21</v>
      </c>
      <c r="E35" s="173"/>
    </row>
    <row r="36" spans="2:5" x14ac:dyDescent="0.35">
      <c r="B36" s="6" t="s">
        <v>46</v>
      </c>
      <c r="C36" s="8">
        <v>0.25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5520-3254-494D-8FE6-D77059B564F5}">
  <sheetPr>
    <outlinePr summaryBelow="0"/>
  </sheetPr>
  <dimension ref="A2:G80"/>
  <sheetViews>
    <sheetView topLeftCell="A52" zoomScale="110" zoomScaleNormal="110" workbookViewId="0">
      <selection activeCell="D60" sqref="D60"/>
    </sheetView>
  </sheetViews>
  <sheetFormatPr defaultRowHeight="14.5" outlineLevelRow="1" x14ac:dyDescent="0.35"/>
  <cols>
    <col min="1" max="1" width="50.90625" customWidth="1"/>
    <col min="2" max="2" width="20.36328125" customWidth="1"/>
    <col min="3" max="3" width="21.08984375" customWidth="1"/>
    <col min="4" max="4" width="19.08984375" customWidth="1"/>
    <col min="5" max="5" width="17.453125" bestFit="1" customWidth="1"/>
    <col min="6" max="7" width="16.08984375" bestFit="1" customWidth="1"/>
    <col min="8" max="8" width="13.453125" bestFit="1" customWidth="1"/>
    <col min="9" max="9" width="12.36328125" bestFit="1" customWidth="1"/>
  </cols>
  <sheetData>
    <row r="2" spans="1:6" ht="15.5" x14ac:dyDescent="0.35">
      <c r="A2" s="39" t="s">
        <v>47</v>
      </c>
      <c r="B2" s="40" t="s">
        <v>48</v>
      </c>
      <c r="C2" s="41" t="s">
        <v>49</v>
      </c>
    </row>
    <row r="3" spans="1:6" ht="15.5" x14ac:dyDescent="0.35">
      <c r="A3" s="38" t="s">
        <v>50</v>
      </c>
      <c r="B3" s="407">
        <f>B48/B5/100/B4</f>
        <v>1335080</v>
      </c>
      <c r="C3" s="408"/>
    </row>
    <row r="4" spans="1:6" ht="15.5" x14ac:dyDescent="0.35">
      <c r="A4" s="38" t="s">
        <v>51</v>
      </c>
      <c r="B4" s="407">
        <f>'Dashboard все'!C17</f>
        <v>500</v>
      </c>
      <c r="C4" s="408"/>
    </row>
    <row r="5" spans="1:6" ht="15.5" x14ac:dyDescent="0.35">
      <c r="A5" s="38" t="s">
        <v>52</v>
      </c>
      <c r="B5" s="409">
        <f>'Dashboard все'!C16</f>
        <v>0.15</v>
      </c>
      <c r="C5" s="410"/>
    </row>
    <row r="6" spans="1:6" ht="15.5" x14ac:dyDescent="0.35">
      <c r="A6" s="38" t="s">
        <v>29</v>
      </c>
      <c r="B6" s="428" t="s">
        <v>53</v>
      </c>
      <c r="C6" s="429"/>
    </row>
    <row r="7" spans="1:6" ht="15.5" x14ac:dyDescent="0.35">
      <c r="A7" s="10" t="s">
        <v>54</v>
      </c>
      <c r="B7" s="11">
        <f>SUM(B8:B11)</f>
        <v>149772</v>
      </c>
      <c r="C7" s="11">
        <f>B7</f>
        <v>149772</v>
      </c>
    </row>
    <row r="8" spans="1:6" ht="15.5" outlineLevel="1" x14ac:dyDescent="0.35">
      <c r="A8" s="12" t="s">
        <v>55</v>
      </c>
      <c r="B8" s="13">
        <v>132335</v>
      </c>
      <c r="C8" s="13">
        <f>B8</f>
        <v>132335</v>
      </c>
    </row>
    <row r="9" spans="1:6" ht="15.5" outlineLevel="1" x14ac:dyDescent="0.35">
      <c r="A9" s="12" t="s">
        <v>56</v>
      </c>
      <c r="B9" s="13">
        <v>10789</v>
      </c>
      <c r="C9" s="13">
        <f t="shared" ref="C9:C11" si="0">B9</f>
        <v>10789</v>
      </c>
      <c r="E9" s="197"/>
      <c r="F9" s="214"/>
    </row>
    <row r="10" spans="1:6" ht="15.5" outlineLevel="1" x14ac:dyDescent="0.35">
      <c r="A10" s="12" t="s">
        <v>57</v>
      </c>
      <c r="B10" s="13">
        <v>2043</v>
      </c>
      <c r="C10" s="13">
        <f t="shared" si="0"/>
        <v>2043</v>
      </c>
    </row>
    <row r="11" spans="1:6" ht="15.5" outlineLevel="1" x14ac:dyDescent="0.35">
      <c r="A11" s="12" t="s">
        <v>58</v>
      </c>
      <c r="B11" s="13">
        <f>B16*15</f>
        <v>4605</v>
      </c>
      <c r="C11" s="13">
        <f t="shared" si="0"/>
        <v>4605</v>
      </c>
      <c r="E11" s="197"/>
    </row>
    <row r="12" spans="1:6" ht="15.5" x14ac:dyDescent="0.35">
      <c r="A12" s="10" t="s">
        <v>59</v>
      </c>
      <c r="B12" s="11">
        <f>SUM(B13:B16)</f>
        <v>4302</v>
      </c>
      <c r="C12" s="11">
        <f>B12</f>
        <v>4302</v>
      </c>
    </row>
    <row r="13" spans="1:6" ht="15.5" outlineLevel="1" x14ac:dyDescent="0.35">
      <c r="A13" s="12" t="s">
        <v>60</v>
      </c>
      <c r="B13" s="13">
        <v>2532</v>
      </c>
      <c r="C13" s="13">
        <f t="shared" ref="C13:C16" si="1">B13</f>
        <v>2532</v>
      </c>
    </row>
    <row r="14" spans="1:6" ht="15.5" outlineLevel="1" x14ac:dyDescent="0.35">
      <c r="A14" s="12" t="s">
        <v>56</v>
      </c>
      <c r="B14" s="13">
        <v>1445</v>
      </c>
      <c r="C14" s="13">
        <f t="shared" si="1"/>
        <v>1445</v>
      </c>
    </row>
    <row r="15" spans="1:6" ht="15.5" outlineLevel="1" x14ac:dyDescent="0.35">
      <c r="A15" s="12" t="s">
        <v>57</v>
      </c>
      <c r="B15" s="13">
        <v>18</v>
      </c>
      <c r="C15" s="13">
        <f t="shared" si="1"/>
        <v>18</v>
      </c>
    </row>
    <row r="16" spans="1:6" ht="15.5" outlineLevel="1" x14ac:dyDescent="0.35">
      <c r="A16" s="12" t="s">
        <v>58</v>
      </c>
      <c r="B16" s="13">
        <v>307</v>
      </c>
      <c r="C16" s="13">
        <f t="shared" si="1"/>
        <v>307</v>
      </c>
      <c r="E16" s="212"/>
    </row>
    <row r="17" spans="1:5" ht="15.5" x14ac:dyDescent="0.35">
      <c r="A17" s="10" t="s">
        <v>61</v>
      </c>
      <c r="B17" s="11">
        <f>B34/B7</f>
        <v>593723.62657906685</v>
      </c>
      <c r="C17" s="11">
        <f>C34/C7</f>
        <v>1187.4472531581337</v>
      </c>
      <c r="E17" s="213"/>
    </row>
    <row r="18" spans="1:5" ht="15.5" outlineLevel="1" x14ac:dyDescent="0.35">
      <c r="A18" s="12" t="s">
        <v>62</v>
      </c>
      <c r="B18" s="15">
        <f>'Dashboard (2)'!F16</f>
        <v>635000</v>
      </c>
      <c r="C18" s="15">
        <f>B18/$B$4</f>
        <v>1270</v>
      </c>
    </row>
    <row r="19" spans="1:5" ht="15.5" outlineLevel="1" x14ac:dyDescent="0.35">
      <c r="A19" s="12" t="s">
        <v>56</v>
      </c>
      <c r="B19" s="13">
        <f>'Dashboard (2)'!F18</f>
        <v>150000</v>
      </c>
      <c r="C19" s="15">
        <f t="shared" ref="C19:C21" si="2">B19/$B$4</f>
        <v>300</v>
      </c>
      <c r="E19" s="215"/>
    </row>
    <row r="20" spans="1:5" ht="15.5" outlineLevel="1" x14ac:dyDescent="0.35">
      <c r="A20" s="12" t="s">
        <v>57</v>
      </c>
      <c r="B20" s="13">
        <f>'Dashboard (2)'!F17</f>
        <v>700000</v>
      </c>
      <c r="C20" s="15">
        <f t="shared" si="2"/>
        <v>1400</v>
      </c>
      <c r="D20" s="212"/>
      <c r="E20" s="215"/>
    </row>
    <row r="21" spans="1:5" ht="15.5" outlineLevel="1" x14ac:dyDescent="0.35">
      <c r="A21" s="12" t="s">
        <v>58</v>
      </c>
      <c r="B21" s="13">
        <f>'Dashboard (2)'!F19</f>
        <v>6000000</v>
      </c>
      <c r="C21" s="15">
        <f t="shared" si="2"/>
        <v>12000</v>
      </c>
      <c r="E21" s="215"/>
    </row>
    <row r="22" spans="1:5" ht="15.5" x14ac:dyDescent="0.35">
      <c r="A22" s="16" t="s">
        <v>63</v>
      </c>
      <c r="B22" s="17">
        <f>(B41+B42+B43+B44)/(B8+B9+B10+B11)</f>
        <v>334817</v>
      </c>
      <c r="C22" s="11">
        <f>B22/$B$4</f>
        <v>669.63400000000001</v>
      </c>
      <c r="D22" s="212"/>
    </row>
    <row r="23" spans="1:5" ht="15.5" outlineLevel="1" x14ac:dyDescent="0.35">
      <c r="A23" s="12" t="s">
        <v>62</v>
      </c>
      <c r="B23" s="20">
        <f>'Dashboard (2)'!I16</f>
        <v>334817</v>
      </c>
      <c r="C23" s="15">
        <f t="shared" ref="C23:C38" si="3">B23/$B$4</f>
        <v>669.63400000000001</v>
      </c>
    </row>
    <row r="24" spans="1:5" ht="15.5" outlineLevel="1" x14ac:dyDescent="0.35">
      <c r="A24" s="12" t="s">
        <v>56</v>
      </c>
      <c r="B24" s="20">
        <v>0</v>
      </c>
      <c r="C24" s="15">
        <f t="shared" si="3"/>
        <v>0</v>
      </c>
    </row>
    <row r="25" spans="1:5" ht="15.5" outlineLevel="1" x14ac:dyDescent="0.35">
      <c r="A25" s="12" t="s">
        <v>57</v>
      </c>
      <c r="B25" s="20">
        <v>0</v>
      </c>
      <c r="C25" s="15">
        <f t="shared" si="3"/>
        <v>0</v>
      </c>
    </row>
    <row r="26" spans="1:5" ht="15.5" outlineLevel="1" x14ac:dyDescent="0.35">
      <c r="A26" s="12" t="s">
        <v>58</v>
      </c>
      <c r="B26" s="19"/>
      <c r="C26" s="15">
        <f>B26/$B$4</f>
        <v>0</v>
      </c>
    </row>
    <row r="27" spans="1:5" ht="31" x14ac:dyDescent="0.35">
      <c r="A27" s="10" t="s">
        <v>64</v>
      </c>
      <c r="B27" s="11">
        <f>SUM(B28:B33)</f>
        <v>475719.01592909684</v>
      </c>
      <c r="C27" s="11">
        <f>B27/$B$4</f>
        <v>951.43803185819365</v>
      </c>
    </row>
    <row r="28" spans="1:5" ht="15.5" outlineLevel="1" x14ac:dyDescent="0.35">
      <c r="A28" s="21" t="s">
        <v>65</v>
      </c>
      <c r="B28" s="22">
        <f>B40/(B8+B9+B10+B11)</f>
        <v>334817</v>
      </c>
      <c r="C28" s="15">
        <f t="shared" si="3"/>
        <v>669.63400000000001</v>
      </c>
    </row>
    <row r="29" spans="1:5" ht="15.5" outlineLevel="1" x14ac:dyDescent="0.35">
      <c r="A29" s="21" t="s">
        <v>66</v>
      </c>
      <c r="B29" s="22">
        <f>B48/B7</f>
        <v>66855.620543225697</v>
      </c>
      <c r="C29" s="15">
        <f t="shared" si="3"/>
        <v>133.71124108645139</v>
      </c>
    </row>
    <row r="30" spans="1:5" ht="15.5" outlineLevel="1" x14ac:dyDescent="0.35">
      <c r="A30" s="21" t="s">
        <v>67</v>
      </c>
      <c r="B30" s="22">
        <f>B50/B7</f>
        <v>5022.2550000000001</v>
      </c>
      <c r="C30" s="15">
        <f t="shared" si="3"/>
        <v>10.044510000000001</v>
      </c>
    </row>
    <row r="31" spans="1:5" ht="15.5" outlineLevel="1" x14ac:dyDescent="0.35">
      <c r="A31" s="21" t="s">
        <v>18</v>
      </c>
      <c r="B31" s="22">
        <f>B52/B7</f>
        <v>69024.140385871142</v>
      </c>
      <c r="C31" s="15">
        <f t="shared" si="3"/>
        <v>138.04828077174227</v>
      </c>
    </row>
    <row r="32" spans="1:5" ht="15.5" outlineLevel="1" x14ac:dyDescent="0.35">
      <c r="A32" s="21" t="s">
        <v>68</v>
      </c>
      <c r="B32" s="22">
        <v>0</v>
      </c>
      <c r="C32" s="15">
        <f t="shared" si="3"/>
        <v>0</v>
      </c>
    </row>
    <row r="33" spans="1:7" ht="15.5" outlineLevel="1" x14ac:dyDescent="0.35">
      <c r="A33" s="21" t="s">
        <v>69</v>
      </c>
      <c r="B33" s="22">
        <v>0</v>
      </c>
      <c r="C33" s="15">
        <f t="shared" si="3"/>
        <v>0</v>
      </c>
    </row>
    <row r="34" spans="1:7" ht="15.5" x14ac:dyDescent="0.35">
      <c r="A34" s="33" t="s">
        <v>70</v>
      </c>
      <c r="B34" s="34">
        <f>SUM(B35:B38)</f>
        <v>88923175000</v>
      </c>
      <c r="C34" s="34">
        <f>B34/B4</f>
        <v>177846350</v>
      </c>
      <c r="D34" s="212"/>
      <c r="E34" s="212"/>
    </row>
    <row r="35" spans="1:7" ht="15.5" outlineLevel="1" x14ac:dyDescent="0.35">
      <c r="A35" s="14" t="s">
        <v>60</v>
      </c>
      <c r="B35" s="15">
        <f>(B8*B18)</f>
        <v>84032725000</v>
      </c>
      <c r="C35" s="15">
        <f t="shared" si="3"/>
        <v>168065450</v>
      </c>
      <c r="E35" s="197"/>
    </row>
    <row r="36" spans="1:7" ht="15.5" outlineLevel="1" x14ac:dyDescent="0.35">
      <c r="A36" s="12" t="s">
        <v>56</v>
      </c>
      <c r="B36" s="15">
        <f>(B9*B19)</f>
        <v>1618350000</v>
      </c>
      <c r="C36" s="15">
        <f t="shared" si="3"/>
        <v>3236700</v>
      </c>
    </row>
    <row r="37" spans="1:7" ht="15.5" outlineLevel="1" x14ac:dyDescent="0.35">
      <c r="A37" s="12" t="s">
        <v>57</v>
      </c>
      <c r="B37" s="15">
        <f>(B10*B20)</f>
        <v>1430100000</v>
      </c>
      <c r="C37" s="15">
        <f t="shared" si="3"/>
        <v>2860200</v>
      </c>
    </row>
    <row r="38" spans="1:7" ht="15.5" outlineLevel="1" x14ac:dyDescent="0.35">
      <c r="A38" s="14" t="s">
        <v>58</v>
      </c>
      <c r="B38" s="15">
        <f>(B16*B21)</f>
        <v>1842000000</v>
      </c>
      <c r="C38" s="15">
        <f t="shared" si="3"/>
        <v>3684000</v>
      </c>
    </row>
    <row r="39" spans="1:7" ht="15.5" x14ac:dyDescent="0.35">
      <c r="A39" s="23" t="s">
        <v>71</v>
      </c>
      <c r="B39" s="11">
        <f>B40+B48+B50+B52+B62+B66+B68+B70</f>
        <v>71937099912.629242</v>
      </c>
      <c r="C39" s="11">
        <f>B39/$B$4</f>
        <v>143874199.82525849</v>
      </c>
      <c r="E39" s="213"/>
    </row>
    <row r="40" spans="1:7" ht="15.5" x14ac:dyDescent="0.35">
      <c r="A40" s="24" t="s">
        <v>72</v>
      </c>
      <c r="B40" s="25">
        <f>SUM(B41:B47)</f>
        <v>50146211724</v>
      </c>
      <c r="C40" s="11">
        <f>B40/$B$4</f>
        <v>100292423.448</v>
      </c>
      <c r="E40" s="209"/>
    </row>
    <row r="41" spans="1:7" ht="15.5" outlineLevel="1" x14ac:dyDescent="0.35">
      <c r="A41" s="32" t="s">
        <v>55</v>
      </c>
      <c r="B41" s="15">
        <f>B7*B23</f>
        <v>50146211724</v>
      </c>
      <c r="C41" s="15"/>
    </row>
    <row r="42" spans="1:7" ht="31" outlineLevel="1" x14ac:dyDescent="0.35">
      <c r="A42" s="32" t="s">
        <v>73</v>
      </c>
      <c r="B42" s="15">
        <f>B25*B7</f>
        <v>0</v>
      </c>
      <c r="C42" s="15">
        <f>B42/$B$4</f>
        <v>0</v>
      </c>
    </row>
    <row r="43" spans="1:7" ht="15.5" outlineLevel="1" x14ac:dyDescent="0.35">
      <c r="A43" s="32" t="s">
        <v>74</v>
      </c>
      <c r="B43" s="15"/>
      <c r="C43" s="15"/>
    </row>
    <row r="44" spans="1:7" ht="15.5" outlineLevel="1" x14ac:dyDescent="0.35">
      <c r="A44" s="32" t="s">
        <v>75</v>
      </c>
      <c r="B44" s="15"/>
      <c r="C44" s="15"/>
    </row>
    <row r="45" spans="1:7" ht="15.5" outlineLevel="1" x14ac:dyDescent="0.35">
      <c r="A45" s="32" t="s">
        <v>76</v>
      </c>
      <c r="B45" s="15"/>
      <c r="C45" s="15"/>
      <c r="G45" s="197"/>
    </row>
    <row r="46" spans="1:7" ht="15.5" outlineLevel="1" x14ac:dyDescent="0.35">
      <c r="A46" s="32" t="s">
        <v>77</v>
      </c>
      <c r="B46" s="15"/>
      <c r="C46" s="15"/>
      <c r="E46" s="212"/>
    </row>
    <row r="47" spans="1:7" ht="15.5" outlineLevel="1" x14ac:dyDescent="0.35">
      <c r="A47" s="32" t="s">
        <v>78</v>
      </c>
      <c r="B47" s="15"/>
      <c r="C47" s="15"/>
      <c r="E47" s="213"/>
    </row>
    <row r="48" spans="1:7" ht="15.5" x14ac:dyDescent="0.35">
      <c r="A48" s="24" t="s">
        <v>79</v>
      </c>
      <c r="B48" s="25">
        <f>B49</f>
        <v>10013100000</v>
      </c>
      <c r="C48" s="25">
        <f>B48/$B$4</f>
        <v>20026200</v>
      </c>
      <c r="E48" s="213"/>
    </row>
    <row r="49" spans="1:7" ht="15.5" outlineLevel="1" x14ac:dyDescent="0.35">
      <c r="A49" s="32" t="s">
        <v>66</v>
      </c>
      <c r="B49" s="15">
        <f>'Dashboard (2)'!C19</f>
        <v>10013100000</v>
      </c>
      <c r="C49" s="15">
        <f>B49/$B$4</f>
        <v>20026200</v>
      </c>
    </row>
    <row r="50" spans="1:7" ht="15.5" x14ac:dyDescent="0.35">
      <c r="A50" s="24" t="s">
        <v>80</v>
      </c>
      <c r="B50" s="25">
        <f>SUM(B51:B51)</f>
        <v>752193175.86000001</v>
      </c>
      <c r="C50" s="25">
        <f>B50/$B$4</f>
        <v>1504386.3517199999</v>
      </c>
      <c r="E50" s="212"/>
      <c r="F50" s="213"/>
    </row>
    <row r="51" spans="1:7" ht="15.5" outlineLevel="1" x14ac:dyDescent="0.35">
      <c r="A51" s="32" t="s">
        <v>81</v>
      </c>
      <c r="B51" s="15">
        <f>B41*0.015</f>
        <v>752193175.86000001</v>
      </c>
      <c r="C51" s="15">
        <f>C42*0.016</f>
        <v>0</v>
      </c>
      <c r="D51" s="197"/>
    </row>
    <row r="52" spans="1:7" ht="15.5" x14ac:dyDescent="0.35">
      <c r="A52" s="24" t="s">
        <v>82</v>
      </c>
      <c r="B52" s="25">
        <f>SUM(B53:B61)</f>
        <v>10337883553.872692</v>
      </c>
      <c r="C52" s="25">
        <f>B52/$B$4</f>
        <v>20675767.107745383</v>
      </c>
      <c r="E52" s="213"/>
      <c r="F52" s="213"/>
    </row>
    <row r="53" spans="1:7" ht="15.5" outlineLevel="1" x14ac:dyDescent="0.35">
      <c r="A53" s="32" t="s">
        <v>83</v>
      </c>
      <c r="B53" s="15">
        <f>'Dashboard (2)'!I17*'PnL (2)'!B7</f>
        <v>3656260774.1326923</v>
      </c>
      <c r="C53" s="15">
        <f t="shared" ref="C53:C61" si="4">B53/$B$4</f>
        <v>7312521.5482653845</v>
      </c>
      <c r="D53" s="197"/>
      <c r="E53" s="209"/>
      <c r="F53" s="210"/>
      <c r="G53" s="210"/>
    </row>
    <row r="54" spans="1:7" ht="15.5" outlineLevel="1" x14ac:dyDescent="0.35">
      <c r="A54" s="32" t="s">
        <v>203</v>
      </c>
      <c r="B54" s="217">
        <f>B40*1%</f>
        <v>501462117.24000001</v>
      </c>
      <c r="C54" s="15">
        <f t="shared" si="4"/>
        <v>1002924.23448</v>
      </c>
      <c r="E54" s="212"/>
      <c r="F54" s="213"/>
    </row>
    <row r="55" spans="1:7" ht="15.5" outlineLevel="1" x14ac:dyDescent="0.35">
      <c r="A55" s="32" t="s">
        <v>85</v>
      </c>
      <c r="B55" s="15">
        <v>0</v>
      </c>
      <c r="C55" s="15">
        <f t="shared" si="4"/>
        <v>0</v>
      </c>
      <c r="E55" s="211"/>
    </row>
    <row r="56" spans="1:7" ht="15.5" outlineLevel="1" x14ac:dyDescent="0.35">
      <c r="A56" s="32" t="s">
        <v>86</v>
      </c>
      <c r="B56" s="15">
        <v>0</v>
      </c>
      <c r="C56" s="15">
        <f t="shared" si="4"/>
        <v>0</v>
      </c>
    </row>
    <row r="57" spans="1:7" ht="15.5" outlineLevel="1" x14ac:dyDescent="0.35">
      <c r="A57" s="32" t="s">
        <v>87</v>
      </c>
      <c r="B57" s="15">
        <v>0</v>
      </c>
      <c r="C57" s="15">
        <f t="shared" si="4"/>
        <v>0</v>
      </c>
    </row>
    <row r="58" spans="1:7" ht="15.5" outlineLevel="1" x14ac:dyDescent="0.35">
      <c r="A58" s="32" t="s">
        <v>88</v>
      </c>
      <c r="B58" s="217">
        <f>B34*2.4%</f>
        <v>2134156200</v>
      </c>
      <c r="C58" s="15">
        <f t="shared" si="4"/>
        <v>4268312.4000000004</v>
      </c>
    </row>
    <row r="59" spans="1:7" ht="15.5" outlineLevel="1" x14ac:dyDescent="0.35">
      <c r="A59" s="32" t="s">
        <v>89</v>
      </c>
      <c r="B59" s="15">
        <v>0</v>
      </c>
      <c r="C59" s="15">
        <f t="shared" si="4"/>
        <v>0</v>
      </c>
    </row>
    <row r="60" spans="1:7" ht="15.5" outlineLevel="1" x14ac:dyDescent="0.35">
      <c r="A60" s="32" t="s">
        <v>90</v>
      </c>
      <c r="B60" s="15">
        <f>B35*5%*30%*0</f>
        <v>0</v>
      </c>
      <c r="C60" s="15">
        <f t="shared" si="4"/>
        <v>0</v>
      </c>
    </row>
    <row r="61" spans="1:7" ht="15.5" outlineLevel="1" x14ac:dyDescent="0.35">
      <c r="A61" s="32" t="s">
        <v>91</v>
      </c>
      <c r="B61" s="217">
        <f>B34*4.55%</f>
        <v>4046004462.5</v>
      </c>
      <c r="C61" s="15">
        <f t="shared" si="4"/>
        <v>8092008.9249999998</v>
      </c>
    </row>
    <row r="62" spans="1:7" ht="15.5" collapsed="1" x14ac:dyDescent="0.35">
      <c r="A62" s="24" t="s">
        <v>92</v>
      </c>
      <c r="B62" s="25">
        <f>SUM(B63:B65)</f>
        <v>0</v>
      </c>
      <c r="C62" s="25">
        <f>B62/$B$4</f>
        <v>0</v>
      </c>
      <c r="E62" s="213"/>
    </row>
    <row r="63" spans="1:7" ht="15.5" hidden="1" outlineLevel="1" x14ac:dyDescent="0.35">
      <c r="A63" s="32" t="s">
        <v>93</v>
      </c>
      <c r="B63" s="15">
        <v>0</v>
      </c>
      <c r="C63" s="15">
        <f>B63/$B$4</f>
        <v>0</v>
      </c>
    </row>
    <row r="64" spans="1:7" ht="15.5" hidden="1" outlineLevel="1" x14ac:dyDescent="0.35">
      <c r="A64" s="32" t="s">
        <v>94</v>
      </c>
      <c r="B64" s="15">
        <v>0</v>
      </c>
      <c r="C64" s="15">
        <f t="shared" ref="C64:C65" si="5">B64/$B$4</f>
        <v>0</v>
      </c>
    </row>
    <row r="65" spans="1:5" ht="15.5" hidden="1" outlineLevel="1" x14ac:dyDescent="0.35">
      <c r="A65" s="32" t="s">
        <v>95</v>
      </c>
      <c r="B65" s="15">
        <v>0</v>
      </c>
      <c r="C65" s="15">
        <f t="shared" si="5"/>
        <v>0</v>
      </c>
    </row>
    <row r="66" spans="1:5" ht="15.5" x14ac:dyDescent="0.35">
      <c r="A66" s="24" t="s">
        <v>69</v>
      </c>
      <c r="B66" s="25">
        <f>SUM(B67:B67)</f>
        <v>0</v>
      </c>
      <c r="C66" s="25">
        <f>B66/$B$4</f>
        <v>0</v>
      </c>
    </row>
    <row r="67" spans="1:5" ht="19.25" customHeight="1" outlineLevel="1" x14ac:dyDescent="0.35">
      <c r="A67" s="18" t="s">
        <v>69</v>
      </c>
      <c r="B67" s="217">
        <v>0</v>
      </c>
      <c r="C67" s="15">
        <f>B67/$B$4</f>
        <v>0</v>
      </c>
    </row>
    <row r="68" spans="1:5" ht="15.5" hidden="1" collapsed="1" x14ac:dyDescent="0.35">
      <c r="A68" s="23" t="s">
        <v>96</v>
      </c>
      <c r="B68" s="11">
        <f>SUM(B69:B69)</f>
        <v>0</v>
      </c>
      <c r="C68" s="25">
        <f>B68/$B$4</f>
        <v>0</v>
      </c>
    </row>
    <row r="69" spans="1:5" ht="15.5" hidden="1" outlineLevel="1" x14ac:dyDescent="0.35">
      <c r="A69" s="26" t="s">
        <v>96</v>
      </c>
      <c r="B69" s="15"/>
      <c r="C69" s="27"/>
    </row>
    <row r="70" spans="1:5" ht="15.65" customHeight="1" x14ac:dyDescent="0.35">
      <c r="A70" s="23" t="s">
        <v>34</v>
      </c>
      <c r="B70" s="25">
        <f>SUM(B71:B71)</f>
        <v>687711458.89655018</v>
      </c>
      <c r="C70" s="25">
        <f>B70/$B$4</f>
        <v>1375422.9177931005</v>
      </c>
      <c r="E70" s="218"/>
    </row>
    <row r="71" spans="1:5" ht="15.5" outlineLevel="1" x14ac:dyDescent="0.35">
      <c r="A71" s="26" t="s">
        <v>97</v>
      </c>
      <c r="B71" s="15">
        <f>IF('НДС расчет'!C8&lt;0,0,'НДС расчет'!C8)</f>
        <v>687711458.89655018</v>
      </c>
      <c r="C71" s="15">
        <f>B71/$B$4</f>
        <v>1375422.9177931005</v>
      </c>
    </row>
    <row r="72" spans="1:5" ht="15.5" x14ac:dyDescent="0.35">
      <c r="A72" s="28" t="s">
        <v>98</v>
      </c>
      <c r="B72" s="11">
        <f>B34-B39</f>
        <v>16986075087.370758</v>
      </c>
      <c r="C72" s="25">
        <f>B72/$B$4</f>
        <v>33972150.174741514</v>
      </c>
    </row>
    <row r="73" spans="1:5" ht="15.5" x14ac:dyDescent="0.35">
      <c r="A73" s="29" t="s">
        <v>99</v>
      </c>
      <c r="B73" s="30">
        <f>IF((B72)&gt;0,(B72)*20%,0)</f>
        <v>3397215017.4741516</v>
      </c>
      <c r="C73" s="25">
        <f>B73/$B$4</f>
        <v>6794430.0349483034</v>
      </c>
      <c r="D73" s="212">
        <v>7538860804.928215</v>
      </c>
    </row>
    <row r="74" spans="1:5" ht="15.5" x14ac:dyDescent="0.35">
      <c r="A74" s="35" t="s">
        <v>100</v>
      </c>
      <c r="B74" s="36">
        <f>B72-B73</f>
        <v>13588860069.896606</v>
      </c>
      <c r="C74" s="36">
        <f>C72-C73</f>
        <v>27177720.13979321</v>
      </c>
      <c r="D74" s="197">
        <f>B74-D73</f>
        <v>6049999264.9683914</v>
      </c>
    </row>
    <row r="75" spans="1:5" ht="15.5" x14ac:dyDescent="0.35">
      <c r="A75" s="37" t="s">
        <v>101</v>
      </c>
      <c r="B75" s="42">
        <f>B74/B34</f>
        <v>0.15281573189325062</v>
      </c>
      <c r="C75" s="42">
        <f>C74/C34</f>
        <v>0.15281573189325059</v>
      </c>
      <c r="E75" s="210"/>
    </row>
    <row r="77" spans="1:5" x14ac:dyDescent="0.35">
      <c r="B77" s="211"/>
    </row>
    <row r="78" spans="1:5" x14ac:dyDescent="0.35">
      <c r="B78" s="206"/>
      <c r="C78" s="206"/>
    </row>
    <row r="79" spans="1:5" x14ac:dyDescent="0.35">
      <c r="B79" s="207"/>
      <c r="C79" s="207"/>
    </row>
    <row r="80" spans="1:5" x14ac:dyDescent="0.35">
      <c r="B80" s="208"/>
      <c r="C80" s="208"/>
    </row>
  </sheetData>
  <mergeCells count="4">
    <mergeCell ref="B3:C3"/>
    <mergeCell ref="B4:C4"/>
    <mergeCell ref="B5:C5"/>
    <mergeCell ref="B6:C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CE9D-DF7B-46AD-BD15-36D82E31409C}">
  <dimension ref="B2:E15"/>
  <sheetViews>
    <sheetView zoomScale="120" zoomScaleNormal="120" workbookViewId="0">
      <selection activeCell="F23" sqref="F23"/>
    </sheetView>
  </sheetViews>
  <sheetFormatPr defaultRowHeight="14.5" x14ac:dyDescent="0.35"/>
  <cols>
    <col min="2" max="2" width="21.08984375" customWidth="1"/>
    <col min="3" max="3" width="17.36328125" customWidth="1"/>
    <col min="4" max="5" width="21.54296875" customWidth="1"/>
    <col min="6" max="6" width="13.08984375" customWidth="1"/>
  </cols>
  <sheetData>
    <row r="2" spans="2:5" x14ac:dyDescent="0.35">
      <c r="B2" s="224" t="s">
        <v>204</v>
      </c>
      <c r="C2" s="224" t="s">
        <v>205</v>
      </c>
      <c r="D2" s="224" t="s">
        <v>206</v>
      </c>
      <c r="E2" s="225" t="s">
        <v>207</v>
      </c>
    </row>
    <row r="3" spans="2:5" x14ac:dyDescent="0.35">
      <c r="B3" s="226" t="s">
        <v>208</v>
      </c>
      <c r="C3" s="227">
        <v>12045988046.599998</v>
      </c>
      <c r="D3" s="227">
        <v>12045988047</v>
      </c>
      <c r="E3" s="228">
        <f>D3-C3</f>
        <v>0.40000152587890625</v>
      </c>
    </row>
    <row r="4" spans="2:5" x14ac:dyDescent="0.35">
      <c r="B4" s="226" t="s">
        <v>209</v>
      </c>
      <c r="C4" s="227">
        <v>817500000</v>
      </c>
      <c r="D4" s="227">
        <f>'PnL все'!B48</f>
        <v>675000000</v>
      </c>
      <c r="E4" s="228">
        <f t="shared" ref="E4:E12" si="0">D4-C4</f>
        <v>-142500000</v>
      </c>
    </row>
    <row r="5" spans="2:5" x14ac:dyDescent="0.35">
      <c r="B5" s="226" t="s">
        <v>210</v>
      </c>
      <c r="C5" s="227">
        <v>5081974770.3184738</v>
      </c>
      <c r="D5" s="227">
        <f>'PnL все'!B40</f>
        <v>4595567890</v>
      </c>
      <c r="E5" s="228">
        <f t="shared" si="0"/>
        <v>-486406880.31847382</v>
      </c>
    </row>
    <row r="6" spans="2:5" x14ac:dyDescent="0.35">
      <c r="B6" s="226" t="s">
        <v>211</v>
      </c>
      <c r="C6" s="227">
        <v>564663863.36871946</v>
      </c>
      <c r="D6" s="227">
        <f>'PnL все'!B53+'PnL все'!B51</f>
        <v>644368883</v>
      </c>
      <c r="E6" s="228">
        <f t="shared" si="0"/>
        <v>79705019.631280541</v>
      </c>
    </row>
    <row r="7" spans="2:5" x14ac:dyDescent="0.35">
      <c r="B7" s="226" t="s">
        <v>212</v>
      </c>
      <c r="C7" s="227">
        <v>361379641.39799994</v>
      </c>
      <c r="D7" s="227">
        <f>'PnL все'!B61</f>
        <v>487455150</v>
      </c>
      <c r="E7" s="228">
        <f t="shared" si="0"/>
        <v>126075508.60200006</v>
      </c>
    </row>
    <row r="8" spans="2:5" x14ac:dyDescent="0.35">
      <c r="B8" s="226" t="s">
        <v>213</v>
      </c>
      <c r="C8" s="227"/>
      <c r="D8" s="227">
        <f>'PnL все'!B58</f>
        <v>257119200</v>
      </c>
      <c r="E8" s="228">
        <f t="shared" si="0"/>
        <v>257119200</v>
      </c>
    </row>
    <row r="9" spans="2:5" x14ac:dyDescent="0.35">
      <c r="B9" s="226" t="s">
        <v>214</v>
      </c>
      <c r="C9" s="227"/>
      <c r="D9" s="227">
        <f>'PnL все'!B54</f>
        <v>45955678.899999999</v>
      </c>
      <c r="E9" s="228">
        <f t="shared" si="0"/>
        <v>45955678.899999999</v>
      </c>
    </row>
    <row r="10" spans="2:5" x14ac:dyDescent="0.35">
      <c r="B10" s="226" t="s">
        <v>215</v>
      </c>
      <c r="C10" s="227"/>
      <c r="D10" s="227">
        <f>'PnL все'!B66</f>
        <v>112218750</v>
      </c>
      <c r="E10" s="228">
        <f t="shared" si="0"/>
        <v>112218750</v>
      </c>
    </row>
    <row r="11" spans="2:5" x14ac:dyDescent="0.35">
      <c r="B11" s="226" t="s">
        <v>216</v>
      </c>
      <c r="C11" s="227">
        <v>1023827741.262779</v>
      </c>
      <c r="D11" s="227"/>
      <c r="E11" s="228">
        <f t="shared" si="0"/>
        <v>-1023827741.262779</v>
      </c>
    </row>
    <row r="12" spans="2:5" x14ac:dyDescent="0.35">
      <c r="B12" s="226" t="s">
        <v>217</v>
      </c>
      <c r="C12" s="227">
        <v>835275163.44236898</v>
      </c>
      <c r="D12" s="227">
        <f>'PnL все'!B70+'PnL все'!B73</f>
        <v>1329292056.7372403</v>
      </c>
      <c r="E12" s="228">
        <f t="shared" si="0"/>
        <v>494016893.29487133</v>
      </c>
    </row>
    <row r="13" spans="2:5" x14ac:dyDescent="0.35">
      <c r="B13" s="224" t="s">
        <v>218</v>
      </c>
      <c r="C13" s="229">
        <f>C3-C4-C5-C6-C7-C8-C9--C10-C12-C11</f>
        <v>3361366866.8096581</v>
      </c>
      <c r="D13" s="229">
        <f>D3-D4-D5-D6-D7-D8-D9-D10-D12-D11</f>
        <v>3899010438.3627601</v>
      </c>
      <c r="E13" s="229">
        <f>D13-C13</f>
        <v>537643571.55310202</v>
      </c>
    </row>
    <row r="15" spans="2:5" x14ac:dyDescent="0.35">
      <c r="C15" s="197"/>
      <c r="D15" s="197"/>
    </row>
  </sheetData>
  <conditionalFormatting sqref="E3:E12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6DE7-941F-44AA-B729-A64BAE6186C4}">
  <sheetPr>
    <tabColor rgb="FFFF0000"/>
  </sheetPr>
  <dimension ref="B3:KQ61"/>
  <sheetViews>
    <sheetView topLeftCell="A2" zoomScale="110" zoomScaleNormal="110" workbookViewId="0">
      <pane xSplit="3" ySplit="5" topLeftCell="F29" activePane="bottomRight" state="frozen"/>
      <selection pane="topRight" activeCell="D2" sqref="D2"/>
      <selection pane="bottomLeft" activeCell="A7" sqref="A7"/>
      <selection pane="bottomRight" activeCell="F44" sqref="F44"/>
    </sheetView>
  </sheetViews>
  <sheetFormatPr defaultRowHeight="14.5" x14ac:dyDescent="0.35"/>
  <cols>
    <col min="2" max="2" width="61.90625" bestFit="1" customWidth="1"/>
    <col min="3" max="3" width="21.08984375" bestFit="1" customWidth="1"/>
    <col min="4" max="4" width="13.453125" customWidth="1"/>
    <col min="5" max="5" width="11.453125" bestFit="1" customWidth="1"/>
    <col min="6" max="6" width="11" bestFit="1" customWidth="1"/>
    <col min="7" max="45" width="9" bestFit="1" customWidth="1"/>
  </cols>
  <sheetData>
    <row r="3" spans="2:303" x14ac:dyDescent="0.35">
      <c r="D3">
        <f t="shared" ref="D3:BO3" si="0">YEAR(D6)</f>
        <v>2026</v>
      </c>
      <c r="E3">
        <f t="shared" si="0"/>
        <v>2026</v>
      </c>
      <c r="F3">
        <f t="shared" si="0"/>
        <v>2026</v>
      </c>
      <c r="G3">
        <f t="shared" si="0"/>
        <v>2026</v>
      </c>
      <c r="H3">
        <f t="shared" si="0"/>
        <v>2026</v>
      </c>
      <c r="I3">
        <f t="shared" si="0"/>
        <v>2026</v>
      </c>
      <c r="J3">
        <f t="shared" si="0"/>
        <v>2027</v>
      </c>
      <c r="K3">
        <f t="shared" si="0"/>
        <v>2027</v>
      </c>
      <c r="L3">
        <f t="shared" si="0"/>
        <v>2027</v>
      </c>
      <c r="M3">
        <f t="shared" si="0"/>
        <v>2027</v>
      </c>
      <c r="N3">
        <f t="shared" si="0"/>
        <v>2027</v>
      </c>
      <c r="O3">
        <f t="shared" si="0"/>
        <v>2027</v>
      </c>
      <c r="P3">
        <f t="shared" si="0"/>
        <v>2027</v>
      </c>
      <c r="Q3">
        <f t="shared" si="0"/>
        <v>2027</v>
      </c>
      <c r="R3">
        <f t="shared" si="0"/>
        <v>2027</v>
      </c>
      <c r="S3">
        <f t="shared" si="0"/>
        <v>2027</v>
      </c>
      <c r="T3">
        <f t="shared" si="0"/>
        <v>2027</v>
      </c>
      <c r="U3">
        <f t="shared" si="0"/>
        <v>2027</v>
      </c>
      <c r="V3">
        <f t="shared" si="0"/>
        <v>2028</v>
      </c>
      <c r="W3">
        <f t="shared" si="0"/>
        <v>2028</v>
      </c>
      <c r="X3">
        <f t="shared" si="0"/>
        <v>2028</v>
      </c>
      <c r="Y3">
        <f t="shared" si="0"/>
        <v>2028</v>
      </c>
      <c r="Z3">
        <f t="shared" si="0"/>
        <v>2028</v>
      </c>
      <c r="AA3">
        <f t="shared" si="0"/>
        <v>2028</v>
      </c>
      <c r="AB3">
        <f t="shared" si="0"/>
        <v>2028</v>
      </c>
      <c r="AC3">
        <f t="shared" si="0"/>
        <v>2028</v>
      </c>
      <c r="AD3">
        <f t="shared" si="0"/>
        <v>2028</v>
      </c>
      <c r="AE3">
        <f t="shared" si="0"/>
        <v>2028</v>
      </c>
      <c r="AF3">
        <f t="shared" si="0"/>
        <v>2028</v>
      </c>
      <c r="AG3">
        <f t="shared" si="0"/>
        <v>2028</v>
      </c>
      <c r="AH3">
        <f t="shared" si="0"/>
        <v>2029</v>
      </c>
      <c r="AI3">
        <f t="shared" si="0"/>
        <v>2029</v>
      </c>
      <c r="AJ3">
        <f t="shared" si="0"/>
        <v>2029</v>
      </c>
      <c r="AK3">
        <f t="shared" si="0"/>
        <v>2029</v>
      </c>
      <c r="AL3">
        <f t="shared" si="0"/>
        <v>2029</v>
      </c>
      <c r="AM3">
        <f t="shared" si="0"/>
        <v>2029</v>
      </c>
      <c r="AN3">
        <f t="shared" si="0"/>
        <v>2029</v>
      </c>
      <c r="AO3">
        <f t="shared" si="0"/>
        <v>2029</v>
      </c>
      <c r="AP3">
        <f t="shared" si="0"/>
        <v>2029</v>
      </c>
      <c r="AQ3">
        <f t="shared" si="0"/>
        <v>2029</v>
      </c>
      <c r="AR3">
        <f t="shared" si="0"/>
        <v>2029</v>
      </c>
      <c r="AS3">
        <f t="shared" si="0"/>
        <v>2029</v>
      </c>
      <c r="AT3">
        <f t="shared" si="0"/>
        <v>2030</v>
      </c>
      <c r="AU3">
        <f t="shared" si="0"/>
        <v>2030</v>
      </c>
      <c r="AV3">
        <f t="shared" si="0"/>
        <v>2030</v>
      </c>
      <c r="AW3">
        <f t="shared" si="0"/>
        <v>2030</v>
      </c>
      <c r="AX3">
        <f t="shared" si="0"/>
        <v>2030</v>
      </c>
      <c r="AY3">
        <f t="shared" si="0"/>
        <v>2030</v>
      </c>
      <c r="AZ3">
        <f t="shared" si="0"/>
        <v>2030</v>
      </c>
      <c r="BA3">
        <f t="shared" si="0"/>
        <v>2030</v>
      </c>
      <c r="BB3">
        <f t="shared" si="0"/>
        <v>2030</v>
      </c>
      <c r="BC3">
        <f t="shared" si="0"/>
        <v>2030</v>
      </c>
      <c r="BD3">
        <f t="shared" si="0"/>
        <v>2030</v>
      </c>
      <c r="BE3">
        <f t="shared" si="0"/>
        <v>2030</v>
      </c>
      <c r="BF3">
        <f t="shared" si="0"/>
        <v>2031</v>
      </c>
      <c r="BG3">
        <f t="shared" si="0"/>
        <v>2031</v>
      </c>
      <c r="BH3">
        <f t="shared" si="0"/>
        <v>2031</v>
      </c>
      <c r="BI3">
        <f t="shared" si="0"/>
        <v>2031</v>
      </c>
      <c r="BJ3">
        <f t="shared" si="0"/>
        <v>2031</v>
      </c>
      <c r="BK3">
        <f t="shared" si="0"/>
        <v>2031</v>
      </c>
      <c r="BL3">
        <f t="shared" si="0"/>
        <v>2031</v>
      </c>
      <c r="BM3">
        <f t="shared" si="0"/>
        <v>2031</v>
      </c>
      <c r="BN3">
        <f t="shared" si="0"/>
        <v>2031</v>
      </c>
      <c r="BO3">
        <f t="shared" si="0"/>
        <v>2031</v>
      </c>
      <c r="BP3">
        <f t="shared" ref="BP3:EA3" si="1">YEAR(BP6)</f>
        <v>2031</v>
      </c>
      <c r="BQ3">
        <f t="shared" si="1"/>
        <v>2031</v>
      </c>
      <c r="BR3">
        <f t="shared" si="1"/>
        <v>2032</v>
      </c>
      <c r="BS3">
        <f t="shared" si="1"/>
        <v>2032</v>
      </c>
      <c r="BT3">
        <f t="shared" si="1"/>
        <v>2032</v>
      </c>
      <c r="BU3">
        <f t="shared" si="1"/>
        <v>2032</v>
      </c>
      <c r="BV3">
        <f t="shared" si="1"/>
        <v>2032</v>
      </c>
      <c r="BW3">
        <f t="shared" si="1"/>
        <v>2032</v>
      </c>
      <c r="BX3">
        <f t="shared" si="1"/>
        <v>2032</v>
      </c>
      <c r="BY3">
        <f t="shared" si="1"/>
        <v>2032</v>
      </c>
      <c r="BZ3">
        <f t="shared" si="1"/>
        <v>2032</v>
      </c>
      <c r="CA3">
        <f t="shared" si="1"/>
        <v>2032</v>
      </c>
      <c r="CB3">
        <f t="shared" si="1"/>
        <v>2032</v>
      </c>
      <c r="CC3">
        <f t="shared" si="1"/>
        <v>2032</v>
      </c>
      <c r="CD3">
        <f t="shared" si="1"/>
        <v>2033</v>
      </c>
      <c r="CE3">
        <f t="shared" si="1"/>
        <v>2033</v>
      </c>
      <c r="CF3">
        <f t="shared" si="1"/>
        <v>2033</v>
      </c>
      <c r="CG3">
        <f t="shared" si="1"/>
        <v>2033</v>
      </c>
      <c r="CH3">
        <f t="shared" si="1"/>
        <v>2033</v>
      </c>
      <c r="CI3">
        <f t="shared" si="1"/>
        <v>2033</v>
      </c>
      <c r="CJ3">
        <f t="shared" si="1"/>
        <v>2033</v>
      </c>
      <c r="CK3">
        <f t="shared" si="1"/>
        <v>2033</v>
      </c>
      <c r="CL3">
        <f t="shared" si="1"/>
        <v>2033</v>
      </c>
      <c r="CM3">
        <f t="shared" si="1"/>
        <v>2033</v>
      </c>
      <c r="CN3">
        <f t="shared" si="1"/>
        <v>2033</v>
      </c>
      <c r="CO3">
        <f t="shared" si="1"/>
        <v>2033</v>
      </c>
      <c r="CP3">
        <f t="shared" si="1"/>
        <v>2034</v>
      </c>
      <c r="CQ3">
        <f t="shared" si="1"/>
        <v>2034</v>
      </c>
      <c r="CR3">
        <f t="shared" si="1"/>
        <v>2034</v>
      </c>
      <c r="CS3">
        <f t="shared" si="1"/>
        <v>2034</v>
      </c>
      <c r="CT3">
        <f t="shared" si="1"/>
        <v>2034</v>
      </c>
      <c r="CU3">
        <f t="shared" si="1"/>
        <v>2034</v>
      </c>
      <c r="CV3">
        <f t="shared" si="1"/>
        <v>2034</v>
      </c>
      <c r="CW3">
        <f t="shared" si="1"/>
        <v>2034</v>
      </c>
      <c r="CX3">
        <f t="shared" si="1"/>
        <v>2034</v>
      </c>
      <c r="CY3">
        <f t="shared" si="1"/>
        <v>2034</v>
      </c>
      <c r="CZ3">
        <f t="shared" si="1"/>
        <v>2034</v>
      </c>
      <c r="DA3">
        <f t="shared" si="1"/>
        <v>2034</v>
      </c>
      <c r="DB3">
        <f t="shared" si="1"/>
        <v>2035</v>
      </c>
      <c r="DC3">
        <f t="shared" si="1"/>
        <v>2035</v>
      </c>
      <c r="DD3">
        <f t="shared" si="1"/>
        <v>2035</v>
      </c>
      <c r="DE3">
        <f t="shared" si="1"/>
        <v>2035</v>
      </c>
      <c r="DF3">
        <f t="shared" si="1"/>
        <v>2035</v>
      </c>
      <c r="DG3">
        <f t="shared" si="1"/>
        <v>2035</v>
      </c>
      <c r="DH3">
        <f t="shared" si="1"/>
        <v>2035</v>
      </c>
      <c r="DI3">
        <f t="shared" si="1"/>
        <v>2035</v>
      </c>
      <c r="DJ3">
        <f t="shared" si="1"/>
        <v>2035</v>
      </c>
      <c r="DK3">
        <f t="shared" si="1"/>
        <v>2035</v>
      </c>
      <c r="DL3">
        <f t="shared" si="1"/>
        <v>2035</v>
      </c>
      <c r="DM3">
        <f t="shared" si="1"/>
        <v>2035</v>
      </c>
      <c r="DN3">
        <f t="shared" si="1"/>
        <v>2036</v>
      </c>
      <c r="DO3">
        <f t="shared" si="1"/>
        <v>2036</v>
      </c>
      <c r="DP3">
        <f t="shared" si="1"/>
        <v>2036</v>
      </c>
      <c r="DQ3">
        <f t="shared" si="1"/>
        <v>2036</v>
      </c>
      <c r="DR3">
        <f t="shared" si="1"/>
        <v>2036</v>
      </c>
      <c r="DS3">
        <f t="shared" si="1"/>
        <v>2036</v>
      </c>
      <c r="DT3">
        <f t="shared" si="1"/>
        <v>2036</v>
      </c>
      <c r="DU3">
        <f t="shared" si="1"/>
        <v>2036</v>
      </c>
      <c r="DV3">
        <f t="shared" si="1"/>
        <v>2036</v>
      </c>
      <c r="DW3">
        <f t="shared" si="1"/>
        <v>2036</v>
      </c>
      <c r="DX3">
        <f t="shared" si="1"/>
        <v>2036</v>
      </c>
      <c r="DY3">
        <f t="shared" si="1"/>
        <v>2036</v>
      </c>
      <c r="DZ3">
        <f t="shared" si="1"/>
        <v>2037</v>
      </c>
      <c r="EA3">
        <f t="shared" si="1"/>
        <v>2037</v>
      </c>
      <c r="EB3">
        <f t="shared" ref="EB3:GM3" si="2">YEAR(EB6)</f>
        <v>2037</v>
      </c>
      <c r="EC3">
        <f t="shared" si="2"/>
        <v>2037</v>
      </c>
      <c r="ED3">
        <f t="shared" si="2"/>
        <v>2037</v>
      </c>
      <c r="EE3">
        <f t="shared" si="2"/>
        <v>2037</v>
      </c>
      <c r="EF3">
        <f t="shared" si="2"/>
        <v>2037</v>
      </c>
      <c r="EG3">
        <f t="shared" si="2"/>
        <v>2037</v>
      </c>
      <c r="EH3">
        <f t="shared" si="2"/>
        <v>2037</v>
      </c>
      <c r="EI3">
        <f t="shared" si="2"/>
        <v>2037</v>
      </c>
      <c r="EJ3">
        <f t="shared" si="2"/>
        <v>2037</v>
      </c>
      <c r="EK3">
        <f t="shared" si="2"/>
        <v>2037</v>
      </c>
      <c r="EL3">
        <f t="shared" si="2"/>
        <v>2038</v>
      </c>
      <c r="EM3">
        <f t="shared" si="2"/>
        <v>2038</v>
      </c>
      <c r="EN3">
        <f t="shared" si="2"/>
        <v>2038</v>
      </c>
      <c r="EO3">
        <f t="shared" si="2"/>
        <v>2038</v>
      </c>
      <c r="EP3">
        <f t="shared" si="2"/>
        <v>2038</v>
      </c>
      <c r="EQ3">
        <f t="shared" si="2"/>
        <v>2038</v>
      </c>
      <c r="ER3">
        <f t="shared" si="2"/>
        <v>2038</v>
      </c>
      <c r="ES3">
        <f t="shared" si="2"/>
        <v>2038</v>
      </c>
      <c r="ET3">
        <f t="shared" si="2"/>
        <v>2038</v>
      </c>
      <c r="EU3">
        <f t="shared" si="2"/>
        <v>2038</v>
      </c>
      <c r="EV3">
        <f t="shared" si="2"/>
        <v>2038</v>
      </c>
      <c r="EW3">
        <f t="shared" si="2"/>
        <v>2038</v>
      </c>
      <c r="EX3">
        <f t="shared" si="2"/>
        <v>2039</v>
      </c>
      <c r="EY3">
        <f t="shared" si="2"/>
        <v>2039</v>
      </c>
      <c r="EZ3">
        <f t="shared" si="2"/>
        <v>2039</v>
      </c>
      <c r="FA3">
        <f t="shared" si="2"/>
        <v>2039</v>
      </c>
      <c r="FB3">
        <f t="shared" si="2"/>
        <v>2039</v>
      </c>
      <c r="FC3">
        <f t="shared" si="2"/>
        <v>2039</v>
      </c>
      <c r="FD3">
        <f t="shared" si="2"/>
        <v>2039</v>
      </c>
      <c r="FE3">
        <f t="shared" si="2"/>
        <v>2039</v>
      </c>
      <c r="FF3">
        <f t="shared" si="2"/>
        <v>2039</v>
      </c>
      <c r="FG3">
        <f t="shared" si="2"/>
        <v>2039</v>
      </c>
      <c r="FH3">
        <f t="shared" si="2"/>
        <v>2039</v>
      </c>
      <c r="FI3">
        <f t="shared" si="2"/>
        <v>2039</v>
      </c>
      <c r="FJ3">
        <f t="shared" si="2"/>
        <v>2040</v>
      </c>
      <c r="FK3">
        <f t="shared" si="2"/>
        <v>2040</v>
      </c>
      <c r="FL3">
        <f t="shared" si="2"/>
        <v>2040</v>
      </c>
      <c r="FM3">
        <f t="shared" si="2"/>
        <v>2040</v>
      </c>
      <c r="FN3">
        <f t="shared" si="2"/>
        <v>2040</v>
      </c>
      <c r="FO3">
        <f t="shared" si="2"/>
        <v>2040</v>
      </c>
      <c r="FP3">
        <f t="shared" si="2"/>
        <v>2040</v>
      </c>
      <c r="FQ3">
        <f t="shared" si="2"/>
        <v>2040</v>
      </c>
      <c r="FR3">
        <f t="shared" si="2"/>
        <v>2040</v>
      </c>
      <c r="FS3">
        <f t="shared" si="2"/>
        <v>2040</v>
      </c>
      <c r="FT3">
        <f t="shared" si="2"/>
        <v>2040</v>
      </c>
      <c r="FU3">
        <f t="shared" si="2"/>
        <v>2040</v>
      </c>
      <c r="FV3">
        <f t="shared" si="2"/>
        <v>2041</v>
      </c>
      <c r="FW3">
        <f t="shared" si="2"/>
        <v>2041</v>
      </c>
      <c r="FX3">
        <f t="shared" si="2"/>
        <v>2041</v>
      </c>
      <c r="FY3">
        <f t="shared" si="2"/>
        <v>2041</v>
      </c>
      <c r="FZ3">
        <f t="shared" si="2"/>
        <v>2041</v>
      </c>
      <c r="GA3">
        <f t="shared" si="2"/>
        <v>2041</v>
      </c>
      <c r="GB3">
        <f t="shared" si="2"/>
        <v>2041</v>
      </c>
      <c r="GC3">
        <f t="shared" si="2"/>
        <v>2041</v>
      </c>
      <c r="GD3">
        <f t="shared" si="2"/>
        <v>2041</v>
      </c>
      <c r="GE3">
        <f t="shared" si="2"/>
        <v>2041</v>
      </c>
      <c r="GF3">
        <f t="shared" si="2"/>
        <v>2041</v>
      </c>
      <c r="GG3">
        <f t="shared" si="2"/>
        <v>2041</v>
      </c>
      <c r="GH3">
        <f t="shared" si="2"/>
        <v>2042</v>
      </c>
      <c r="GI3">
        <f t="shared" si="2"/>
        <v>2042</v>
      </c>
      <c r="GJ3">
        <f t="shared" si="2"/>
        <v>2042</v>
      </c>
      <c r="GK3">
        <f t="shared" si="2"/>
        <v>2042</v>
      </c>
      <c r="GL3">
        <f t="shared" si="2"/>
        <v>2042</v>
      </c>
      <c r="GM3">
        <f t="shared" si="2"/>
        <v>2042</v>
      </c>
      <c r="GN3">
        <f t="shared" ref="GN3:IY3" si="3">YEAR(GN6)</f>
        <v>2042</v>
      </c>
      <c r="GO3">
        <f t="shared" si="3"/>
        <v>2042</v>
      </c>
      <c r="GP3">
        <f t="shared" si="3"/>
        <v>2042</v>
      </c>
      <c r="GQ3">
        <f t="shared" si="3"/>
        <v>2042</v>
      </c>
      <c r="GR3">
        <f t="shared" si="3"/>
        <v>2042</v>
      </c>
      <c r="GS3">
        <f t="shared" si="3"/>
        <v>2042</v>
      </c>
      <c r="GT3">
        <f t="shared" si="3"/>
        <v>2043</v>
      </c>
      <c r="GU3">
        <f t="shared" si="3"/>
        <v>2043</v>
      </c>
      <c r="GV3">
        <f t="shared" si="3"/>
        <v>2043</v>
      </c>
      <c r="GW3">
        <f t="shared" si="3"/>
        <v>2043</v>
      </c>
      <c r="GX3">
        <f t="shared" si="3"/>
        <v>2043</v>
      </c>
      <c r="GY3">
        <f t="shared" si="3"/>
        <v>2043</v>
      </c>
      <c r="GZ3">
        <f t="shared" si="3"/>
        <v>2043</v>
      </c>
      <c r="HA3">
        <f t="shared" si="3"/>
        <v>2043</v>
      </c>
      <c r="HB3">
        <f t="shared" si="3"/>
        <v>2043</v>
      </c>
      <c r="HC3">
        <f t="shared" si="3"/>
        <v>2043</v>
      </c>
      <c r="HD3">
        <f t="shared" si="3"/>
        <v>2043</v>
      </c>
      <c r="HE3">
        <f t="shared" si="3"/>
        <v>2043</v>
      </c>
      <c r="HF3">
        <f t="shared" si="3"/>
        <v>2044</v>
      </c>
      <c r="HG3">
        <f t="shared" si="3"/>
        <v>2044</v>
      </c>
      <c r="HH3">
        <f t="shared" si="3"/>
        <v>2044</v>
      </c>
      <c r="HI3">
        <f t="shared" si="3"/>
        <v>2044</v>
      </c>
      <c r="HJ3">
        <f t="shared" si="3"/>
        <v>2044</v>
      </c>
      <c r="HK3">
        <f t="shared" si="3"/>
        <v>2044</v>
      </c>
      <c r="HL3">
        <f t="shared" si="3"/>
        <v>2044</v>
      </c>
      <c r="HM3">
        <f t="shared" si="3"/>
        <v>2044</v>
      </c>
      <c r="HN3">
        <f t="shared" si="3"/>
        <v>2044</v>
      </c>
      <c r="HO3">
        <f t="shared" si="3"/>
        <v>2044</v>
      </c>
      <c r="HP3">
        <f t="shared" si="3"/>
        <v>2044</v>
      </c>
      <c r="HQ3">
        <f t="shared" si="3"/>
        <v>2044</v>
      </c>
      <c r="HR3">
        <f t="shared" si="3"/>
        <v>2045</v>
      </c>
      <c r="HS3">
        <f t="shared" si="3"/>
        <v>2045</v>
      </c>
      <c r="HT3">
        <f t="shared" si="3"/>
        <v>2045</v>
      </c>
      <c r="HU3">
        <f t="shared" si="3"/>
        <v>2045</v>
      </c>
      <c r="HV3">
        <f t="shared" si="3"/>
        <v>2045</v>
      </c>
      <c r="HW3">
        <f t="shared" si="3"/>
        <v>2045</v>
      </c>
      <c r="HX3">
        <f t="shared" si="3"/>
        <v>2045</v>
      </c>
      <c r="HY3">
        <f t="shared" si="3"/>
        <v>2045</v>
      </c>
      <c r="HZ3">
        <f t="shared" si="3"/>
        <v>2045</v>
      </c>
      <c r="IA3">
        <f t="shared" si="3"/>
        <v>2045</v>
      </c>
      <c r="IB3">
        <f t="shared" si="3"/>
        <v>2045</v>
      </c>
      <c r="IC3">
        <f t="shared" si="3"/>
        <v>2045</v>
      </c>
      <c r="ID3">
        <f t="shared" si="3"/>
        <v>2046</v>
      </c>
      <c r="IE3">
        <f t="shared" si="3"/>
        <v>2046</v>
      </c>
      <c r="IF3">
        <f t="shared" si="3"/>
        <v>2046</v>
      </c>
      <c r="IG3">
        <f t="shared" si="3"/>
        <v>2046</v>
      </c>
      <c r="IH3">
        <f t="shared" si="3"/>
        <v>2046</v>
      </c>
      <c r="II3">
        <f t="shared" si="3"/>
        <v>2046</v>
      </c>
      <c r="IJ3">
        <f t="shared" si="3"/>
        <v>2046</v>
      </c>
      <c r="IK3">
        <f t="shared" si="3"/>
        <v>2046</v>
      </c>
      <c r="IL3">
        <f t="shared" si="3"/>
        <v>2046</v>
      </c>
      <c r="IM3">
        <f t="shared" si="3"/>
        <v>2046</v>
      </c>
      <c r="IN3">
        <f t="shared" si="3"/>
        <v>2046</v>
      </c>
      <c r="IO3">
        <f t="shared" si="3"/>
        <v>2046</v>
      </c>
      <c r="IP3">
        <f t="shared" si="3"/>
        <v>2047</v>
      </c>
      <c r="IQ3">
        <f t="shared" si="3"/>
        <v>2047</v>
      </c>
      <c r="IR3">
        <f t="shared" si="3"/>
        <v>2047</v>
      </c>
      <c r="IS3">
        <f t="shared" si="3"/>
        <v>2047</v>
      </c>
      <c r="IT3">
        <f t="shared" si="3"/>
        <v>2047</v>
      </c>
      <c r="IU3">
        <f t="shared" si="3"/>
        <v>2047</v>
      </c>
      <c r="IV3">
        <f t="shared" si="3"/>
        <v>2047</v>
      </c>
      <c r="IW3">
        <f t="shared" si="3"/>
        <v>2047</v>
      </c>
      <c r="IX3">
        <f t="shared" si="3"/>
        <v>2047</v>
      </c>
      <c r="IY3">
        <f t="shared" si="3"/>
        <v>2047</v>
      </c>
      <c r="IZ3">
        <f t="shared" ref="IZ3:KQ3" si="4">YEAR(IZ6)</f>
        <v>2047</v>
      </c>
      <c r="JA3">
        <f t="shared" si="4"/>
        <v>2047</v>
      </c>
      <c r="JB3">
        <f t="shared" si="4"/>
        <v>2048</v>
      </c>
      <c r="JC3">
        <f t="shared" si="4"/>
        <v>2048</v>
      </c>
      <c r="JD3">
        <f t="shared" si="4"/>
        <v>2048</v>
      </c>
      <c r="JE3">
        <f t="shared" si="4"/>
        <v>2048</v>
      </c>
      <c r="JF3">
        <f t="shared" si="4"/>
        <v>2048</v>
      </c>
      <c r="JG3">
        <f t="shared" si="4"/>
        <v>2048</v>
      </c>
      <c r="JH3">
        <f t="shared" si="4"/>
        <v>2048</v>
      </c>
      <c r="JI3">
        <f t="shared" si="4"/>
        <v>2048</v>
      </c>
      <c r="JJ3">
        <f t="shared" si="4"/>
        <v>2048</v>
      </c>
      <c r="JK3">
        <f t="shared" si="4"/>
        <v>2048</v>
      </c>
      <c r="JL3">
        <f t="shared" si="4"/>
        <v>2048</v>
      </c>
      <c r="JM3">
        <f t="shared" si="4"/>
        <v>2048</v>
      </c>
      <c r="JN3">
        <f t="shared" si="4"/>
        <v>2049</v>
      </c>
      <c r="JO3">
        <f t="shared" si="4"/>
        <v>2049</v>
      </c>
      <c r="JP3">
        <f t="shared" si="4"/>
        <v>2049</v>
      </c>
      <c r="JQ3">
        <f t="shared" si="4"/>
        <v>2049</v>
      </c>
      <c r="JR3">
        <f t="shared" si="4"/>
        <v>2049</v>
      </c>
      <c r="JS3">
        <f t="shared" si="4"/>
        <v>2049</v>
      </c>
      <c r="JT3">
        <f t="shared" si="4"/>
        <v>2049</v>
      </c>
      <c r="JU3">
        <f t="shared" si="4"/>
        <v>2049</v>
      </c>
      <c r="JV3">
        <f t="shared" si="4"/>
        <v>2049</v>
      </c>
      <c r="JW3">
        <f t="shared" si="4"/>
        <v>2049</v>
      </c>
      <c r="JX3">
        <f t="shared" si="4"/>
        <v>2049</v>
      </c>
      <c r="JY3">
        <f t="shared" si="4"/>
        <v>2049</v>
      </c>
      <c r="JZ3">
        <f t="shared" si="4"/>
        <v>2050</v>
      </c>
      <c r="KA3">
        <f t="shared" si="4"/>
        <v>2050</v>
      </c>
      <c r="KB3">
        <f t="shared" si="4"/>
        <v>2050</v>
      </c>
      <c r="KC3">
        <f t="shared" si="4"/>
        <v>2050</v>
      </c>
      <c r="KD3">
        <f t="shared" si="4"/>
        <v>2050</v>
      </c>
      <c r="KE3">
        <f t="shared" si="4"/>
        <v>2050</v>
      </c>
      <c r="KF3">
        <f t="shared" si="4"/>
        <v>2050</v>
      </c>
      <c r="KG3">
        <f t="shared" si="4"/>
        <v>2050</v>
      </c>
      <c r="KH3">
        <f t="shared" si="4"/>
        <v>2050</v>
      </c>
      <c r="KI3">
        <f t="shared" si="4"/>
        <v>2050</v>
      </c>
      <c r="KJ3">
        <f t="shared" si="4"/>
        <v>2050</v>
      </c>
      <c r="KK3">
        <f t="shared" si="4"/>
        <v>2050</v>
      </c>
      <c r="KL3">
        <f t="shared" si="4"/>
        <v>2051</v>
      </c>
      <c r="KM3">
        <f t="shared" si="4"/>
        <v>2051</v>
      </c>
      <c r="KN3">
        <f t="shared" si="4"/>
        <v>2051</v>
      </c>
      <c r="KO3">
        <f t="shared" si="4"/>
        <v>2051</v>
      </c>
      <c r="KP3">
        <f t="shared" si="4"/>
        <v>2051</v>
      </c>
      <c r="KQ3">
        <f t="shared" si="4"/>
        <v>2051</v>
      </c>
    </row>
    <row r="4" spans="2:303" x14ac:dyDescent="0.35">
      <c r="D4">
        <v>1</v>
      </c>
      <c r="E4">
        <f t="shared" ref="E4:BP4" si="5">D4+1</f>
        <v>2</v>
      </c>
      <c r="F4">
        <f t="shared" si="5"/>
        <v>3</v>
      </c>
      <c r="G4">
        <f t="shared" si="5"/>
        <v>4</v>
      </c>
      <c r="H4">
        <f t="shared" si="5"/>
        <v>5</v>
      </c>
      <c r="I4">
        <f t="shared" si="5"/>
        <v>6</v>
      </c>
      <c r="J4">
        <f t="shared" si="5"/>
        <v>7</v>
      </c>
      <c r="K4">
        <f t="shared" si="5"/>
        <v>8</v>
      </c>
      <c r="L4">
        <f t="shared" si="5"/>
        <v>9</v>
      </c>
      <c r="M4">
        <f t="shared" si="5"/>
        <v>10</v>
      </c>
      <c r="N4">
        <f t="shared" si="5"/>
        <v>11</v>
      </c>
      <c r="O4">
        <f t="shared" si="5"/>
        <v>12</v>
      </c>
      <c r="P4">
        <f t="shared" si="5"/>
        <v>13</v>
      </c>
      <c r="Q4">
        <f t="shared" si="5"/>
        <v>14</v>
      </c>
      <c r="R4">
        <f t="shared" si="5"/>
        <v>15</v>
      </c>
      <c r="S4">
        <f t="shared" si="5"/>
        <v>16</v>
      </c>
      <c r="T4">
        <f t="shared" si="5"/>
        <v>17</v>
      </c>
      <c r="U4">
        <f t="shared" si="5"/>
        <v>18</v>
      </c>
      <c r="V4">
        <f t="shared" si="5"/>
        <v>19</v>
      </c>
      <c r="W4">
        <f t="shared" si="5"/>
        <v>20</v>
      </c>
      <c r="X4">
        <f t="shared" si="5"/>
        <v>21</v>
      </c>
      <c r="Y4">
        <f t="shared" si="5"/>
        <v>22</v>
      </c>
      <c r="Z4">
        <f t="shared" si="5"/>
        <v>23</v>
      </c>
      <c r="AA4">
        <f t="shared" si="5"/>
        <v>24</v>
      </c>
      <c r="AB4">
        <f t="shared" si="5"/>
        <v>25</v>
      </c>
      <c r="AC4">
        <f t="shared" si="5"/>
        <v>26</v>
      </c>
      <c r="AD4">
        <f t="shared" si="5"/>
        <v>27</v>
      </c>
      <c r="AE4">
        <f t="shared" si="5"/>
        <v>28</v>
      </c>
      <c r="AF4">
        <f t="shared" si="5"/>
        <v>29</v>
      </c>
      <c r="AG4">
        <f t="shared" si="5"/>
        <v>30</v>
      </c>
      <c r="AH4">
        <f t="shared" si="5"/>
        <v>31</v>
      </c>
      <c r="AI4">
        <f t="shared" si="5"/>
        <v>32</v>
      </c>
      <c r="AJ4">
        <f t="shared" si="5"/>
        <v>33</v>
      </c>
      <c r="AK4">
        <f t="shared" si="5"/>
        <v>34</v>
      </c>
      <c r="AL4">
        <f t="shared" si="5"/>
        <v>35</v>
      </c>
      <c r="AM4">
        <f t="shared" si="5"/>
        <v>36</v>
      </c>
      <c r="AN4">
        <f t="shared" si="5"/>
        <v>37</v>
      </c>
      <c r="AO4">
        <f t="shared" si="5"/>
        <v>38</v>
      </c>
      <c r="AP4">
        <f t="shared" si="5"/>
        <v>39</v>
      </c>
      <c r="AQ4">
        <f t="shared" si="5"/>
        <v>40</v>
      </c>
      <c r="AR4">
        <f t="shared" si="5"/>
        <v>41</v>
      </c>
      <c r="AS4">
        <f t="shared" si="5"/>
        <v>42</v>
      </c>
      <c r="AT4">
        <f t="shared" si="5"/>
        <v>43</v>
      </c>
      <c r="AU4">
        <f t="shared" si="5"/>
        <v>44</v>
      </c>
      <c r="AV4">
        <f t="shared" si="5"/>
        <v>45</v>
      </c>
      <c r="AW4">
        <f t="shared" si="5"/>
        <v>46</v>
      </c>
      <c r="AX4">
        <f t="shared" si="5"/>
        <v>47</v>
      </c>
      <c r="AY4">
        <f t="shared" si="5"/>
        <v>48</v>
      </c>
      <c r="AZ4">
        <f t="shared" si="5"/>
        <v>49</v>
      </c>
      <c r="BA4">
        <f t="shared" si="5"/>
        <v>50</v>
      </c>
      <c r="BB4">
        <f t="shared" si="5"/>
        <v>51</v>
      </c>
      <c r="BC4">
        <f t="shared" si="5"/>
        <v>52</v>
      </c>
      <c r="BD4">
        <f t="shared" si="5"/>
        <v>53</v>
      </c>
      <c r="BE4">
        <f t="shared" si="5"/>
        <v>54</v>
      </c>
      <c r="BF4">
        <f t="shared" si="5"/>
        <v>55</v>
      </c>
      <c r="BG4">
        <f t="shared" si="5"/>
        <v>56</v>
      </c>
      <c r="BH4">
        <f t="shared" si="5"/>
        <v>57</v>
      </c>
      <c r="BI4">
        <f t="shared" si="5"/>
        <v>58</v>
      </c>
      <c r="BJ4">
        <f t="shared" si="5"/>
        <v>59</v>
      </c>
      <c r="BK4">
        <f t="shared" si="5"/>
        <v>60</v>
      </c>
      <c r="BL4">
        <f t="shared" si="5"/>
        <v>61</v>
      </c>
      <c r="BM4">
        <f t="shared" si="5"/>
        <v>62</v>
      </c>
      <c r="BN4">
        <f t="shared" si="5"/>
        <v>63</v>
      </c>
      <c r="BO4">
        <f t="shared" si="5"/>
        <v>64</v>
      </c>
      <c r="BP4">
        <f t="shared" si="5"/>
        <v>65</v>
      </c>
      <c r="BQ4">
        <f t="shared" ref="BQ4:EB4" si="6">BP4+1</f>
        <v>66</v>
      </c>
      <c r="BR4">
        <f t="shared" si="6"/>
        <v>67</v>
      </c>
      <c r="BS4">
        <f t="shared" si="6"/>
        <v>68</v>
      </c>
      <c r="BT4">
        <f t="shared" si="6"/>
        <v>69</v>
      </c>
      <c r="BU4">
        <f t="shared" si="6"/>
        <v>70</v>
      </c>
      <c r="BV4">
        <f t="shared" si="6"/>
        <v>71</v>
      </c>
      <c r="BW4">
        <f t="shared" si="6"/>
        <v>72</v>
      </c>
      <c r="BX4">
        <f t="shared" si="6"/>
        <v>73</v>
      </c>
      <c r="BY4">
        <f t="shared" si="6"/>
        <v>74</v>
      </c>
      <c r="BZ4">
        <f t="shared" si="6"/>
        <v>75</v>
      </c>
      <c r="CA4">
        <f t="shared" si="6"/>
        <v>76</v>
      </c>
      <c r="CB4">
        <f t="shared" si="6"/>
        <v>77</v>
      </c>
      <c r="CC4">
        <f t="shared" si="6"/>
        <v>78</v>
      </c>
      <c r="CD4">
        <f t="shared" si="6"/>
        <v>79</v>
      </c>
      <c r="CE4">
        <f t="shared" si="6"/>
        <v>80</v>
      </c>
      <c r="CF4">
        <f t="shared" si="6"/>
        <v>81</v>
      </c>
      <c r="CG4">
        <f t="shared" si="6"/>
        <v>82</v>
      </c>
      <c r="CH4">
        <f t="shared" si="6"/>
        <v>83</v>
      </c>
      <c r="CI4">
        <f t="shared" si="6"/>
        <v>84</v>
      </c>
      <c r="CJ4">
        <f t="shared" si="6"/>
        <v>85</v>
      </c>
      <c r="CK4">
        <f t="shared" si="6"/>
        <v>86</v>
      </c>
      <c r="CL4">
        <f t="shared" si="6"/>
        <v>87</v>
      </c>
      <c r="CM4">
        <f t="shared" si="6"/>
        <v>88</v>
      </c>
      <c r="CN4">
        <f t="shared" si="6"/>
        <v>89</v>
      </c>
      <c r="CO4">
        <f t="shared" si="6"/>
        <v>90</v>
      </c>
      <c r="CP4">
        <f t="shared" si="6"/>
        <v>91</v>
      </c>
      <c r="CQ4">
        <f t="shared" si="6"/>
        <v>92</v>
      </c>
      <c r="CR4">
        <f t="shared" si="6"/>
        <v>93</v>
      </c>
      <c r="CS4">
        <f t="shared" si="6"/>
        <v>94</v>
      </c>
      <c r="CT4">
        <f t="shared" si="6"/>
        <v>95</v>
      </c>
      <c r="CU4">
        <f t="shared" si="6"/>
        <v>96</v>
      </c>
      <c r="CV4">
        <f t="shared" si="6"/>
        <v>97</v>
      </c>
      <c r="CW4">
        <f t="shared" si="6"/>
        <v>98</v>
      </c>
      <c r="CX4">
        <f t="shared" si="6"/>
        <v>99</v>
      </c>
      <c r="CY4">
        <f t="shared" si="6"/>
        <v>100</v>
      </c>
      <c r="CZ4">
        <f t="shared" si="6"/>
        <v>101</v>
      </c>
      <c r="DA4">
        <f t="shared" si="6"/>
        <v>102</v>
      </c>
      <c r="DB4">
        <f t="shared" si="6"/>
        <v>103</v>
      </c>
      <c r="DC4">
        <f t="shared" si="6"/>
        <v>104</v>
      </c>
      <c r="DD4">
        <f t="shared" si="6"/>
        <v>105</v>
      </c>
      <c r="DE4">
        <f t="shared" si="6"/>
        <v>106</v>
      </c>
      <c r="DF4">
        <f t="shared" si="6"/>
        <v>107</v>
      </c>
      <c r="DG4">
        <f t="shared" si="6"/>
        <v>108</v>
      </c>
      <c r="DH4">
        <f t="shared" si="6"/>
        <v>109</v>
      </c>
      <c r="DI4">
        <f t="shared" si="6"/>
        <v>110</v>
      </c>
      <c r="DJ4">
        <f t="shared" si="6"/>
        <v>111</v>
      </c>
      <c r="DK4">
        <f t="shared" si="6"/>
        <v>112</v>
      </c>
      <c r="DL4">
        <f t="shared" si="6"/>
        <v>113</v>
      </c>
      <c r="DM4">
        <f t="shared" si="6"/>
        <v>114</v>
      </c>
      <c r="DN4">
        <f t="shared" si="6"/>
        <v>115</v>
      </c>
      <c r="DO4">
        <f t="shared" si="6"/>
        <v>116</v>
      </c>
      <c r="DP4">
        <f t="shared" si="6"/>
        <v>117</v>
      </c>
      <c r="DQ4">
        <f t="shared" si="6"/>
        <v>118</v>
      </c>
      <c r="DR4">
        <f t="shared" si="6"/>
        <v>119</v>
      </c>
      <c r="DS4">
        <f t="shared" si="6"/>
        <v>120</v>
      </c>
      <c r="DT4">
        <f t="shared" si="6"/>
        <v>121</v>
      </c>
      <c r="DU4">
        <f t="shared" si="6"/>
        <v>122</v>
      </c>
      <c r="DV4">
        <f t="shared" si="6"/>
        <v>123</v>
      </c>
      <c r="DW4">
        <f t="shared" si="6"/>
        <v>124</v>
      </c>
      <c r="DX4">
        <f t="shared" si="6"/>
        <v>125</v>
      </c>
      <c r="DY4">
        <f t="shared" si="6"/>
        <v>126</v>
      </c>
      <c r="DZ4">
        <f t="shared" si="6"/>
        <v>127</v>
      </c>
      <c r="EA4">
        <f t="shared" si="6"/>
        <v>128</v>
      </c>
      <c r="EB4">
        <f t="shared" si="6"/>
        <v>129</v>
      </c>
      <c r="EC4">
        <f t="shared" ref="EC4:GN4" si="7">EB4+1</f>
        <v>130</v>
      </c>
      <c r="ED4">
        <f t="shared" si="7"/>
        <v>131</v>
      </c>
      <c r="EE4">
        <f t="shared" si="7"/>
        <v>132</v>
      </c>
      <c r="EF4">
        <f t="shared" si="7"/>
        <v>133</v>
      </c>
      <c r="EG4">
        <f t="shared" si="7"/>
        <v>134</v>
      </c>
      <c r="EH4">
        <f t="shared" si="7"/>
        <v>135</v>
      </c>
      <c r="EI4">
        <f t="shared" si="7"/>
        <v>136</v>
      </c>
      <c r="EJ4">
        <f t="shared" si="7"/>
        <v>137</v>
      </c>
      <c r="EK4">
        <f t="shared" si="7"/>
        <v>138</v>
      </c>
      <c r="EL4">
        <f t="shared" si="7"/>
        <v>139</v>
      </c>
      <c r="EM4">
        <f t="shared" si="7"/>
        <v>140</v>
      </c>
      <c r="EN4">
        <f t="shared" si="7"/>
        <v>141</v>
      </c>
      <c r="EO4">
        <f t="shared" si="7"/>
        <v>142</v>
      </c>
      <c r="EP4">
        <f t="shared" si="7"/>
        <v>143</v>
      </c>
      <c r="EQ4">
        <f t="shared" si="7"/>
        <v>144</v>
      </c>
      <c r="ER4">
        <f t="shared" si="7"/>
        <v>145</v>
      </c>
      <c r="ES4">
        <f t="shared" si="7"/>
        <v>146</v>
      </c>
      <c r="ET4">
        <f t="shared" si="7"/>
        <v>147</v>
      </c>
      <c r="EU4">
        <f t="shared" si="7"/>
        <v>148</v>
      </c>
      <c r="EV4">
        <f t="shared" si="7"/>
        <v>149</v>
      </c>
      <c r="EW4">
        <f t="shared" si="7"/>
        <v>150</v>
      </c>
      <c r="EX4">
        <f t="shared" si="7"/>
        <v>151</v>
      </c>
      <c r="EY4">
        <f t="shared" si="7"/>
        <v>152</v>
      </c>
      <c r="EZ4">
        <f t="shared" si="7"/>
        <v>153</v>
      </c>
      <c r="FA4">
        <f t="shared" si="7"/>
        <v>154</v>
      </c>
      <c r="FB4">
        <f t="shared" si="7"/>
        <v>155</v>
      </c>
      <c r="FC4">
        <f t="shared" si="7"/>
        <v>156</v>
      </c>
      <c r="FD4">
        <f t="shared" si="7"/>
        <v>157</v>
      </c>
      <c r="FE4">
        <f t="shared" si="7"/>
        <v>158</v>
      </c>
      <c r="FF4">
        <f t="shared" si="7"/>
        <v>159</v>
      </c>
      <c r="FG4">
        <f t="shared" si="7"/>
        <v>160</v>
      </c>
      <c r="FH4">
        <f t="shared" si="7"/>
        <v>161</v>
      </c>
      <c r="FI4">
        <f t="shared" si="7"/>
        <v>162</v>
      </c>
      <c r="FJ4">
        <f t="shared" si="7"/>
        <v>163</v>
      </c>
      <c r="FK4">
        <f t="shared" si="7"/>
        <v>164</v>
      </c>
      <c r="FL4">
        <f t="shared" si="7"/>
        <v>165</v>
      </c>
      <c r="FM4">
        <f t="shared" si="7"/>
        <v>166</v>
      </c>
      <c r="FN4">
        <f t="shared" si="7"/>
        <v>167</v>
      </c>
      <c r="FO4">
        <f t="shared" si="7"/>
        <v>168</v>
      </c>
      <c r="FP4">
        <f t="shared" si="7"/>
        <v>169</v>
      </c>
      <c r="FQ4">
        <f t="shared" si="7"/>
        <v>170</v>
      </c>
      <c r="FR4">
        <f t="shared" si="7"/>
        <v>171</v>
      </c>
      <c r="FS4">
        <f t="shared" si="7"/>
        <v>172</v>
      </c>
      <c r="FT4">
        <f t="shared" si="7"/>
        <v>173</v>
      </c>
      <c r="FU4">
        <f t="shared" si="7"/>
        <v>174</v>
      </c>
      <c r="FV4">
        <f t="shared" si="7"/>
        <v>175</v>
      </c>
      <c r="FW4">
        <f t="shared" si="7"/>
        <v>176</v>
      </c>
      <c r="FX4">
        <f t="shared" si="7"/>
        <v>177</v>
      </c>
      <c r="FY4">
        <f t="shared" si="7"/>
        <v>178</v>
      </c>
      <c r="FZ4">
        <f t="shared" si="7"/>
        <v>179</v>
      </c>
      <c r="GA4">
        <f t="shared" si="7"/>
        <v>180</v>
      </c>
      <c r="GB4">
        <f t="shared" si="7"/>
        <v>181</v>
      </c>
      <c r="GC4">
        <f t="shared" si="7"/>
        <v>182</v>
      </c>
      <c r="GD4">
        <f t="shared" si="7"/>
        <v>183</v>
      </c>
      <c r="GE4">
        <f t="shared" si="7"/>
        <v>184</v>
      </c>
      <c r="GF4">
        <f t="shared" si="7"/>
        <v>185</v>
      </c>
      <c r="GG4">
        <f t="shared" si="7"/>
        <v>186</v>
      </c>
      <c r="GH4">
        <f t="shared" si="7"/>
        <v>187</v>
      </c>
      <c r="GI4">
        <f t="shared" si="7"/>
        <v>188</v>
      </c>
      <c r="GJ4">
        <f t="shared" si="7"/>
        <v>189</v>
      </c>
      <c r="GK4">
        <f t="shared" si="7"/>
        <v>190</v>
      </c>
      <c r="GL4">
        <f t="shared" si="7"/>
        <v>191</v>
      </c>
      <c r="GM4">
        <f t="shared" si="7"/>
        <v>192</v>
      </c>
      <c r="GN4">
        <f t="shared" si="7"/>
        <v>193</v>
      </c>
      <c r="GO4">
        <f t="shared" ref="GO4:IZ4" si="8">GN4+1</f>
        <v>194</v>
      </c>
      <c r="GP4">
        <f t="shared" si="8"/>
        <v>195</v>
      </c>
      <c r="GQ4">
        <f t="shared" si="8"/>
        <v>196</v>
      </c>
      <c r="GR4">
        <f t="shared" si="8"/>
        <v>197</v>
      </c>
      <c r="GS4">
        <f t="shared" si="8"/>
        <v>198</v>
      </c>
      <c r="GT4">
        <f t="shared" si="8"/>
        <v>199</v>
      </c>
      <c r="GU4">
        <f t="shared" si="8"/>
        <v>200</v>
      </c>
      <c r="GV4">
        <f t="shared" si="8"/>
        <v>201</v>
      </c>
      <c r="GW4">
        <f t="shared" si="8"/>
        <v>202</v>
      </c>
      <c r="GX4">
        <f t="shared" si="8"/>
        <v>203</v>
      </c>
      <c r="GY4">
        <f t="shared" si="8"/>
        <v>204</v>
      </c>
      <c r="GZ4">
        <f t="shared" si="8"/>
        <v>205</v>
      </c>
      <c r="HA4">
        <f t="shared" si="8"/>
        <v>206</v>
      </c>
      <c r="HB4">
        <f t="shared" si="8"/>
        <v>207</v>
      </c>
      <c r="HC4">
        <f t="shared" si="8"/>
        <v>208</v>
      </c>
      <c r="HD4">
        <f t="shared" si="8"/>
        <v>209</v>
      </c>
      <c r="HE4">
        <f t="shared" si="8"/>
        <v>210</v>
      </c>
      <c r="HF4">
        <f t="shared" si="8"/>
        <v>211</v>
      </c>
      <c r="HG4">
        <f t="shared" si="8"/>
        <v>212</v>
      </c>
      <c r="HH4">
        <f t="shared" si="8"/>
        <v>213</v>
      </c>
      <c r="HI4">
        <f t="shared" si="8"/>
        <v>214</v>
      </c>
      <c r="HJ4">
        <f t="shared" si="8"/>
        <v>215</v>
      </c>
      <c r="HK4">
        <f t="shared" si="8"/>
        <v>216</v>
      </c>
      <c r="HL4">
        <f t="shared" si="8"/>
        <v>217</v>
      </c>
      <c r="HM4">
        <f t="shared" si="8"/>
        <v>218</v>
      </c>
      <c r="HN4">
        <f t="shared" si="8"/>
        <v>219</v>
      </c>
      <c r="HO4">
        <f t="shared" si="8"/>
        <v>220</v>
      </c>
      <c r="HP4">
        <f t="shared" si="8"/>
        <v>221</v>
      </c>
      <c r="HQ4">
        <f t="shared" si="8"/>
        <v>222</v>
      </c>
      <c r="HR4">
        <f t="shared" si="8"/>
        <v>223</v>
      </c>
      <c r="HS4">
        <f t="shared" si="8"/>
        <v>224</v>
      </c>
      <c r="HT4">
        <f t="shared" si="8"/>
        <v>225</v>
      </c>
      <c r="HU4">
        <f t="shared" si="8"/>
        <v>226</v>
      </c>
      <c r="HV4">
        <f t="shared" si="8"/>
        <v>227</v>
      </c>
      <c r="HW4">
        <f t="shared" si="8"/>
        <v>228</v>
      </c>
      <c r="HX4">
        <f t="shared" si="8"/>
        <v>229</v>
      </c>
      <c r="HY4">
        <f t="shared" si="8"/>
        <v>230</v>
      </c>
      <c r="HZ4">
        <f t="shared" si="8"/>
        <v>231</v>
      </c>
      <c r="IA4">
        <f t="shared" si="8"/>
        <v>232</v>
      </c>
      <c r="IB4">
        <f t="shared" si="8"/>
        <v>233</v>
      </c>
      <c r="IC4">
        <f t="shared" si="8"/>
        <v>234</v>
      </c>
      <c r="ID4">
        <f t="shared" si="8"/>
        <v>235</v>
      </c>
      <c r="IE4">
        <f t="shared" si="8"/>
        <v>236</v>
      </c>
      <c r="IF4">
        <f t="shared" si="8"/>
        <v>237</v>
      </c>
      <c r="IG4">
        <f t="shared" si="8"/>
        <v>238</v>
      </c>
      <c r="IH4">
        <f t="shared" si="8"/>
        <v>239</v>
      </c>
      <c r="II4">
        <f t="shared" si="8"/>
        <v>240</v>
      </c>
      <c r="IJ4">
        <f t="shared" si="8"/>
        <v>241</v>
      </c>
      <c r="IK4">
        <f t="shared" si="8"/>
        <v>242</v>
      </c>
      <c r="IL4">
        <f t="shared" si="8"/>
        <v>243</v>
      </c>
      <c r="IM4">
        <f t="shared" si="8"/>
        <v>244</v>
      </c>
      <c r="IN4">
        <f t="shared" si="8"/>
        <v>245</v>
      </c>
      <c r="IO4">
        <f t="shared" si="8"/>
        <v>246</v>
      </c>
      <c r="IP4">
        <f t="shared" si="8"/>
        <v>247</v>
      </c>
      <c r="IQ4">
        <f t="shared" si="8"/>
        <v>248</v>
      </c>
      <c r="IR4">
        <f t="shared" si="8"/>
        <v>249</v>
      </c>
      <c r="IS4">
        <f t="shared" si="8"/>
        <v>250</v>
      </c>
      <c r="IT4">
        <f t="shared" si="8"/>
        <v>251</v>
      </c>
      <c r="IU4">
        <f t="shared" si="8"/>
        <v>252</v>
      </c>
      <c r="IV4">
        <f t="shared" si="8"/>
        <v>253</v>
      </c>
      <c r="IW4">
        <f t="shared" si="8"/>
        <v>254</v>
      </c>
      <c r="IX4">
        <f t="shared" si="8"/>
        <v>255</v>
      </c>
      <c r="IY4">
        <f t="shared" si="8"/>
        <v>256</v>
      </c>
      <c r="IZ4">
        <f t="shared" si="8"/>
        <v>257</v>
      </c>
      <c r="JA4">
        <f t="shared" ref="JA4:KQ4" si="9">IZ4+1</f>
        <v>258</v>
      </c>
      <c r="JB4">
        <f t="shared" si="9"/>
        <v>259</v>
      </c>
      <c r="JC4">
        <f t="shared" si="9"/>
        <v>260</v>
      </c>
      <c r="JD4">
        <f t="shared" si="9"/>
        <v>261</v>
      </c>
      <c r="JE4">
        <f t="shared" si="9"/>
        <v>262</v>
      </c>
      <c r="JF4">
        <f t="shared" si="9"/>
        <v>263</v>
      </c>
      <c r="JG4">
        <f t="shared" si="9"/>
        <v>264</v>
      </c>
      <c r="JH4">
        <f t="shared" si="9"/>
        <v>265</v>
      </c>
      <c r="JI4">
        <f t="shared" si="9"/>
        <v>266</v>
      </c>
      <c r="JJ4">
        <f t="shared" si="9"/>
        <v>267</v>
      </c>
      <c r="JK4">
        <f t="shared" si="9"/>
        <v>268</v>
      </c>
      <c r="JL4">
        <f t="shared" si="9"/>
        <v>269</v>
      </c>
      <c r="JM4">
        <f t="shared" si="9"/>
        <v>270</v>
      </c>
      <c r="JN4">
        <f t="shared" si="9"/>
        <v>271</v>
      </c>
      <c r="JO4">
        <f t="shared" si="9"/>
        <v>272</v>
      </c>
      <c r="JP4">
        <f t="shared" si="9"/>
        <v>273</v>
      </c>
      <c r="JQ4">
        <f t="shared" si="9"/>
        <v>274</v>
      </c>
      <c r="JR4">
        <f t="shared" si="9"/>
        <v>275</v>
      </c>
      <c r="JS4">
        <f t="shared" si="9"/>
        <v>276</v>
      </c>
      <c r="JT4">
        <f t="shared" si="9"/>
        <v>277</v>
      </c>
      <c r="JU4">
        <f t="shared" si="9"/>
        <v>278</v>
      </c>
      <c r="JV4">
        <f t="shared" si="9"/>
        <v>279</v>
      </c>
      <c r="JW4">
        <f t="shared" si="9"/>
        <v>280</v>
      </c>
      <c r="JX4">
        <f t="shared" si="9"/>
        <v>281</v>
      </c>
      <c r="JY4">
        <f t="shared" si="9"/>
        <v>282</v>
      </c>
      <c r="JZ4">
        <f t="shared" si="9"/>
        <v>283</v>
      </c>
      <c r="KA4">
        <f t="shared" si="9"/>
        <v>284</v>
      </c>
      <c r="KB4">
        <f t="shared" si="9"/>
        <v>285</v>
      </c>
      <c r="KC4">
        <f t="shared" si="9"/>
        <v>286</v>
      </c>
      <c r="KD4">
        <f t="shared" si="9"/>
        <v>287</v>
      </c>
      <c r="KE4">
        <f t="shared" si="9"/>
        <v>288</v>
      </c>
      <c r="KF4">
        <f t="shared" si="9"/>
        <v>289</v>
      </c>
      <c r="KG4">
        <f t="shared" si="9"/>
        <v>290</v>
      </c>
      <c r="KH4">
        <f t="shared" si="9"/>
        <v>291</v>
      </c>
      <c r="KI4">
        <f t="shared" si="9"/>
        <v>292</v>
      </c>
      <c r="KJ4">
        <f t="shared" si="9"/>
        <v>293</v>
      </c>
      <c r="KK4">
        <f t="shared" si="9"/>
        <v>294</v>
      </c>
      <c r="KL4">
        <f t="shared" si="9"/>
        <v>295</v>
      </c>
      <c r="KM4">
        <f t="shared" si="9"/>
        <v>296</v>
      </c>
      <c r="KN4">
        <f t="shared" si="9"/>
        <v>297</v>
      </c>
      <c r="KO4">
        <f t="shared" si="9"/>
        <v>298</v>
      </c>
      <c r="KP4">
        <f t="shared" si="9"/>
        <v>299</v>
      </c>
      <c r="KQ4">
        <f t="shared" si="9"/>
        <v>300</v>
      </c>
    </row>
    <row r="5" spans="2:303" x14ac:dyDescent="0.35">
      <c r="B5" s="233"/>
      <c r="C5" s="234"/>
      <c r="D5" s="235">
        <f t="shared" ref="D5:BO5" si="10">MONTH(D6)</f>
        <v>7</v>
      </c>
      <c r="E5" s="235">
        <f t="shared" si="10"/>
        <v>8</v>
      </c>
      <c r="F5" s="235">
        <f t="shared" si="10"/>
        <v>9</v>
      </c>
      <c r="G5" s="235">
        <f t="shared" si="10"/>
        <v>10</v>
      </c>
      <c r="H5" s="235">
        <f t="shared" si="10"/>
        <v>11</v>
      </c>
      <c r="I5" s="235">
        <f t="shared" si="10"/>
        <v>12</v>
      </c>
      <c r="J5" s="235">
        <f t="shared" si="10"/>
        <v>1</v>
      </c>
      <c r="K5" s="235">
        <f t="shared" si="10"/>
        <v>2</v>
      </c>
      <c r="L5" s="235">
        <f t="shared" si="10"/>
        <v>3</v>
      </c>
      <c r="M5" s="235">
        <f t="shared" si="10"/>
        <v>4</v>
      </c>
      <c r="N5" s="235">
        <f t="shared" si="10"/>
        <v>5</v>
      </c>
      <c r="O5" s="235">
        <f t="shared" si="10"/>
        <v>6</v>
      </c>
      <c r="P5" s="235">
        <f t="shared" si="10"/>
        <v>7</v>
      </c>
      <c r="Q5" s="235">
        <f t="shared" si="10"/>
        <v>8</v>
      </c>
      <c r="R5" s="235">
        <f t="shared" si="10"/>
        <v>9</v>
      </c>
      <c r="S5" s="235">
        <f t="shared" si="10"/>
        <v>10</v>
      </c>
      <c r="T5" s="235">
        <f t="shared" si="10"/>
        <v>11</v>
      </c>
      <c r="U5" s="235">
        <f t="shared" si="10"/>
        <v>12</v>
      </c>
      <c r="V5" s="235">
        <f t="shared" si="10"/>
        <v>1</v>
      </c>
      <c r="W5" s="235">
        <f t="shared" si="10"/>
        <v>2</v>
      </c>
      <c r="X5" s="235">
        <f t="shared" si="10"/>
        <v>3</v>
      </c>
      <c r="Y5" s="235">
        <f t="shared" si="10"/>
        <v>4</v>
      </c>
      <c r="Z5" s="235">
        <f t="shared" si="10"/>
        <v>5</v>
      </c>
      <c r="AA5" s="235">
        <f t="shared" si="10"/>
        <v>6</v>
      </c>
      <c r="AB5" s="235">
        <f t="shared" si="10"/>
        <v>7</v>
      </c>
      <c r="AC5" s="235">
        <f t="shared" si="10"/>
        <v>8</v>
      </c>
      <c r="AD5" s="235">
        <f t="shared" si="10"/>
        <v>9</v>
      </c>
      <c r="AE5" s="235">
        <f t="shared" si="10"/>
        <v>10</v>
      </c>
      <c r="AF5" s="235">
        <f t="shared" si="10"/>
        <v>11</v>
      </c>
      <c r="AG5" s="235">
        <f t="shared" si="10"/>
        <v>12</v>
      </c>
      <c r="AH5" s="235">
        <f t="shared" si="10"/>
        <v>1</v>
      </c>
      <c r="AI5" s="235">
        <f t="shared" si="10"/>
        <v>2</v>
      </c>
      <c r="AJ5" s="235">
        <f t="shared" si="10"/>
        <v>3</v>
      </c>
      <c r="AK5" s="235">
        <f t="shared" si="10"/>
        <v>4</v>
      </c>
      <c r="AL5" s="235">
        <f t="shared" si="10"/>
        <v>5</v>
      </c>
      <c r="AM5" s="235">
        <f t="shared" si="10"/>
        <v>6</v>
      </c>
      <c r="AN5" s="235">
        <f t="shared" si="10"/>
        <v>7</v>
      </c>
      <c r="AO5" s="235">
        <f t="shared" si="10"/>
        <v>8</v>
      </c>
      <c r="AP5" s="235">
        <f t="shared" si="10"/>
        <v>9</v>
      </c>
      <c r="AQ5" s="235">
        <f t="shared" si="10"/>
        <v>10</v>
      </c>
      <c r="AR5" s="235">
        <f t="shared" si="10"/>
        <v>11</v>
      </c>
      <c r="AS5" s="235">
        <f t="shared" si="10"/>
        <v>12</v>
      </c>
      <c r="AT5" s="235">
        <f t="shared" si="10"/>
        <v>1</v>
      </c>
      <c r="AU5" s="235">
        <f t="shared" si="10"/>
        <v>2</v>
      </c>
      <c r="AV5" s="235">
        <f t="shared" si="10"/>
        <v>3</v>
      </c>
      <c r="AW5" s="235">
        <f t="shared" si="10"/>
        <v>4</v>
      </c>
      <c r="AX5" s="235">
        <f t="shared" si="10"/>
        <v>5</v>
      </c>
      <c r="AY5" s="235">
        <f t="shared" si="10"/>
        <v>6</v>
      </c>
      <c r="AZ5" s="235">
        <f t="shared" si="10"/>
        <v>7</v>
      </c>
      <c r="BA5" s="235">
        <f t="shared" si="10"/>
        <v>8</v>
      </c>
      <c r="BB5" s="235">
        <f t="shared" si="10"/>
        <v>9</v>
      </c>
      <c r="BC5" s="235">
        <f t="shared" si="10"/>
        <v>10</v>
      </c>
      <c r="BD5" s="235">
        <f t="shared" si="10"/>
        <v>11</v>
      </c>
      <c r="BE5" s="235">
        <f t="shared" si="10"/>
        <v>12</v>
      </c>
      <c r="BF5" s="235">
        <f t="shared" si="10"/>
        <v>1</v>
      </c>
      <c r="BG5" s="235">
        <f t="shared" si="10"/>
        <v>2</v>
      </c>
      <c r="BH5" s="235">
        <f t="shared" si="10"/>
        <v>3</v>
      </c>
      <c r="BI5" s="235">
        <f t="shared" si="10"/>
        <v>4</v>
      </c>
      <c r="BJ5" s="235">
        <f t="shared" si="10"/>
        <v>5</v>
      </c>
      <c r="BK5" s="235">
        <f t="shared" si="10"/>
        <v>6</v>
      </c>
      <c r="BL5" s="235">
        <f t="shared" si="10"/>
        <v>7</v>
      </c>
      <c r="BM5" s="235">
        <f t="shared" si="10"/>
        <v>8</v>
      </c>
      <c r="BN5" s="235">
        <f t="shared" si="10"/>
        <v>9</v>
      </c>
      <c r="BO5" s="235">
        <f t="shared" si="10"/>
        <v>10</v>
      </c>
      <c r="BP5" s="235">
        <f t="shared" ref="BP5:EA5" si="11">MONTH(BP6)</f>
        <v>11</v>
      </c>
      <c r="BQ5" s="235">
        <f t="shared" si="11"/>
        <v>12</v>
      </c>
      <c r="BR5" s="235">
        <f t="shared" si="11"/>
        <v>1</v>
      </c>
      <c r="BS5" s="235">
        <f t="shared" si="11"/>
        <v>2</v>
      </c>
      <c r="BT5" s="235">
        <f t="shared" si="11"/>
        <v>3</v>
      </c>
      <c r="BU5" s="235">
        <f t="shared" si="11"/>
        <v>4</v>
      </c>
      <c r="BV5" s="235">
        <f t="shared" si="11"/>
        <v>5</v>
      </c>
      <c r="BW5" s="235">
        <f t="shared" si="11"/>
        <v>6</v>
      </c>
      <c r="BX5" s="235">
        <f t="shared" si="11"/>
        <v>7</v>
      </c>
      <c r="BY5" s="235">
        <f t="shared" si="11"/>
        <v>8</v>
      </c>
      <c r="BZ5" s="235">
        <f t="shared" si="11"/>
        <v>9</v>
      </c>
      <c r="CA5" s="235">
        <f t="shared" si="11"/>
        <v>10</v>
      </c>
      <c r="CB5" s="235">
        <f t="shared" si="11"/>
        <v>11</v>
      </c>
      <c r="CC5" s="235">
        <f t="shared" si="11"/>
        <v>12</v>
      </c>
      <c r="CD5" s="235">
        <f t="shared" si="11"/>
        <v>1</v>
      </c>
      <c r="CE5" s="235">
        <f t="shared" si="11"/>
        <v>2</v>
      </c>
      <c r="CF5" s="235">
        <f t="shared" si="11"/>
        <v>3</v>
      </c>
      <c r="CG5" s="235">
        <f t="shared" si="11"/>
        <v>4</v>
      </c>
      <c r="CH5" s="235">
        <f t="shared" si="11"/>
        <v>5</v>
      </c>
      <c r="CI5" s="235">
        <f t="shared" si="11"/>
        <v>6</v>
      </c>
      <c r="CJ5" s="235">
        <f t="shared" si="11"/>
        <v>7</v>
      </c>
      <c r="CK5" s="235">
        <f t="shared" si="11"/>
        <v>8</v>
      </c>
      <c r="CL5" s="235">
        <f t="shared" si="11"/>
        <v>9</v>
      </c>
      <c r="CM5" s="235">
        <f t="shared" si="11"/>
        <v>10</v>
      </c>
      <c r="CN5" s="235">
        <f t="shared" si="11"/>
        <v>11</v>
      </c>
      <c r="CO5" s="235">
        <f t="shared" si="11"/>
        <v>12</v>
      </c>
      <c r="CP5" s="235">
        <f t="shared" si="11"/>
        <v>1</v>
      </c>
      <c r="CQ5" s="235">
        <f t="shared" si="11"/>
        <v>2</v>
      </c>
      <c r="CR5" s="235">
        <f t="shared" si="11"/>
        <v>3</v>
      </c>
      <c r="CS5" s="235">
        <f t="shared" si="11"/>
        <v>4</v>
      </c>
      <c r="CT5" s="235">
        <f t="shared" si="11"/>
        <v>5</v>
      </c>
      <c r="CU5" s="235">
        <f t="shared" si="11"/>
        <v>6</v>
      </c>
      <c r="CV5" s="235">
        <f t="shared" si="11"/>
        <v>7</v>
      </c>
      <c r="CW5" s="235">
        <f t="shared" si="11"/>
        <v>8</v>
      </c>
      <c r="CX5" s="235">
        <f t="shared" si="11"/>
        <v>9</v>
      </c>
      <c r="CY5" s="235">
        <f t="shared" si="11"/>
        <v>10</v>
      </c>
      <c r="CZ5" s="235">
        <f t="shared" si="11"/>
        <v>11</v>
      </c>
      <c r="DA5" s="235">
        <f t="shared" si="11"/>
        <v>12</v>
      </c>
      <c r="DB5" s="235">
        <f t="shared" si="11"/>
        <v>1</v>
      </c>
      <c r="DC5" s="235">
        <f t="shared" si="11"/>
        <v>2</v>
      </c>
      <c r="DD5" s="235">
        <f t="shared" si="11"/>
        <v>3</v>
      </c>
      <c r="DE5" s="235">
        <f t="shared" si="11"/>
        <v>4</v>
      </c>
      <c r="DF5" s="235">
        <f t="shared" si="11"/>
        <v>5</v>
      </c>
      <c r="DG5" s="235">
        <f t="shared" si="11"/>
        <v>6</v>
      </c>
      <c r="DH5" s="235">
        <f t="shared" si="11"/>
        <v>7</v>
      </c>
      <c r="DI5" s="235">
        <f t="shared" si="11"/>
        <v>8</v>
      </c>
      <c r="DJ5" s="235">
        <f t="shared" si="11"/>
        <v>9</v>
      </c>
      <c r="DK5" s="235">
        <f t="shared" si="11"/>
        <v>10</v>
      </c>
      <c r="DL5" s="235">
        <f t="shared" si="11"/>
        <v>11</v>
      </c>
      <c r="DM5" s="235">
        <f t="shared" si="11"/>
        <v>12</v>
      </c>
      <c r="DN5" s="235">
        <f t="shared" si="11"/>
        <v>1</v>
      </c>
      <c r="DO5" s="235">
        <f t="shared" si="11"/>
        <v>2</v>
      </c>
      <c r="DP5" s="235">
        <f t="shared" si="11"/>
        <v>3</v>
      </c>
      <c r="DQ5" s="235">
        <f t="shared" si="11"/>
        <v>4</v>
      </c>
      <c r="DR5" s="235">
        <f t="shared" si="11"/>
        <v>5</v>
      </c>
      <c r="DS5" s="235">
        <f t="shared" si="11"/>
        <v>6</v>
      </c>
      <c r="DT5" s="235">
        <f t="shared" si="11"/>
        <v>7</v>
      </c>
      <c r="DU5" s="235">
        <f t="shared" si="11"/>
        <v>8</v>
      </c>
      <c r="DV5" s="235">
        <f t="shared" si="11"/>
        <v>9</v>
      </c>
      <c r="DW5" s="235">
        <f t="shared" si="11"/>
        <v>10</v>
      </c>
      <c r="DX5" s="235">
        <f t="shared" si="11"/>
        <v>11</v>
      </c>
      <c r="DY5" s="235">
        <f t="shared" si="11"/>
        <v>12</v>
      </c>
      <c r="DZ5" s="235">
        <f t="shared" si="11"/>
        <v>1</v>
      </c>
      <c r="EA5" s="235">
        <f t="shared" si="11"/>
        <v>2</v>
      </c>
      <c r="EB5" s="235">
        <f t="shared" ref="EB5:GM5" si="12">MONTH(EB6)</f>
        <v>3</v>
      </c>
      <c r="EC5" s="235">
        <f t="shared" si="12"/>
        <v>4</v>
      </c>
      <c r="ED5" s="235">
        <f t="shared" si="12"/>
        <v>5</v>
      </c>
      <c r="EE5" s="235">
        <f t="shared" si="12"/>
        <v>6</v>
      </c>
      <c r="EF5" s="235">
        <f t="shared" si="12"/>
        <v>7</v>
      </c>
      <c r="EG5" s="235">
        <f t="shared" si="12"/>
        <v>8</v>
      </c>
      <c r="EH5" s="235">
        <f t="shared" si="12"/>
        <v>9</v>
      </c>
      <c r="EI5" s="235">
        <f t="shared" si="12"/>
        <v>10</v>
      </c>
      <c r="EJ5" s="235">
        <f t="shared" si="12"/>
        <v>11</v>
      </c>
      <c r="EK5" s="235">
        <f t="shared" si="12"/>
        <v>12</v>
      </c>
      <c r="EL5" s="235">
        <f t="shared" si="12"/>
        <v>1</v>
      </c>
      <c r="EM5" s="235">
        <f t="shared" si="12"/>
        <v>2</v>
      </c>
      <c r="EN5" s="235">
        <f t="shared" si="12"/>
        <v>3</v>
      </c>
      <c r="EO5" s="235">
        <f t="shared" si="12"/>
        <v>4</v>
      </c>
      <c r="EP5" s="235">
        <f t="shared" si="12"/>
        <v>5</v>
      </c>
      <c r="EQ5" s="235">
        <f t="shared" si="12"/>
        <v>6</v>
      </c>
      <c r="ER5" s="235">
        <f t="shared" si="12"/>
        <v>7</v>
      </c>
      <c r="ES5" s="235">
        <f t="shared" si="12"/>
        <v>8</v>
      </c>
      <c r="ET5" s="235">
        <f t="shared" si="12"/>
        <v>9</v>
      </c>
      <c r="EU5" s="235">
        <f t="shared" si="12"/>
        <v>10</v>
      </c>
      <c r="EV5" s="235">
        <f t="shared" si="12"/>
        <v>11</v>
      </c>
      <c r="EW5" s="235">
        <f t="shared" si="12"/>
        <v>12</v>
      </c>
      <c r="EX5" s="235">
        <f t="shared" si="12"/>
        <v>1</v>
      </c>
      <c r="EY5" s="235">
        <f t="shared" si="12"/>
        <v>2</v>
      </c>
      <c r="EZ5" s="235">
        <f t="shared" si="12"/>
        <v>3</v>
      </c>
      <c r="FA5" s="235">
        <f t="shared" si="12"/>
        <v>4</v>
      </c>
      <c r="FB5" s="235">
        <f t="shared" si="12"/>
        <v>5</v>
      </c>
      <c r="FC5" s="235">
        <f t="shared" si="12"/>
        <v>6</v>
      </c>
      <c r="FD5" s="235">
        <f t="shared" si="12"/>
        <v>7</v>
      </c>
      <c r="FE5" s="235">
        <f t="shared" si="12"/>
        <v>8</v>
      </c>
      <c r="FF5" s="235">
        <f t="shared" si="12"/>
        <v>9</v>
      </c>
      <c r="FG5" s="235">
        <f t="shared" si="12"/>
        <v>10</v>
      </c>
      <c r="FH5" s="235">
        <f t="shared" si="12"/>
        <v>11</v>
      </c>
      <c r="FI5" s="235">
        <f t="shared" si="12"/>
        <v>12</v>
      </c>
      <c r="FJ5" s="235">
        <f t="shared" si="12"/>
        <v>1</v>
      </c>
      <c r="FK5" s="235">
        <f t="shared" si="12"/>
        <v>2</v>
      </c>
      <c r="FL5" s="235">
        <f t="shared" si="12"/>
        <v>3</v>
      </c>
      <c r="FM5" s="235">
        <f t="shared" si="12"/>
        <v>4</v>
      </c>
      <c r="FN5" s="235">
        <f t="shared" si="12"/>
        <v>5</v>
      </c>
      <c r="FO5" s="235">
        <f t="shared" si="12"/>
        <v>6</v>
      </c>
      <c r="FP5" s="235">
        <f t="shared" si="12"/>
        <v>7</v>
      </c>
      <c r="FQ5" s="235">
        <f t="shared" si="12"/>
        <v>8</v>
      </c>
      <c r="FR5" s="235">
        <f t="shared" si="12"/>
        <v>9</v>
      </c>
      <c r="FS5" s="235">
        <f t="shared" si="12"/>
        <v>10</v>
      </c>
      <c r="FT5" s="235">
        <f t="shared" si="12"/>
        <v>11</v>
      </c>
      <c r="FU5" s="235">
        <f t="shared" si="12"/>
        <v>12</v>
      </c>
      <c r="FV5" s="235">
        <f t="shared" si="12"/>
        <v>1</v>
      </c>
      <c r="FW5" s="235">
        <f t="shared" si="12"/>
        <v>2</v>
      </c>
      <c r="FX5" s="235">
        <f t="shared" si="12"/>
        <v>3</v>
      </c>
      <c r="FY5" s="235">
        <f t="shared" si="12"/>
        <v>4</v>
      </c>
      <c r="FZ5" s="235">
        <f t="shared" si="12"/>
        <v>5</v>
      </c>
      <c r="GA5" s="235">
        <f t="shared" si="12"/>
        <v>6</v>
      </c>
      <c r="GB5" s="235">
        <f t="shared" si="12"/>
        <v>7</v>
      </c>
      <c r="GC5" s="235">
        <f t="shared" si="12"/>
        <v>8</v>
      </c>
      <c r="GD5" s="235">
        <f t="shared" si="12"/>
        <v>9</v>
      </c>
      <c r="GE5" s="235">
        <f t="shared" si="12"/>
        <v>10</v>
      </c>
      <c r="GF5" s="235">
        <f t="shared" si="12"/>
        <v>11</v>
      </c>
      <c r="GG5" s="235">
        <f t="shared" si="12"/>
        <v>12</v>
      </c>
      <c r="GH5" s="235">
        <f t="shared" si="12"/>
        <v>1</v>
      </c>
      <c r="GI5" s="235">
        <f t="shared" si="12"/>
        <v>2</v>
      </c>
      <c r="GJ5" s="235">
        <f t="shared" si="12"/>
        <v>3</v>
      </c>
      <c r="GK5" s="235">
        <f t="shared" si="12"/>
        <v>4</v>
      </c>
      <c r="GL5" s="235">
        <f t="shared" si="12"/>
        <v>5</v>
      </c>
      <c r="GM5" s="235">
        <f t="shared" si="12"/>
        <v>6</v>
      </c>
      <c r="GN5" s="235">
        <f t="shared" ref="GN5:IY5" si="13">MONTH(GN6)</f>
        <v>7</v>
      </c>
      <c r="GO5" s="235">
        <f t="shared" si="13"/>
        <v>8</v>
      </c>
      <c r="GP5" s="235">
        <f t="shared" si="13"/>
        <v>9</v>
      </c>
      <c r="GQ5" s="235">
        <f t="shared" si="13"/>
        <v>10</v>
      </c>
      <c r="GR5" s="235">
        <f t="shared" si="13"/>
        <v>11</v>
      </c>
      <c r="GS5" s="235">
        <f t="shared" si="13"/>
        <v>12</v>
      </c>
      <c r="GT5" s="235">
        <f t="shared" si="13"/>
        <v>1</v>
      </c>
      <c r="GU5" s="235">
        <f t="shared" si="13"/>
        <v>2</v>
      </c>
      <c r="GV5" s="235">
        <f t="shared" si="13"/>
        <v>3</v>
      </c>
      <c r="GW5" s="235">
        <f t="shared" si="13"/>
        <v>4</v>
      </c>
      <c r="GX5" s="235">
        <f t="shared" si="13"/>
        <v>5</v>
      </c>
      <c r="GY5" s="235">
        <f t="shared" si="13"/>
        <v>6</v>
      </c>
      <c r="GZ5" s="235">
        <f t="shared" si="13"/>
        <v>7</v>
      </c>
      <c r="HA5" s="235">
        <f t="shared" si="13"/>
        <v>8</v>
      </c>
      <c r="HB5" s="235">
        <f t="shared" si="13"/>
        <v>9</v>
      </c>
      <c r="HC5" s="235">
        <f t="shared" si="13"/>
        <v>10</v>
      </c>
      <c r="HD5" s="235">
        <f t="shared" si="13"/>
        <v>11</v>
      </c>
      <c r="HE5" s="235">
        <f t="shared" si="13"/>
        <v>12</v>
      </c>
      <c r="HF5" s="235">
        <f t="shared" si="13"/>
        <v>1</v>
      </c>
      <c r="HG5" s="235">
        <f t="shared" si="13"/>
        <v>2</v>
      </c>
      <c r="HH5" s="235">
        <f t="shared" si="13"/>
        <v>3</v>
      </c>
      <c r="HI5" s="235">
        <f t="shared" si="13"/>
        <v>4</v>
      </c>
      <c r="HJ5" s="235">
        <f t="shared" si="13"/>
        <v>5</v>
      </c>
      <c r="HK5" s="235">
        <f t="shared" si="13"/>
        <v>6</v>
      </c>
      <c r="HL5" s="235">
        <f t="shared" si="13"/>
        <v>7</v>
      </c>
      <c r="HM5" s="235">
        <f t="shared" si="13"/>
        <v>8</v>
      </c>
      <c r="HN5" s="235">
        <f t="shared" si="13"/>
        <v>9</v>
      </c>
      <c r="HO5" s="235">
        <f t="shared" si="13"/>
        <v>10</v>
      </c>
      <c r="HP5" s="235">
        <f t="shared" si="13"/>
        <v>11</v>
      </c>
      <c r="HQ5" s="235">
        <f t="shared" si="13"/>
        <v>12</v>
      </c>
      <c r="HR5" s="235">
        <f t="shared" si="13"/>
        <v>1</v>
      </c>
      <c r="HS5" s="235">
        <f t="shared" si="13"/>
        <v>2</v>
      </c>
      <c r="HT5" s="235">
        <f t="shared" si="13"/>
        <v>3</v>
      </c>
      <c r="HU5" s="235">
        <f t="shared" si="13"/>
        <v>4</v>
      </c>
      <c r="HV5" s="235">
        <f t="shared" si="13"/>
        <v>5</v>
      </c>
      <c r="HW5" s="235">
        <f t="shared" si="13"/>
        <v>6</v>
      </c>
      <c r="HX5" s="235">
        <f t="shared" si="13"/>
        <v>7</v>
      </c>
      <c r="HY5" s="235">
        <f t="shared" si="13"/>
        <v>8</v>
      </c>
      <c r="HZ5" s="235">
        <f t="shared" si="13"/>
        <v>9</v>
      </c>
      <c r="IA5" s="235">
        <f t="shared" si="13"/>
        <v>10</v>
      </c>
      <c r="IB5" s="235">
        <f t="shared" si="13"/>
        <v>11</v>
      </c>
      <c r="IC5" s="235">
        <f t="shared" si="13"/>
        <v>12</v>
      </c>
      <c r="ID5" s="235">
        <f t="shared" si="13"/>
        <v>1</v>
      </c>
      <c r="IE5" s="235">
        <f t="shared" si="13"/>
        <v>2</v>
      </c>
      <c r="IF5" s="235">
        <f t="shared" si="13"/>
        <v>3</v>
      </c>
      <c r="IG5" s="235">
        <f t="shared" si="13"/>
        <v>4</v>
      </c>
      <c r="IH5" s="235">
        <f t="shared" si="13"/>
        <v>5</v>
      </c>
      <c r="II5" s="235">
        <f t="shared" si="13"/>
        <v>6</v>
      </c>
      <c r="IJ5" s="235">
        <f t="shared" si="13"/>
        <v>7</v>
      </c>
      <c r="IK5" s="235">
        <f t="shared" si="13"/>
        <v>8</v>
      </c>
      <c r="IL5" s="235">
        <f t="shared" si="13"/>
        <v>9</v>
      </c>
      <c r="IM5" s="235">
        <f t="shared" si="13"/>
        <v>10</v>
      </c>
      <c r="IN5" s="235">
        <f t="shared" si="13"/>
        <v>11</v>
      </c>
      <c r="IO5" s="235">
        <f t="shared" si="13"/>
        <v>12</v>
      </c>
      <c r="IP5" s="235">
        <f t="shared" si="13"/>
        <v>1</v>
      </c>
      <c r="IQ5" s="235">
        <f t="shared" si="13"/>
        <v>2</v>
      </c>
      <c r="IR5" s="235">
        <f t="shared" si="13"/>
        <v>3</v>
      </c>
      <c r="IS5" s="235">
        <f t="shared" si="13"/>
        <v>4</v>
      </c>
      <c r="IT5" s="235">
        <f t="shared" si="13"/>
        <v>5</v>
      </c>
      <c r="IU5" s="235">
        <f t="shared" si="13"/>
        <v>6</v>
      </c>
      <c r="IV5" s="235">
        <f t="shared" si="13"/>
        <v>7</v>
      </c>
      <c r="IW5" s="235">
        <f t="shared" si="13"/>
        <v>8</v>
      </c>
      <c r="IX5" s="235">
        <f t="shared" si="13"/>
        <v>9</v>
      </c>
      <c r="IY5" s="235">
        <f t="shared" si="13"/>
        <v>10</v>
      </c>
      <c r="IZ5" s="235">
        <f t="shared" ref="IZ5:KQ5" si="14">MONTH(IZ6)</f>
        <v>11</v>
      </c>
      <c r="JA5" s="235">
        <f t="shared" si="14"/>
        <v>12</v>
      </c>
      <c r="JB5" s="235">
        <f t="shared" si="14"/>
        <v>1</v>
      </c>
      <c r="JC5" s="235">
        <f t="shared" si="14"/>
        <v>2</v>
      </c>
      <c r="JD5" s="235">
        <f t="shared" si="14"/>
        <v>3</v>
      </c>
      <c r="JE5" s="235">
        <f t="shared" si="14"/>
        <v>4</v>
      </c>
      <c r="JF5" s="235">
        <f t="shared" si="14"/>
        <v>5</v>
      </c>
      <c r="JG5" s="235">
        <f t="shared" si="14"/>
        <v>6</v>
      </c>
      <c r="JH5" s="235">
        <f t="shared" si="14"/>
        <v>7</v>
      </c>
      <c r="JI5" s="235">
        <f t="shared" si="14"/>
        <v>8</v>
      </c>
      <c r="JJ5" s="235">
        <f t="shared" si="14"/>
        <v>9</v>
      </c>
      <c r="JK5" s="235">
        <f t="shared" si="14"/>
        <v>10</v>
      </c>
      <c r="JL5" s="235">
        <f t="shared" si="14"/>
        <v>11</v>
      </c>
      <c r="JM5" s="235">
        <f t="shared" si="14"/>
        <v>12</v>
      </c>
      <c r="JN5" s="235">
        <f t="shared" si="14"/>
        <v>1</v>
      </c>
      <c r="JO5" s="235">
        <f t="shared" si="14"/>
        <v>2</v>
      </c>
      <c r="JP5" s="235">
        <f t="shared" si="14"/>
        <v>3</v>
      </c>
      <c r="JQ5" s="235">
        <f t="shared" si="14"/>
        <v>4</v>
      </c>
      <c r="JR5" s="235">
        <f t="shared" si="14"/>
        <v>5</v>
      </c>
      <c r="JS5" s="235">
        <f t="shared" si="14"/>
        <v>6</v>
      </c>
      <c r="JT5" s="235">
        <f t="shared" si="14"/>
        <v>7</v>
      </c>
      <c r="JU5" s="235">
        <f t="shared" si="14"/>
        <v>8</v>
      </c>
      <c r="JV5" s="235">
        <f t="shared" si="14"/>
        <v>9</v>
      </c>
      <c r="JW5" s="235">
        <f t="shared" si="14"/>
        <v>10</v>
      </c>
      <c r="JX5" s="235">
        <f t="shared" si="14"/>
        <v>11</v>
      </c>
      <c r="JY5" s="235">
        <f t="shared" si="14"/>
        <v>12</v>
      </c>
      <c r="JZ5" s="235">
        <f t="shared" si="14"/>
        <v>1</v>
      </c>
      <c r="KA5" s="235">
        <f t="shared" si="14"/>
        <v>2</v>
      </c>
      <c r="KB5" s="235">
        <f t="shared" si="14"/>
        <v>3</v>
      </c>
      <c r="KC5" s="235">
        <f t="shared" si="14"/>
        <v>4</v>
      </c>
      <c r="KD5" s="235">
        <f t="shared" si="14"/>
        <v>5</v>
      </c>
      <c r="KE5" s="235">
        <f t="shared" si="14"/>
        <v>6</v>
      </c>
      <c r="KF5" s="235">
        <f t="shared" si="14"/>
        <v>7</v>
      </c>
      <c r="KG5" s="235">
        <f t="shared" si="14"/>
        <v>8</v>
      </c>
      <c r="KH5" s="235">
        <f t="shared" si="14"/>
        <v>9</v>
      </c>
      <c r="KI5" s="235">
        <f t="shared" si="14"/>
        <v>10</v>
      </c>
      <c r="KJ5" s="235">
        <f t="shared" si="14"/>
        <v>11</v>
      </c>
      <c r="KK5" s="235">
        <f t="shared" si="14"/>
        <v>12</v>
      </c>
      <c r="KL5" s="235">
        <f t="shared" si="14"/>
        <v>1</v>
      </c>
      <c r="KM5" s="235">
        <f t="shared" si="14"/>
        <v>2</v>
      </c>
      <c r="KN5" s="235">
        <f t="shared" si="14"/>
        <v>3</v>
      </c>
      <c r="KO5" s="235">
        <f t="shared" si="14"/>
        <v>4</v>
      </c>
      <c r="KP5" s="235">
        <f t="shared" si="14"/>
        <v>5</v>
      </c>
      <c r="KQ5" s="235">
        <f t="shared" si="14"/>
        <v>6</v>
      </c>
    </row>
    <row r="6" spans="2:303" x14ac:dyDescent="0.35">
      <c r="B6" s="236" t="s">
        <v>102</v>
      </c>
      <c r="C6" s="237" t="s">
        <v>103</v>
      </c>
      <c r="D6" s="238">
        <f>'Dashboard все'!C29</f>
        <v>46204</v>
      </c>
      <c r="E6" s="238">
        <f t="shared" ref="E6:BP6" si="15">EDATE(D6,1)</f>
        <v>46235</v>
      </c>
      <c r="F6" s="238">
        <f t="shared" si="15"/>
        <v>46266</v>
      </c>
      <c r="G6" s="238">
        <f t="shared" si="15"/>
        <v>46296</v>
      </c>
      <c r="H6" s="238">
        <f t="shared" si="15"/>
        <v>46327</v>
      </c>
      <c r="I6" s="238">
        <f t="shared" si="15"/>
        <v>46357</v>
      </c>
      <c r="J6" s="238">
        <f t="shared" si="15"/>
        <v>46388</v>
      </c>
      <c r="K6" s="238">
        <f t="shared" si="15"/>
        <v>46419</v>
      </c>
      <c r="L6" s="238">
        <f t="shared" si="15"/>
        <v>46447</v>
      </c>
      <c r="M6" s="238">
        <f t="shared" si="15"/>
        <v>46478</v>
      </c>
      <c r="N6" s="238">
        <f t="shared" si="15"/>
        <v>46508</v>
      </c>
      <c r="O6" s="238">
        <f t="shared" si="15"/>
        <v>46539</v>
      </c>
      <c r="P6" s="238">
        <f t="shared" si="15"/>
        <v>46569</v>
      </c>
      <c r="Q6" s="238">
        <f t="shared" si="15"/>
        <v>46600</v>
      </c>
      <c r="R6" s="238">
        <f t="shared" si="15"/>
        <v>46631</v>
      </c>
      <c r="S6" s="238">
        <f t="shared" si="15"/>
        <v>46661</v>
      </c>
      <c r="T6" s="238">
        <f t="shared" si="15"/>
        <v>46692</v>
      </c>
      <c r="U6" s="238">
        <f t="shared" si="15"/>
        <v>46722</v>
      </c>
      <c r="V6" s="238">
        <f t="shared" si="15"/>
        <v>46753</v>
      </c>
      <c r="W6" s="238">
        <f t="shared" si="15"/>
        <v>46784</v>
      </c>
      <c r="X6" s="238">
        <f t="shared" si="15"/>
        <v>46813</v>
      </c>
      <c r="Y6" s="238">
        <f t="shared" si="15"/>
        <v>46844</v>
      </c>
      <c r="Z6" s="238">
        <f t="shared" si="15"/>
        <v>46874</v>
      </c>
      <c r="AA6" s="238">
        <f t="shared" si="15"/>
        <v>46905</v>
      </c>
      <c r="AB6" s="238">
        <f t="shared" si="15"/>
        <v>46935</v>
      </c>
      <c r="AC6" s="238">
        <f t="shared" si="15"/>
        <v>46966</v>
      </c>
      <c r="AD6" s="238">
        <f t="shared" si="15"/>
        <v>46997</v>
      </c>
      <c r="AE6" s="238">
        <f t="shared" si="15"/>
        <v>47027</v>
      </c>
      <c r="AF6" s="238">
        <f t="shared" si="15"/>
        <v>47058</v>
      </c>
      <c r="AG6" s="238">
        <f t="shared" si="15"/>
        <v>47088</v>
      </c>
      <c r="AH6" s="238">
        <f t="shared" si="15"/>
        <v>47119</v>
      </c>
      <c r="AI6" s="238">
        <f t="shared" si="15"/>
        <v>47150</v>
      </c>
      <c r="AJ6" s="238">
        <f t="shared" si="15"/>
        <v>47178</v>
      </c>
      <c r="AK6" s="238">
        <f t="shared" si="15"/>
        <v>47209</v>
      </c>
      <c r="AL6" s="238">
        <f t="shared" si="15"/>
        <v>47239</v>
      </c>
      <c r="AM6" s="238">
        <f t="shared" si="15"/>
        <v>47270</v>
      </c>
      <c r="AN6" s="238">
        <f t="shared" si="15"/>
        <v>47300</v>
      </c>
      <c r="AO6" s="238">
        <f t="shared" si="15"/>
        <v>47331</v>
      </c>
      <c r="AP6" s="238">
        <f t="shared" si="15"/>
        <v>47362</v>
      </c>
      <c r="AQ6" s="238">
        <f t="shared" si="15"/>
        <v>47392</v>
      </c>
      <c r="AR6" s="238">
        <f t="shared" si="15"/>
        <v>47423</v>
      </c>
      <c r="AS6" s="238">
        <f t="shared" si="15"/>
        <v>47453</v>
      </c>
      <c r="AT6" s="238">
        <f t="shared" si="15"/>
        <v>47484</v>
      </c>
      <c r="AU6" s="238">
        <f t="shared" si="15"/>
        <v>47515</v>
      </c>
      <c r="AV6" s="238">
        <f t="shared" si="15"/>
        <v>47543</v>
      </c>
      <c r="AW6" s="238">
        <f t="shared" si="15"/>
        <v>47574</v>
      </c>
      <c r="AX6" s="238">
        <f t="shared" si="15"/>
        <v>47604</v>
      </c>
      <c r="AY6" s="238">
        <f t="shared" si="15"/>
        <v>47635</v>
      </c>
      <c r="AZ6" s="238">
        <f t="shared" si="15"/>
        <v>47665</v>
      </c>
      <c r="BA6" s="238">
        <f t="shared" si="15"/>
        <v>47696</v>
      </c>
      <c r="BB6" s="238">
        <f t="shared" si="15"/>
        <v>47727</v>
      </c>
      <c r="BC6" s="238">
        <f t="shared" si="15"/>
        <v>47757</v>
      </c>
      <c r="BD6" s="238">
        <f t="shared" si="15"/>
        <v>47788</v>
      </c>
      <c r="BE6" s="238">
        <f t="shared" si="15"/>
        <v>47818</v>
      </c>
      <c r="BF6" s="238">
        <f t="shared" si="15"/>
        <v>47849</v>
      </c>
      <c r="BG6" s="238">
        <f t="shared" si="15"/>
        <v>47880</v>
      </c>
      <c r="BH6" s="238">
        <f t="shared" si="15"/>
        <v>47908</v>
      </c>
      <c r="BI6" s="238">
        <f t="shared" si="15"/>
        <v>47939</v>
      </c>
      <c r="BJ6" s="238">
        <f t="shared" si="15"/>
        <v>47969</v>
      </c>
      <c r="BK6" s="238">
        <f t="shared" si="15"/>
        <v>48000</v>
      </c>
      <c r="BL6" s="238">
        <f t="shared" si="15"/>
        <v>48030</v>
      </c>
      <c r="BM6" s="238">
        <f t="shared" si="15"/>
        <v>48061</v>
      </c>
      <c r="BN6" s="238">
        <f t="shared" si="15"/>
        <v>48092</v>
      </c>
      <c r="BO6" s="238">
        <f t="shared" si="15"/>
        <v>48122</v>
      </c>
      <c r="BP6" s="238">
        <f t="shared" si="15"/>
        <v>48153</v>
      </c>
      <c r="BQ6" s="238">
        <f t="shared" ref="BQ6:EB6" si="16">EDATE(BP6,1)</f>
        <v>48183</v>
      </c>
      <c r="BR6" s="238">
        <f t="shared" si="16"/>
        <v>48214</v>
      </c>
      <c r="BS6" s="238">
        <f t="shared" si="16"/>
        <v>48245</v>
      </c>
      <c r="BT6" s="238">
        <f t="shared" si="16"/>
        <v>48274</v>
      </c>
      <c r="BU6" s="238">
        <f t="shared" si="16"/>
        <v>48305</v>
      </c>
      <c r="BV6" s="238">
        <f t="shared" si="16"/>
        <v>48335</v>
      </c>
      <c r="BW6" s="238">
        <f t="shared" si="16"/>
        <v>48366</v>
      </c>
      <c r="BX6" s="238">
        <f t="shared" si="16"/>
        <v>48396</v>
      </c>
      <c r="BY6" s="238">
        <f t="shared" si="16"/>
        <v>48427</v>
      </c>
      <c r="BZ6" s="238">
        <f t="shared" si="16"/>
        <v>48458</v>
      </c>
      <c r="CA6" s="238">
        <f t="shared" si="16"/>
        <v>48488</v>
      </c>
      <c r="CB6" s="238">
        <f t="shared" si="16"/>
        <v>48519</v>
      </c>
      <c r="CC6" s="238">
        <f t="shared" si="16"/>
        <v>48549</v>
      </c>
      <c r="CD6" s="238">
        <f t="shared" si="16"/>
        <v>48580</v>
      </c>
      <c r="CE6" s="238">
        <f t="shared" si="16"/>
        <v>48611</v>
      </c>
      <c r="CF6" s="238">
        <f t="shared" si="16"/>
        <v>48639</v>
      </c>
      <c r="CG6" s="238">
        <f t="shared" si="16"/>
        <v>48670</v>
      </c>
      <c r="CH6" s="238">
        <f t="shared" si="16"/>
        <v>48700</v>
      </c>
      <c r="CI6" s="238">
        <f t="shared" si="16"/>
        <v>48731</v>
      </c>
      <c r="CJ6" s="238">
        <f t="shared" si="16"/>
        <v>48761</v>
      </c>
      <c r="CK6" s="238">
        <f t="shared" si="16"/>
        <v>48792</v>
      </c>
      <c r="CL6" s="238">
        <f t="shared" si="16"/>
        <v>48823</v>
      </c>
      <c r="CM6" s="238">
        <f t="shared" si="16"/>
        <v>48853</v>
      </c>
      <c r="CN6" s="238">
        <f t="shared" si="16"/>
        <v>48884</v>
      </c>
      <c r="CO6" s="238">
        <f t="shared" si="16"/>
        <v>48914</v>
      </c>
      <c r="CP6" s="238">
        <f t="shared" si="16"/>
        <v>48945</v>
      </c>
      <c r="CQ6" s="238">
        <f t="shared" si="16"/>
        <v>48976</v>
      </c>
      <c r="CR6" s="238">
        <f t="shared" si="16"/>
        <v>49004</v>
      </c>
      <c r="CS6" s="238">
        <f t="shared" si="16"/>
        <v>49035</v>
      </c>
      <c r="CT6" s="238">
        <f t="shared" si="16"/>
        <v>49065</v>
      </c>
      <c r="CU6" s="238">
        <f t="shared" si="16"/>
        <v>49096</v>
      </c>
      <c r="CV6" s="238">
        <f t="shared" si="16"/>
        <v>49126</v>
      </c>
      <c r="CW6" s="238">
        <f t="shared" si="16"/>
        <v>49157</v>
      </c>
      <c r="CX6" s="238">
        <f t="shared" si="16"/>
        <v>49188</v>
      </c>
      <c r="CY6" s="238">
        <f t="shared" si="16"/>
        <v>49218</v>
      </c>
      <c r="CZ6" s="238">
        <f t="shared" si="16"/>
        <v>49249</v>
      </c>
      <c r="DA6" s="238">
        <f t="shared" si="16"/>
        <v>49279</v>
      </c>
      <c r="DB6" s="238">
        <f t="shared" si="16"/>
        <v>49310</v>
      </c>
      <c r="DC6" s="238">
        <f t="shared" si="16"/>
        <v>49341</v>
      </c>
      <c r="DD6" s="238">
        <f t="shared" si="16"/>
        <v>49369</v>
      </c>
      <c r="DE6" s="238">
        <f t="shared" si="16"/>
        <v>49400</v>
      </c>
      <c r="DF6" s="238">
        <f t="shared" si="16"/>
        <v>49430</v>
      </c>
      <c r="DG6" s="238">
        <f t="shared" si="16"/>
        <v>49461</v>
      </c>
      <c r="DH6" s="238">
        <f t="shared" si="16"/>
        <v>49491</v>
      </c>
      <c r="DI6" s="238">
        <f t="shared" si="16"/>
        <v>49522</v>
      </c>
      <c r="DJ6" s="238">
        <f t="shared" si="16"/>
        <v>49553</v>
      </c>
      <c r="DK6" s="238">
        <f t="shared" si="16"/>
        <v>49583</v>
      </c>
      <c r="DL6" s="238">
        <f t="shared" si="16"/>
        <v>49614</v>
      </c>
      <c r="DM6" s="238">
        <f t="shared" si="16"/>
        <v>49644</v>
      </c>
      <c r="DN6" s="238">
        <f t="shared" si="16"/>
        <v>49675</v>
      </c>
      <c r="DO6" s="238">
        <f t="shared" si="16"/>
        <v>49706</v>
      </c>
      <c r="DP6" s="238">
        <f t="shared" si="16"/>
        <v>49735</v>
      </c>
      <c r="DQ6" s="238">
        <f t="shared" si="16"/>
        <v>49766</v>
      </c>
      <c r="DR6" s="238">
        <f t="shared" si="16"/>
        <v>49796</v>
      </c>
      <c r="DS6" s="238">
        <f t="shared" si="16"/>
        <v>49827</v>
      </c>
      <c r="DT6" s="238">
        <f t="shared" si="16"/>
        <v>49857</v>
      </c>
      <c r="DU6" s="238">
        <f t="shared" si="16"/>
        <v>49888</v>
      </c>
      <c r="DV6" s="238">
        <f t="shared" si="16"/>
        <v>49919</v>
      </c>
      <c r="DW6" s="238">
        <f t="shared" si="16"/>
        <v>49949</v>
      </c>
      <c r="DX6" s="238">
        <f t="shared" si="16"/>
        <v>49980</v>
      </c>
      <c r="DY6" s="238">
        <f t="shared" si="16"/>
        <v>50010</v>
      </c>
      <c r="DZ6" s="238">
        <f t="shared" si="16"/>
        <v>50041</v>
      </c>
      <c r="EA6" s="238">
        <f t="shared" si="16"/>
        <v>50072</v>
      </c>
      <c r="EB6" s="238">
        <f t="shared" si="16"/>
        <v>50100</v>
      </c>
      <c r="EC6" s="238">
        <f t="shared" ref="EC6:GN6" si="17">EDATE(EB6,1)</f>
        <v>50131</v>
      </c>
      <c r="ED6" s="238">
        <f t="shared" si="17"/>
        <v>50161</v>
      </c>
      <c r="EE6" s="238">
        <f t="shared" si="17"/>
        <v>50192</v>
      </c>
      <c r="EF6" s="238">
        <f t="shared" si="17"/>
        <v>50222</v>
      </c>
      <c r="EG6" s="238">
        <f t="shared" si="17"/>
        <v>50253</v>
      </c>
      <c r="EH6" s="238">
        <f t="shared" si="17"/>
        <v>50284</v>
      </c>
      <c r="EI6" s="238">
        <f t="shared" si="17"/>
        <v>50314</v>
      </c>
      <c r="EJ6" s="238">
        <f t="shared" si="17"/>
        <v>50345</v>
      </c>
      <c r="EK6" s="238">
        <f t="shared" si="17"/>
        <v>50375</v>
      </c>
      <c r="EL6" s="238">
        <f t="shared" si="17"/>
        <v>50406</v>
      </c>
      <c r="EM6" s="238">
        <f t="shared" si="17"/>
        <v>50437</v>
      </c>
      <c r="EN6" s="238">
        <f t="shared" si="17"/>
        <v>50465</v>
      </c>
      <c r="EO6" s="238">
        <f t="shared" si="17"/>
        <v>50496</v>
      </c>
      <c r="EP6" s="238">
        <f t="shared" si="17"/>
        <v>50526</v>
      </c>
      <c r="EQ6" s="238">
        <f t="shared" si="17"/>
        <v>50557</v>
      </c>
      <c r="ER6" s="238">
        <f t="shared" si="17"/>
        <v>50587</v>
      </c>
      <c r="ES6" s="238">
        <f t="shared" si="17"/>
        <v>50618</v>
      </c>
      <c r="ET6" s="238">
        <f t="shared" si="17"/>
        <v>50649</v>
      </c>
      <c r="EU6" s="238">
        <f t="shared" si="17"/>
        <v>50679</v>
      </c>
      <c r="EV6" s="238">
        <f t="shared" si="17"/>
        <v>50710</v>
      </c>
      <c r="EW6" s="238">
        <f t="shared" si="17"/>
        <v>50740</v>
      </c>
      <c r="EX6" s="238">
        <f t="shared" si="17"/>
        <v>50771</v>
      </c>
      <c r="EY6" s="238">
        <f t="shared" si="17"/>
        <v>50802</v>
      </c>
      <c r="EZ6" s="238">
        <f t="shared" si="17"/>
        <v>50830</v>
      </c>
      <c r="FA6" s="238">
        <f t="shared" si="17"/>
        <v>50861</v>
      </c>
      <c r="FB6" s="238">
        <f t="shared" si="17"/>
        <v>50891</v>
      </c>
      <c r="FC6" s="238">
        <f t="shared" si="17"/>
        <v>50922</v>
      </c>
      <c r="FD6" s="238">
        <f t="shared" si="17"/>
        <v>50952</v>
      </c>
      <c r="FE6" s="238">
        <f t="shared" si="17"/>
        <v>50983</v>
      </c>
      <c r="FF6" s="238">
        <f t="shared" si="17"/>
        <v>51014</v>
      </c>
      <c r="FG6" s="238">
        <f t="shared" si="17"/>
        <v>51044</v>
      </c>
      <c r="FH6" s="238">
        <f t="shared" si="17"/>
        <v>51075</v>
      </c>
      <c r="FI6" s="238">
        <f t="shared" si="17"/>
        <v>51105</v>
      </c>
      <c r="FJ6" s="238">
        <f t="shared" si="17"/>
        <v>51136</v>
      </c>
      <c r="FK6" s="238">
        <f t="shared" si="17"/>
        <v>51167</v>
      </c>
      <c r="FL6" s="238">
        <f t="shared" si="17"/>
        <v>51196</v>
      </c>
      <c r="FM6" s="238">
        <f t="shared" si="17"/>
        <v>51227</v>
      </c>
      <c r="FN6" s="238">
        <f t="shared" si="17"/>
        <v>51257</v>
      </c>
      <c r="FO6" s="238">
        <f t="shared" si="17"/>
        <v>51288</v>
      </c>
      <c r="FP6" s="238">
        <f t="shared" si="17"/>
        <v>51318</v>
      </c>
      <c r="FQ6" s="238">
        <f t="shared" si="17"/>
        <v>51349</v>
      </c>
      <c r="FR6" s="238">
        <f t="shared" si="17"/>
        <v>51380</v>
      </c>
      <c r="FS6" s="238">
        <f t="shared" si="17"/>
        <v>51410</v>
      </c>
      <c r="FT6" s="238">
        <f t="shared" si="17"/>
        <v>51441</v>
      </c>
      <c r="FU6" s="238">
        <f t="shared" si="17"/>
        <v>51471</v>
      </c>
      <c r="FV6" s="238">
        <f t="shared" si="17"/>
        <v>51502</v>
      </c>
      <c r="FW6" s="238">
        <f t="shared" si="17"/>
        <v>51533</v>
      </c>
      <c r="FX6" s="238">
        <f t="shared" si="17"/>
        <v>51561</v>
      </c>
      <c r="FY6" s="238">
        <f t="shared" si="17"/>
        <v>51592</v>
      </c>
      <c r="FZ6" s="238">
        <f t="shared" si="17"/>
        <v>51622</v>
      </c>
      <c r="GA6" s="238">
        <f t="shared" si="17"/>
        <v>51653</v>
      </c>
      <c r="GB6" s="238">
        <f t="shared" si="17"/>
        <v>51683</v>
      </c>
      <c r="GC6" s="238">
        <f t="shared" si="17"/>
        <v>51714</v>
      </c>
      <c r="GD6" s="238">
        <f t="shared" si="17"/>
        <v>51745</v>
      </c>
      <c r="GE6" s="238">
        <f t="shared" si="17"/>
        <v>51775</v>
      </c>
      <c r="GF6" s="238">
        <f t="shared" si="17"/>
        <v>51806</v>
      </c>
      <c r="GG6" s="238">
        <f t="shared" si="17"/>
        <v>51836</v>
      </c>
      <c r="GH6" s="238">
        <f t="shared" si="17"/>
        <v>51867</v>
      </c>
      <c r="GI6" s="238">
        <f t="shared" si="17"/>
        <v>51898</v>
      </c>
      <c r="GJ6" s="238">
        <f t="shared" si="17"/>
        <v>51926</v>
      </c>
      <c r="GK6" s="238">
        <f t="shared" si="17"/>
        <v>51957</v>
      </c>
      <c r="GL6" s="238">
        <f t="shared" si="17"/>
        <v>51987</v>
      </c>
      <c r="GM6" s="238">
        <f t="shared" si="17"/>
        <v>52018</v>
      </c>
      <c r="GN6" s="238">
        <f t="shared" si="17"/>
        <v>52048</v>
      </c>
      <c r="GO6" s="238">
        <f t="shared" ref="GO6:IZ6" si="18">EDATE(GN6,1)</f>
        <v>52079</v>
      </c>
      <c r="GP6" s="238">
        <f t="shared" si="18"/>
        <v>52110</v>
      </c>
      <c r="GQ6" s="238">
        <f t="shared" si="18"/>
        <v>52140</v>
      </c>
      <c r="GR6" s="238">
        <f t="shared" si="18"/>
        <v>52171</v>
      </c>
      <c r="GS6" s="238">
        <f t="shared" si="18"/>
        <v>52201</v>
      </c>
      <c r="GT6" s="238">
        <f t="shared" si="18"/>
        <v>52232</v>
      </c>
      <c r="GU6" s="238">
        <f t="shared" si="18"/>
        <v>52263</v>
      </c>
      <c r="GV6" s="238">
        <f t="shared" si="18"/>
        <v>52291</v>
      </c>
      <c r="GW6" s="238">
        <f t="shared" si="18"/>
        <v>52322</v>
      </c>
      <c r="GX6" s="238">
        <f t="shared" si="18"/>
        <v>52352</v>
      </c>
      <c r="GY6" s="238">
        <f t="shared" si="18"/>
        <v>52383</v>
      </c>
      <c r="GZ6" s="238">
        <f t="shared" si="18"/>
        <v>52413</v>
      </c>
      <c r="HA6" s="238">
        <f t="shared" si="18"/>
        <v>52444</v>
      </c>
      <c r="HB6" s="238">
        <f t="shared" si="18"/>
        <v>52475</v>
      </c>
      <c r="HC6" s="238">
        <f t="shared" si="18"/>
        <v>52505</v>
      </c>
      <c r="HD6" s="238">
        <f t="shared" si="18"/>
        <v>52536</v>
      </c>
      <c r="HE6" s="238">
        <f t="shared" si="18"/>
        <v>52566</v>
      </c>
      <c r="HF6" s="238">
        <f t="shared" si="18"/>
        <v>52597</v>
      </c>
      <c r="HG6" s="238">
        <f t="shared" si="18"/>
        <v>52628</v>
      </c>
      <c r="HH6" s="238">
        <f t="shared" si="18"/>
        <v>52657</v>
      </c>
      <c r="HI6" s="238">
        <f t="shared" si="18"/>
        <v>52688</v>
      </c>
      <c r="HJ6" s="238">
        <f t="shared" si="18"/>
        <v>52718</v>
      </c>
      <c r="HK6" s="238">
        <f t="shared" si="18"/>
        <v>52749</v>
      </c>
      <c r="HL6" s="238">
        <f t="shared" si="18"/>
        <v>52779</v>
      </c>
      <c r="HM6" s="238">
        <f t="shared" si="18"/>
        <v>52810</v>
      </c>
      <c r="HN6" s="238">
        <f t="shared" si="18"/>
        <v>52841</v>
      </c>
      <c r="HO6" s="238">
        <f t="shared" si="18"/>
        <v>52871</v>
      </c>
      <c r="HP6" s="238">
        <f t="shared" si="18"/>
        <v>52902</v>
      </c>
      <c r="HQ6" s="238">
        <f t="shared" si="18"/>
        <v>52932</v>
      </c>
      <c r="HR6" s="238">
        <f t="shared" si="18"/>
        <v>52963</v>
      </c>
      <c r="HS6" s="238">
        <f t="shared" si="18"/>
        <v>52994</v>
      </c>
      <c r="HT6" s="238">
        <f t="shared" si="18"/>
        <v>53022</v>
      </c>
      <c r="HU6" s="238">
        <f t="shared" si="18"/>
        <v>53053</v>
      </c>
      <c r="HV6" s="238">
        <f t="shared" si="18"/>
        <v>53083</v>
      </c>
      <c r="HW6" s="238">
        <f t="shared" si="18"/>
        <v>53114</v>
      </c>
      <c r="HX6" s="238">
        <f t="shared" si="18"/>
        <v>53144</v>
      </c>
      <c r="HY6" s="238">
        <f t="shared" si="18"/>
        <v>53175</v>
      </c>
      <c r="HZ6" s="238">
        <f t="shared" si="18"/>
        <v>53206</v>
      </c>
      <c r="IA6" s="238">
        <f t="shared" si="18"/>
        <v>53236</v>
      </c>
      <c r="IB6" s="238">
        <f t="shared" si="18"/>
        <v>53267</v>
      </c>
      <c r="IC6" s="238">
        <f t="shared" si="18"/>
        <v>53297</v>
      </c>
      <c r="ID6" s="238">
        <f t="shared" si="18"/>
        <v>53328</v>
      </c>
      <c r="IE6" s="238">
        <f t="shared" si="18"/>
        <v>53359</v>
      </c>
      <c r="IF6" s="238">
        <f t="shared" si="18"/>
        <v>53387</v>
      </c>
      <c r="IG6" s="238">
        <f t="shared" si="18"/>
        <v>53418</v>
      </c>
      <c r="IH6" s="238">
        <f t="shared" si="18"/>
        <v>53448</v>
      </c>
      <c r="II6" s="238">
        <f t="shared" si="18"/>
        <v>53479</v>
      </c>
      <c r="IJ6" s="238">
        <f t="shared" si="18"/>
        <v>53509</v>
      </c>
      <c r="IK6" s="238">
        <f t="shared" si="18"/>
        <v>53540</v>
      </c>
      <c r="IL6" s="238">
        <f t="shared" si="18"/>
        <v>53571</v>
      </c>
      <c r="IM6" s="238">
        <f t="shared" si="18"/>
        <v>53601</v>
      </c>
      <c r="IN6" s="238">
        <f t="shared" si="18"/>
        <v>53632</v>
      </c>
      <c r="IO6" s="238">
        <f t="shared" si="18"/>
        <v>53662</v>
      </c>
      <c r="IP6" s="238">
        <f t="shared" si="18"/>
        <v>53693</v>
      </c>
      <c r="IQ6" s="238">
        <f t="shared" si="18"/>
        <v>53724</v>
      </c>
      <c r="IR6" s="238">
        <f t="shared" si="18"/>
        <v>53752</v>
      </c>
      <c r="IS6" s="238">
        <f t="shared" si="18"/>
        <v>53783</v>
      </c>
      <c r="IT6" s="238">
        <f t="shared" si="18"/>
        <v>53813</v>
      </c>
      <c r="IU6" s="238">
        <f t="shared" si="18"/>
        <v>53844</v>
      </c>
      <c r="IV6" s="238">
        <f t="shared" si="18"/>
        <v>53874</v>
      </c>
      <c r="IW6" s="238">
        <f t="shared" si="18"/>
        <v>53905</v>
      </c>
      <c r="IX6" s="238">
        <f t="shared" si="18"/>
        <v>53936</v>
      </c>
      <c r="IY6" s="238">
        <f t="shared" si="18"/>
        <v>53966</v>
      </c>
      <c r="IZ6" s="238">
        <f t="shared" si="18"/>
        <v>53997</v>
      </c>
      <c r="JA6" s="238">
        <f t="shared" ref="JA6:KQ6" si="19">EDATE(IZ6,1)</f>
        <v>54027</v>
      </c>
      <c r="JB6" s="238">
        <f t="shared" si="19"/>
        <v>54058</v>
      </c>
      <c r="JC6" s="238">
        <f t="shared" si="19"/>
        <v>54089</v>
      </c>
      <c r="JD6" s="238">
        <f t="shared" si="19"/>
        <v>54118</v>
      </c>
      <c r="JE6" s="238">
        <f t="shared" si="19"/>
        <v>54149</v>
      </c>
      <c r="JF6" s="238">
        <f t="shared" si="19"/>
        <v>54179</v>
      </c>
      <c r="JG6" s="238">
        <f t="shared" si="19"/>
        <v>54210</v>
      </c>
      <c r="JH6" s="238">
        <f t="shared" si="19"/>
        <v>54240</v>
      </c>
      <c r="JI6" s="238">
        <f t="shared" si="19"/>
        <v>54271</v>
      </c>
      <c r="JJ6" s="238">
        <f t="shared" si="19"/>
        <v>54302</v>
      </c>
      <c r="JK6" s="238">
        <f t="shared" si="19"/>
        <v>54332</v>
      </c>
      <c r="JL6" s="238">
        <f t="shared" si="19"/>
        <v>54363</v>
      </c>
      <c r="JM6" s="238">
        <f t="shared" si="19"/>
        <v>54393</v>
      </c>
      <c r="JN6" s="238">
        <f t="shared" si="19"/>
        <v>54424</v>
      </c>
      <c r="JO6" s="238">
        <f t="shared" si="19"/>
        <v>54455</v>
      </c>
      <c r="JP6" s="238">
        <f t="shared" si="19"/>
        <v>54483</v>
      </c>
      <c r="JQ6" s="238">
        <f t="shared" si="19"/>
        <v>54514</v>
      </c>
      <c r="JR6" s="238">
        <f t="shared" si="19"/>
        <v>54544</v>
      </c>
      <c r="JS6" s="238">
        <f t="shared" si="19"/>
        <v>54575</v>
      </c>
      <c r="JT6" s="238">
        <f t="shared" si="19"/>
        <v>54605</v>
      </c>
      <c r="JU6" s="238">
        <f t="shared" si="19"/>
        <v>54636</v>
      </c>
      <c r="JV6" s="238">
        <f t="shared" si="19"/>
        <v>54667</v>
      </c>
      <c r="JW6" s="238">
        <f t="shared" si="19"/>
        <v>54697</v>
      </c>
      <c r="JX6" s="238">
        <f t="shared" si="19"/>
        <v>54728</v>
      </c>
      <c r="JY6" s="238">
        <f t="shared" si="19"/>
        <v>54758</v>
      </c>
      <c r="JZ6" s="238">
        <f t="shared" si="19"/>
        <v>54789</v>
      </c>
      <c r="KA6" s="238">
        <f t="shared" si="19"/>
        <v>54820</v>
      </c>
      <c r="KB6" s="238">
        <f t="shared" si="19"/>
        <v>54848</v>
      </c>
      <c r="KC6" s="238">
        <f t="shared" si="19"/>
        <v>54879</v>
      </c>
      <c r="KD6" s="238">
        <f t="shared" si="19"/>
        <v>54909</v>
      </c>
      <c r="KE6" s="238">
        <f t="shared" si="19"/>
        <v>54940</v>
      </c>
      <c r="KF6" s="238">
        <f t="shared" si="19"/>
        <v>54970</v>
      </c>
      <c r="KG6" s="238">
        <f t="shared" si="19"/>
        <v>55001</v>
      </c>
      <c r="KH6" s="238">
        <f t="shared" si="19"/>
        <v>55032</v>
      </c>
      <c r="KI6" s="238">
        <f t="shared" si="19"/>
        <v>55062</v>
      </c>
      <c r="KJ6" s="238">
        <f t="shared" si="19"/>
        <v>55093</v>
      </c>
      <c r="KK6" s="238">
        <f t="shared" si="19"/>
        <v>55123</v>
      </c>
      <c r="KL6" s="238">
        <f t="shared" si="19"/>
        <v>55154</v>
      </c>
      <c r="KM6" s="238">
        <f t="shared" si="19"/>
        <v>55185</v>
      </c>
      <c r="KN6" s="238">
        <f t="shared" si="19"/>
        <v>55213</v>
      </c>
      <c r="KO6" s="238">
        <f t="shared" si="19"/>
        <v>55244</v>
      </c>
      <c r="KP6" s="238">
        <f t="shared" si="19"/>
        <v>55274</v>
      </c>
      <c r="KQ6" s="238">
        <f t="shared" si="19"/>
        <v>55305</v>
      </c>
    </row>
    <row r="7" spans="2:303" x14ac:dyDescent="0.35">
      <c r="B7" s="288" t="s">
        <v>104</v>
      </c>
      <c r="C7" s="239">
        <f t="shared" ref="C7:C15" si="20">SUM(D7:KQ7)</f>
        <v>10713300000</v>
      </c>
      <c r="D7" s="240">
        <f t="shared" ref="D7:BO7" si="21">SUM(D8:D8)</f>
        <v>321399000</v>
      </c>
      <c r="E7" s="240">
        <f t="shared" si="21"/>
        <v>321399000</v>
      </c>
      <c r="F7" s="240">
        <f t="shared" si="21"/>
        <v>321399000</v>
      </c>
      <c r="G7" s="240">
        <f t="shared" si="21"/>
        <v>321399000</v>
      </c>
      <c r="H7" s="240">
        <f t="shared" si="21"/>
        <v>332112300</v>
      </c>
      <c r="I7" s="240">
        <f t="shared" si="21"/>
        <v>332112300</v>
      </c>
      <c r="J7" s="240">
        <f t="shared" si="21"/>
        <v>332112300</v>
      </c>
      <c r="K7" s="240">
        <f t="shared" si="21"/>
        <v>332112300</v>
      </c>
      <c r="L7" s="240">
        <f t="shared" si="21"/>
        <v>342825600</v>
      </c>
      <c r="M7" s="240">
        <f t="shared" si="21"/>
        <v>342825600</v>
      </c>
      <c r="N7" s="240">
        <f t="shared" si="21"/>
        <v>342825600</v>
      </c>
      <c r="O7" s="240">
        <f t="shared" si="21"/>
        <v>342825600</v>
      </c>
      <c r="P7" s="240">
        <f t="shared" si="21"/>
        <v>342825600</v>
      </c>
      <c r="Q7" s="240">
        <f t="shared" si="21"/>
        <v>353538900</v>
      </c>
      <c r="R7" s="240">
        <f t="shared" si="21"/>
        <v>353538900</v>
      </c>
      <c r="S7" s="240">
        <f t="shared" si="21"/>
        <v>353538900</v>
      </c>
      <c r="T7" s="240">
        <f t="shared" si="21"/>
        <v>353538900</v>
      </c>
      <c r="U7" s="240">
        <f t="shared" si="21"/>
        <v>353538900</v>
      </c>
      <c r="V7" s="240">
        <f t="shared" si="21"/>
        <v>769572049.99999988</v>
      </c>
      <c r="W7" s="240">
        <f t="shared" si="21"/>
        <v>769572049.99999988</v>
      </c>
      <c r="X7" s="240">
        <f t="shared" si="21"/>
        <v>769572049.99999988</v>
      </c>
      <c r="Y7" s="240">
        <f t="shared" si="21"/>
        <v>769572049.99999988</v>
      </c>
      <c r="Z7" s="240">
        <f t="shared" si="21"/>
        <v>769572049.99999988</v>
      </c>
      <c r="AA7" s="240">
        <f t="shared" si="21"/>
        <v>769572049.99999988</v>
      </c>
      <c r="AB7" s="240">
        <f t="shared" si="21"/>
        <v>0</v>
      </c>
      <c r="AC7" s="240">
        <f t="shared" si="21"/>
        <v>0</v>
      </c>
      <c r="AD7" s="240">
        <f t="shared" si="21"/>
        <v>0</v>
      </c>
      <c r="AE7" s="240">
        <f t="shared" si="21"/>
        <v>0</v>
      </c>
      <c r="AF7" s="240">
        <f t="shared" si="21"/>
        <v>0</v>
      </c>
      <c r="AG7" s="240">
        <f t="shared" si="21"/>
        <v>0</v>
      </c>
      <c r="AH7" s="240">
        <f t="shared" si="21"/>
        <v>0</v>
      </c>
      <c r="AI7" s="240">
        <f t="shared" si="21"/>
        <v>0</v>
      </c>
      <c r="AJ7" s="240">
        <f t="shared" si="21"/>
        <v>0</v>
      </c>
      <c r="AK7" s="240">
        <f t="shared" si="21"/>
        <v>0</v>
      </c>
      <c r="AL7" s="240">
        <f t="shared" si="21"/>
        <v>0</v>
      </c>
      <c r="AM7" s="240">
        <f t="shared" si="21"/>
        <v>0</v>
      </c>
      <c r="AN7" s="240">
        <f t="shared" si="21"/>
        <v>0</v>
      </c>
      <c r="AO7" s="240">
        <f t="shared" si="21"/>
        <v>0</v>
      </c>
      <c r="AP7" s="240">
        <f t="shared" si="21"/>
        <v>0</v>
      </c>
      <c r="AQ7" s="240">
        <f t="shared" si="21"/>
        <v>0</v>
      </c>
      <c r="AR7" s="240">
        <f t="shared" si="21"/>
        <v>0</v>
      </c>
      <c r="AS7" s="240">
        <f t="shared" si="21"/>
        <v>0</v>
      </c>
      <c r="AT7" s="240">
        <f t="shared" si="21"/>
        <v>0</v>
      </c>
      <c r="AU7" s="240">
        <f t="shared" si="21"/>
        <v>0</v>
      </c>
      <c r="AV7" s="240">
        <f t="shared" si="21"/>
        <v>0</v>
      </c>
      <c r="AW7" s="240">
        <f t="shared" si="21"/>
        <v>0</v>
      </c>
      <c r="AX7" s="240">
        <f t="shared" si="21"/>
        <v>0</v>
      </c>
      <c r="AY7" s="240">
        <f t="shared" si="21"/>
        <v>0</v>
      </c>
      <c r="AZ7" s="240">
        <f t="shared" si="21"/>
        <v>0</v>
      </c>
      <c r="BA7" s="240">
        <f t="shared" si="21"/>
        <v>0</v>
      </c>
      <c r="BB7" s="240">
        <f t="shared" si="21"/>
        <v>0</v>
      </c>
      <c r="BC7" s="240">
        <f t="shared" si="21"/>
        <v>0</v>
      </c>
      <c r="BD7" s="240">
        <f t="shared" si="21"/>
        <v>0</v>
      </c>
      <c r="BE7" s="240">
        <f t="shared" si="21"/>
        <v>0</v>
      </c>
      <c r="BF7" s="240">
        <f t="shared" si="21"/>
        <v>0</v>
      </c>
      <c r="BG7" s="240">
        <f t="shared" si="21"/>
        <v>0</v>
      </c>
      <c r="BH7" s="240">
        <f t="shared" si="21"/>
        <v>0</v>
      </c>
      <c r="BI7" s="240">
        <f t="shared" si="21"/>
        <v>0</v>
      </c>
      <c r="BJ7" s="240">
        <f t="shared" si="21"/>
        <v>0</v>
      </c>
      <c r="BK7" s="240">
        <f t="shared" si="21"/>
        <v>0</v>
      </c>
      <c r="BL7" s="240">
        <f t="shared" si="21"/>
        <v>0</v>
      </c>
      <c r="BM7" s="240">
        <f t="shared" si="21"/>
        <v>0</v>
      </c>
      <c r="BN7" s="240">
        <f t="shared" si="21"/>
        <v>0</v>
      </c>
      <c r="BO7" s="240">
        <f t="shared" si="21"/>
        <v>0</v>
      </c>
      <c r="BP7" s="240">
        <f t="shared" ref="BP7:EA7" si="22">SUM(BP8:BP8)</f>
        <v>0</v>
      </c>
      <c r="BQ7" s="240">
        <f t="shared" si="22"/>
        <v>0</v>
      </c>
      <c r="BR7" s="240">
        <f t="shared" si="22"/>
        <v>0</v>
      </c>
      <c r="BS7" s="240">
        <f t="shared" si="22"/>
        <v>0</v>
      </c>
      <c r="BT7" s="240">
        <f t="shared" si="22"/>
        <v>0</v>
      </c>
      <c r="BU7" s="240">
        <f t="shared" si="22"/>
        <v>0</v>
      </c>
      <c r="BV7" s="240">
        <f t="shared" si="22"/>
        <v>0</v>
      </c>
      <c r="BW7" s="240">
        <f t="shared" si="22"/>
        <v>0</v>
      </c>
      <c r="BX7" s="240">
        <f t="shared" si="22"/>
        <v>0</v>
      </c>
      <c r="BY7" s="240">
        <f t="shared" si="22"/>
        <v>0</v>
      </c>
      <c r="BZ7" s="240">
        <f t="shared" si="22"/>
        <v>0</v>
      </c>
      <c r="CA7" s="240">
        <f t="shared" si="22"/>
        <v>0</v>
      </c>
      <c r="CB7" s="240">
        <f t="shared" si="22"/>
        <v>0</v>
      </c>
      <c r="CC7" s="240">
        <f t="shared" si="22"/>
        <v>0</v>
      </c>
      <c r="CD7" s="240">
        <f t="shared" si="22"/>
        <v>0</v>
      </c>
      <c r="CE7" s="240">
        <f t="shared" si="22"/>
        <v>0</v>
      </c>
      <c r="CF7" s="240">
        <f t="shared" si="22"/>
        <v>0</v>
      </c>
      <c r="CG7" s="240">
        <f t="shared" si="22"/>
        <v>0</v>
      </c>
      <c r="CH7" s="240">
        <f t="shared" si="22"/>
        <v>0</v>
      </c>
      <c r="CI7" s="240">
        <f t="shared" si="22"/>
        <v>0</v>
      </c>
      <c r="CJ7" s="240">
        <f t="shared" si="22"/>
        <v>0</v>
      </c>
      <c r="CK7" s="240">
        <f t="shared" si="22"/>
        <v>0</v>
      </c>
      <c r="CL7" s="240">
        <f t="shared" si="22"/>
        <v>0</v>
      </c>
      <c r="CM7" s="240">
        <f t="shared" si="22"/>
        <v>0</v>
      </c>
      <c r="CN7" s="240">
        <f t="shared" si="22"/>
        <v>0</v>
      </c>
      <c r="CO7" s="240">
        <f t="shared" si="22"/>
        <v>0</v>
      </c>
      <c r="CP7" s="240">
        <f t="shared" si="22"/>
        <v>0</v>
      </c>
      <c r="CQ7" s="240">
        <f t="shared" si="22"/>
        <v>0</v>
      </c>
      <c r="CR7" s="240">
        <f t="shared" si="22"/>
        <v>0</v>
      </c>
      <c r="CS7" s="240">
        <f t="shared" si="22"/>
        <v>0</v>
      </c>
      <c r="CT7" s="240">
        <f t="shared" si="22"/>
        <v>0</v>
      </c>
      <c r="CU7" s="240">
        <f t="shared" si="22"/>
        <v>0</v>
      </c>
      <c r="CV7" s="240">
        <f t="shared" si="22"/>
        <v>0</v>
      </c>
      <c r="CW7" s="240">
        <f t="shared" si="22"/>
        <v>0</v>
      </c>
      <c r="CX7" s="240">
        <f t="shared" si="22"/>
        <v>0</v>
      </c>
      <c r="CY7" s="240">
        <f t="shared" si="22"/>
        <v>0</v>
      </c>
      <c r="CZ7" s="240">
        <f t="shared" si="22"/>
        <v>0</v>
      </c>
      <c r="DA7" s="240">
        <f t="shared" si="22"/>
        <v>0</v>
      </c>
      <c r="DB7" s="240">
        <f t="shared" si="22"/>
        <v>0</v>
      </c>
      <c r="DC7" s="240">
        <f t="shared" si="22"/>
        <v>0</v>
      </c>
      <c r="DD7" s="240">
        <f t="shared" si="22"/>
        <v>0</v>
      </c>
      <c r="DE7" s="240">
        <f t="shared" si="22"/>
        <v>0</v>
      </c>
      <c r="DF7" s="240">
        <f t="shared" si="22"/>
        <v>0</v>
      </c>
      <c r="DG7" s="240">
        <f t="shared" si="22"/>
        <v>0</v>
      </c>
      <c r="DH7" s="240">
        <f t="shared" si="22"/>
        <v>0</v>
      </c>
      <c r="DI7" s="240">
        <f t="shared" si="22"/>
        <v>0</v>
      </c>
      <c r="DJ7" s="240">
        <f t="shared" si="22"/>
        <v>0</v>
      </c>
      <c r="DK7" s="240">
        <f t="shared" si="22"/>
        <v>0</v>
      </c>
      <c r="DL7" s="240">
        <f t="shared" si="22"/>
        <v>0</v>
      </c>
      <c r="DM7" s="240">
        <f t="shared" si="22"/>
        <v>0</v>
      </c>
      <c r="DN7" s="240">
        <f t="shared" si="22"/>
        <v>0</v>
      </c>
      <c r="DO7" s="240">
        <f t="shared" si="22"/>
        <v>0</v>
      </c>
      <c r="DP7" s="240">
        <f t="shared" si="22"/>
        <v>0</v>
      </c>
      <c r="DQ7" s="240">
        <f t="shared" si="22"/>
        <v>0</v>
      </c>
      <c r="DR7" s="240">
        <f t="shared" si="22"/>
        <v>0</v>
      </c>
      <c r="DS7" s="240">
        <f t="shared" si="22"/>
        <v>0</v>
      </c>
      <c r="DT7" s="240">
        <f t="shared" si="22"/>
        <v>0</v>
      </c>
      <c r="DU7" s="240">
        <f t="shared" si="22"/>
        <v>0</v>
      </c>
      <c r="DV7" s="240">
        <f t="shared" si="22"/>
        <v>0</v>
      </c>
      <c r="DW7" s="240">
        <f t="shared" si="22"/>
        <v>0</v>
      </c>
      <c r="DX7" s="240">
        <f t="shared" si="22"/>
        <v>0</v>
      </c>
      <c r="DY7" s="240">
        <f t="shared" si="22"/>
        <v>0</v>
      </c>
      <c r="DZ7" s="240">
        <f t="shared" si="22"/>
        <v>0</v>
      </c>
      <c r="EA7" s="240">
        <f t="shared" si="22"/>
        <v>0</v>
      </c>
      <c r="EB7" s="240">
        <f t="shared" ref="EB7:GM7" si="23">SUM(EB8:EB8)</f>
        <v>0</v>
      </c>
      <c r="EC7" s="240">
        <f t="shared" si="23"/>
        <v>0</v>
      </c>
      <c r="ED7" s="240">
        <f t="shared" si="23"/>
        <v>0</v>
      </c>
      <c r="EE7" s="240">
        <f t="shared" si="23"/>
        <v>0</v>
      </c>
      <c r="EF7" s="240">
        <f t="shared" si="23"/>
        <v>0</v>
      </c>
      <c r="EG7" s="240">
        <f t="shared" si="23"/>
        <v>0</v>
      </c>
      <c r="EH7" s="240">
        <f t="shared" si="23"/>
        <v>0</v>
      </c>
      <c r="EI7" s="240">
        <f t="shared" si="23"/>
        <v>0</v>
      </c>
      <c r="EJ7" s="240">
        <f t="shared" si="23"/>
        <v>0</v>
      </c>
      <c r="EK7" s="240">
        <f t="shared" si="23"/>
        <v>0</v>
      </c>
      <c r="EL7" s="240">
        <f t="shared" si="23"/>
        <v>0</v>
      </c>
      <c r="EM7" s="240">
        <f t="shared" si="23"/>
        <v>0</v>
      </c>
      <c r="EN7" s="240">
        <f t="shared" si="23"/>
        <v>0</v>
      </c>
      <c r="EO7" s="240">
        <f t="shared" si="23"/>
        <v>0</v>
      </c>
      <c r="EP7" s="240">
        <f t="shared" si="23"/>
        <v>0</v>
      </c>
      <c r="EQ7" s="240">
        <f t="shared" si="23"/>
        <v>0</v>
      </c>
      <c r="ER7" s="240">
        <f t="shared" si="23"/>
        <v>0</v>
      </c>
      <c r="ES7" s="240">
        <f t="shared" si="23"/>
        <v>0</v>
      </c>
      <c r="ET7" s="240">
        <f t="shared" si="23"/>
        <v>0</v>
      </c>
      <c r="EU7" s="240">
        <f t="shared" si="23"/>
        <v>0</v>
      </c>
      <c r="EV7" s="240">
        <f t="shared" si="23"/>
        <v>0</v>
      </c>
      <c r="EW7" s="240">
        <f t="shared" si="23"/>
        <v>0</v>
      </c>
      <c r="EX7" s="240">
        <f t="shared" si="23"/>
        <v>0</v>
      </c>
      <c r="EY7" s="240">
        <f t="shared" si="23"/>
        <v>0</v>
      </c>
      <c r="EZ7" s="240">
        <f t="shared" si="23"/>
        <v>0</v>
      </c>
      <c r="FA7" s="240">
        <f t="shared" si="23"/>
        <v>0</v>
      </c>
      <c r="FB7" s="240">
        <f t="shared" si="23"/>
        <v>0</v>
      </c>
      <c r="FC7" s="240">
        <f t="shared" si="23"/>
        <v>0</v>
      </c>
      <c r="FD7" s="240">
        <f t="shared" si="23"/>
        <v>0</v>
      </c>
      <c r="FE7" s="240">
        <f t="shared" si="23"/>
        <v>0</v>
      </c>
      <c r="FF7" s="240">
        <f t="shared" si="23"/>
        <v>0</v>
      </c>
      <c r="FG7" s="240">
        <f t="shared" si="23"/>
        <v>0</v>
      </c>
      <c r="FH7" s="240">
        <f t="shared" si="23"/>
        <v>0</v>
      </c>
      <c r="FI7" s="240">
        <f t="shared" si="23"/>
        <v>0</v>
      </c>
      <c r="FJ7" s="240">
        <f t="shared" si="23"/>
        <v>0</v>
      </c>
      <c r="FK7" s="240">
        <f t="shared" si="23"/>
        <v>0</v>
      </c>
      <c r="FL7" s="240">
        <f t="shared" si="23"/>
        <v>0</v>
      </c>
      <c r="FM7" s="240">
        <f t="shared" si="23"/>
        <v>0</v>
      </c>
      <c r="FN7" s="240">
        <f t="shared" si="23"/>
        <v>0</v>
      </c>
      <c r="FO7" s="240">
        <f t="shared" si="23"/>
        <v>0</v>
      </c>
      <c r="FP7" s="240">
        <f t="shared" si="23"/>
        <v>0</v>
      </c>
      <c r="FQ7" s="240">
        <f t="shared" si="23"/>
        <v>0</v>
      </c>
      <c r="FR7" s="240">
        <f t="shared" si="23"/>
        <v>0</v>
      </c>
      <c r="FS7" s="240">
        <f t="shared" si="23"/>
        <v>0</v>
      </c>
      <c r="FT7" s="240">
        <f t="shared" si="23"/>
        <v>0</v>
      </c>
      <c r="FU7" s="240">
        <f t="shared" si="23"/>
        <v>0</v>
      </c>
      <c r="FV7" s="240">
        <f t="shared" si="23"/>
        <v>0</v>
      </c>
      <c r="FW7" s="240">
        <f t="shared" si="23"/>
        <v>0</v>
      </c>
      <c r="FX7" s="240">
        <f t="shared" si="23"/>
        <v>0</v>
      </c>
      <c r="FY7" s="240">
        <f t="shared" si="23"/>
        <v>0</v>
      </c>
      <c r="FZ7" s="240">
        <f t="shared" si="23"/>
        <v>0</v>
      </c>
      <c r="GA7" s="240">
        <f t="shared" si="23"/>
        <v>0</v>
      </c>
      <c r="GB7" s="240">
        <f t="shared" si="23"/>
        <v>0</v>
      </c>
      <c r="GC7" s="240">
        <f t="shared" si="23"/>
        <v>0</v>
      </c>
      <c r="GD7" s="240">
        <f t="shared" si="23"/>
        <v>0</v>
      </c>
      <c r="GE7" s="240">
        <f t="shared" si="23"/>
        <v>0</v>
      </c>
      <c r="GF7" s="240">
        <f t="shared" si="23"/>
        <v>0</v>
      </c>
      <c r="GG7" s="240">
        <f t="shared" si="23"/>
        <v>0</v>
      </c>
      <c r="GH7" s="240">
        <f t="shared" si="23"/>
        <v>0</v>
      </c>
      <c r="GI7" s="240">
        <f t="shared" si="23"/>
        <v>0</v>
      </c>
      <c r="GJ7" s="240">
        <f t="shared" si="23"/>
        <v>0</v>
      </c>
      <c r="GK7" s="240">
        <f t="shared" si="23"/>
        <v>0</v>
      </c>
      <c r="GL7" s="240">
        <f t="shared" si="23"/>
        <v>0</v>
      </c>
      <c r="GM7" s="240">
        <f t="shared" si="23"/>
        <v>0</v>
      </c>
      <c r="GN7" s="240">
        <f t="shared" ref="GN7:IY7" si="24">SUM(GN8:GN8)</f>
        <v>0</v>
      </c>
      <c r="GO7" s="240">
        <f t="shared" si="24"/>
        <v>0</v>
      </c>
      <c r="GP7" s="240">
        <f t="shared" si="24"/>
        <v>0</v>
      </c>
      <c r="GQ7" s="240">
        <f t="shared" si="24"/>
        <v>0</v>
      </c>
      <c r="GR7" s="240">
        <f t="shared" si="24"/>
        <v>0</v>
      </c>
      <c r="GS7" s="240">
        <f t="shared" si="24"/>
        <v>0</v>
      </c>
      <c r="GT7" s="240">
        <f t="shared" si="24"/>
        <v>0</v>
      </c>
      <c r="GU7" s="240">
        <f t="shared" si="24"/>
        <v>0</v>
      </c>
      <c r="GV7" s="240">
        <f t="shared" si="24"/>
        <v>0</v>
      </c>
      <c r="GW7" s="240">
        <f t="shared" si="24"/>
        <v>0</v>
      </c>
      <c r="GX7" s="240">
        <f t="shared" si="24"/>
        <v>0</v>
      </c>
      <c r="GY7" s="240">
        <f t="shared" si="24"/>
        <v>0</v>
      </c>
      <c r="GZ7" s="240">
        <f t="shared" si="24"/>
        <v>0</v>
      </c>
      <c r="HA7" s="240">
        <f t="shared" si="24"/>
        <v>0</v>
      </c>
      <c r="HB7" s="240">
        <f t="shared" si="24"/>
        <v>0</v>
      </c>
      <c r="HC7" s="240">
        <f t="shared" si="24"/>
        <v>0</v>
      </c>
      <c r="HD7" s="240">
        <f t="shared" si="24"/>
        <v>0</v>
      </c>
      <c r="HE7" s="240">
        <f t="shared" si="24"/>
        <v>0</v>
      </c>
      <c r="HF7" s="240">
        <f t="shared" si="24"/>
        <v>0</v>
      </c>
      <c r="HG7" s="240">
        <f t="shared" si="24"/>
        <v>0</v>
      </c>
      <c r="HH7" s="240">
        <f t="shared" si="24"/>
        <v>0</v>
      </c>
      <c r="HI7" s="240">
        <f t="shared" si="24"/>
        <v>0</v>
      </c>
      <c r="HJ7" s="240">
        <f t="shared" si="24"/>
        <v>0</v>
      </c>
      <c r="HK7" s="240">
        <f t="shared" si="24"/>
        <v>0</v>
      </c>
      <c r="HL7" s="240">
        <f t="shared" si="24"/>
        <v>0</v>
      </c>
      <c r="HM7" s="240">
        <f t="shared" si="24"/>
        <v>0</v>
      </c>
      <c r="HN7" s="240">
        <f t="shared" si="24"/>
        <v>0</v>
      </c>
      <c r="HO7" s="240">
        <f t="shared" si="24"/>
        <v>0</v>
      </c>
      <c r="HP7" s="240">
        <f t="shared" si="24"/>
        <v>0</v>
      </c>
      <c r="HQ7" s="240">
        <f t="shared" si="24"/>
        <v>0</v>
      </c>
      <c r="HR7" s="240">
        <f t="shared" si="24"/>
        <v>0</v>
      </c>
      <c r="HS7" s="240">
        <f t="shared" si="24"/>
        <v>0</v>
      </c>
      <c r="HT7" s="240">
        <f t="shared" si="24"/>
        <v>0</v>
      </c>
      <c r="HU7" s="240">
        <f t="shared" si="24"/>
        <v>0</v>
      </c>
      <c r="HV7" s="240">
        <f t="shared" si="24"/>
        <v>0</v>
      </c>
      <c r="HW7" s="240">
        <f t="shared" si="24"/>
        <v>0</v>
      </c>
      <c r="HX7" s="240">
        <f t="shared" si="24"/>
        <v>0</v>
      </c>
      <c r="HY7" s="240">
        <f t="shared" si="24"/>
        <v>0</v>
      </c>
      <c r="HZ7" s="240">
        <f t="shared" si="24"/>
        <v>0</v>
      </c>
      <c r="IA7" s="240">
        <f t="shared" si="24"/>
        <v>0</v>
      </c>
      <c r="IB7" s="240">
        <f t="shared" si="24"/>
        <v>0</v>
      </c>
      <c r="IC7" s="240">
        <f t="shared" si="24"/>
        <v>0</v>
      </c>
      <c r="ID7" s="240">
        <f t="shared" si="24"/>
        <v>0</v>
      </c>
      <c r="IE7" s="240">
        <f t="shared" si="24"/>
        <v>0</v>
      </c>
      <c r="IF7" s="240">
        <f t="shared" si="24"/>
        <v>0</v>
      </c>
      <c r="IG7" s="240">
        <f t="shared" si="24"/>
        <v>0</v>
      </c>
      <c r="IH7" s="240">
        <f t="shared" si="24"/>
        <v>0</v>
      </c>
      <c r="II7" s="240">
        <f t="shared" si="24"/>
        <v>0</v>
      </c>
      <c r="IJ7" s="240">
        <f t="shared" si="24"/>
        <v>0</v>
      </c>
      <c r="IK7" s="240">
        <f t="shared" si="24"/>
        <v>0</v>
      </c>
      <c r="IL7" s="240">
        <f t="shared" si="24"/>
        <v>0</v>
      </c>
      <c r="IM7" s="240">
        <f t="shared" si="24"/>
        <v>0</v>
      </c>
      <c r="IN7" s="240">
        <f t="shared" si="24"/>
        <v>0</v>
      </c>
      <c r="IO7" s="240">
        <f t="shared" si="24"/>
        <v>0</v>
      </c>
      <c r="IP7" s="240">
        <f t="shared" si="24"/>
        <v>0</v>
      </c>
      <c r="IQ7" s="240">
        <f t="shared" si="24"/>
        <v>0</v>
      </c>
      <c r="IR7" s="240">
        <f t="shared" si="24"/>
        <v>0</v>
      </c>
      <c r="IS7" s="240">
        <f t="shared" si="24"/>
        <v>0</v>
      </c>
      <c r="IT7" s="240">
        <f t="shared" si="24"/>
        <v>0</v>
      </c>
      <c r="IU7" s="240">
        <f t="shared" si="24"/>
        <v>0</v>
      </c>
      <c r="IV7" s="240">
        <f t="shared" si="24"/>
        <v>0</v>
      </c>
      <c r="IW7" s="240">
        <f t="shared" si="24"/>
        <v>0</v>
      </c>
      <c r="IX7" s="240">
        <f t="shared" si="24"/>
        <v>0</v>
      </c>
      <c r="IY7" s="240">
        <f t="shared" si="24"/>
        <v>0</v>
      </c>
      <c r="IZ7" s="240">
        <f t="shared" ref="IZ7:KQ7" si="25">SUM(IZ8:IZ8)</f>
        <v>0</v>
      </c>
      <c r="JA7" s="240">
        <f t="shared" si="25"/>
        <v>0</v>
      </c>
      <c r="JB7" s="240">
        <f t="shared" si="25"/>
        <v>0</v>
      </c>
      <c r="JC7" s="240">
        <f t="shared" si="25"/>
        <v>0</v>
      </c>
      <c r="JD7" s="240">
        <f t="shared" si="25"/>
        <v>0</v>
      </c>
      <c r="JE7" s="240">
        <f t="shared" si="25"/>
        <v>0</v>
      </c>
      <c r="JF7" s="240">
        <f t="shared" si="25"/>
        <v>0</v>
      </c>
      <c r="JG7" s="240">
        <f t="shared" si="25"/>
        <v>0</v>
      </c>
      <c r="JH7" s="240">
        <f t="shared" si="25"/>
        <v>0</v>
      </c>
      <c r="JI7" s="240">
        <f t="shared" si="25"/>
        <v>0</v>
      </c>
      <c r="JJ7" s="240">
        <f t="shared" si="25"/>
        <v>0</v>
      </c>
      <c r="JK7" s="240">
        <f t="shared" si="25"/>
        <v>0</v>
      </c>
      <c r="JL7" s="240">
        <f t="shared" si="25"/>
        <v>0</v>
      </c>
      <c r="JM7" s="240">
        <f t="shared" si="25"/>
        <v>0</v>
      </c>
      <c r="JN7" s="240">
        <f t="shared" si="25"/>
        <v>0</v>
      </c>
      <c r="JO7" s="240">
        <f t="shared" si="25"/>
        <v>0</v>
      </c>
      <c r="JP7" s="240">
        <f t="shared" si="25"/>
        <v>0</v>
      </c>
      <c r="JQ7" s="240">
        <f t="shared" si="25"/>
        <v>0</v>
      </c>
      <c r="JR7" s="240">
        <f t="shared" si="25"/>
        <v>0</v>
      </c>
      <c r="JS7" s="240">
        <f t="shared" si="25"/>
        <v>0</v>
      </c>
      <c r="JT7" s="240">
        <f t="shared" si="25"/>
        <v>0</v>
      </c>
      <c r="JU7" s="240">
        <f t="shared" si="25"/>
        <v>0</v>
      </c>
      <c r="JV7" s="240">
        <f t="shared" si="25"/>
        <v>0</v>
      </c>
      <c r="JW7" s="240">
        <f t="shared" si="25"/>
        <v>0</v>
      </c>
      <c r="JX7" s="240">
        <f t="shared" si="25"/>
        <v>0</v>
      </c>
      <c r="JY7" s="240">
        <f t="shared" si="25"/>
        <v>0</v>
      </c>
      <c r="JZ7" s="240">
        <f t="shared" si="25"/>
        <v>0</v>
      </c>
      <c r="KA7" s="240">
        <f t="shared" si="25"/>
        <v>0</v>
      </c>
      <c r="KB7" s="240">
        <f t="shared" si="25"/>
        <v>0</v>
      </c>
      <c r="KC7" s="240">
        <f t="shared" si="25"/>
        <v>0</v>
      </c>
      <c r="KD7" s="240">
        <f t="shared" si="25"/>
        <v>0</v>
      </c>
      <c r="KE7" s="240">
        <f t="shared" si="25"/>
        <v>0</v>
      </c>
      <c r="KF7" s="240">
        <f t="shared" si="25"/>
        <v>0</v>
      </c>
      <c r="KG7" s="240">
        <f t="shared" si="25"/>
        <v>0</v>
      </c>
      <c r="KH7" s="240">
        <f t="shared" si="25"/>
        <v>0</v>
      </c>
      <c r="KI7" s="240">
        <f t="shared" si="25"/>
        <v>0</v>
      </c>
      <c r="KJ7" s="240">
        <f t="shared" si="25"/>
        <v>0</v>
      </c>
      <c r="KK7" s="240">
        <f t="shared" si="25"/>
        <v>0</v>
      </c>
      <c r="KL7" s="240">
        <f t="shared" si="25"/>
        <v>0</v>
      </c>
      <c r="KM7" s="240">
        <f t="shared" si="25"/>
        <v>0</v>
      </c>
      <c r="KN7" s="240">
        <f t="shared" si="25"/>
        <v>0</v>
      </c>
      <c r="KO7" s="240">
        <f t="shared" si="25"/>
        <v>0</v>
      </c>
      <c r="KP7" s="240">
        <f t="shared" si="25"/>
        <v>0</v>
      </c>
      <c r="KQ7" s="240">
        <f t="shared" si="25"/>
        <v>0</v>
      </c>
    </row>
    <row r="8" spans="2:303" x14ac:dyDescent="0.35">
      <c r="B8" s="289" t="s">
        <v>105</v>
      </c>
      <c r="C8" s="241">
        <f t="shared" si="20"/>
        <v>10713300000</v>
      </c>
      <c r="D8" s="242">
        <f>Sales!E15</f>
        <v>321399000</v>
      </c>
      <c r="E8" s="242">
        <f>Sales!F15</f>
        <v>321399000</v>
      </c>
      <c r="F8" s="242">
        <f>Sales!G15</f>
        <v>321399000</v>
      </c>
      <c r="G8" s="242">
        <f>Sales!H15</f>
        <v>321399000</v>
      </c>
      <c r="H8" s="242">
        <f>Sales!I15</f>
        <v>332112300</v>
      </c>
      <c r="I8" s="242">
        <f>Sales!J15</f>
        <v>332112300</v>
      </c>
      <c r="J8" s="242">
        <f>Sales!K15</f>
        <v>332112300</v>
      </c>
      <c r="K8" s="242">
        <f>Sales!L15</f>
        <v>332112300</v>
      </c>
      <c r="L8" s="242">
        <f>Sales!M15</f>
        <v>342825600</v>
      </c>
      <c r="M8" s="242">
        <f>Sales!N15</f>
        <v>342825600</v>
      </c>
      <c r="N8" s="242">
        <f>Sales!O15</f>
        <v>342825600</v>
      </c>
      <c r="O8" s="242">
        <f>Sales!P15</f>
        <v>342825600</v>
      </c>
      <c r="P8" s="242">
        <f>Sales!Q15</f>
        <v>342825600</v>
      </c>
      <c r="Q8" s="242">
        <f>Sales!R15</f>
        <v>353538900</v>
      </c>
      <c r="R8" s="242">
        <f>Sales!S15</f>
        <v>353538900</v>
      </c>
      <c r="S8" s="242">
        <f>Sales!T15</f>
        <v>353538900</v>
      </c>
      <c r="T8" s="242">
        <f>Sales!U15</f>
        <v>353538900</v>
      </c>
      <c r="U8" s="242">
        <f>Sales!V15</f>
        <v>353538900</v>
      </c>
      <c r="V8" s="242">
        <f>Sales!W15</f>
        <v>769572049.99999988</v>
      </c>
      <c r="W8" s="242">
        <f>Sales!X15</f>
        <v>769572049.99999988</v>
      </c>
      <c r="X8" s="242">
        <f>Sales!Y15</f>
        <v>769572049.99999988</v>
      </c>
      <c r="Y8" s="242">
        <f>Sales!Z15</f>
        <v>769572049.99999988</v>
      </c>
      <c r="Z8" s="242">
        <f>Sales!AA15</f>
        <v>769572049.99999988</v>
      </c>
      <c r="AA8" s="242">
        <f>Sales!AB15</f>
        <v>769572049.99999988</v>
      </c>
      <c r="AB8" s="242">
        <f>Sales!AC15</f>
        <v>0</v>
      </c>
      <c r="AC8" s="242">
        <f>Sales!AD15</f>
        <v>0</v>
      </c>
      <c r="AD8" s="242">
        <f>Sales!AE15</f>
        <v>0</v>
      </c>
      <c r="AE8" s="242">
        <f>Sales!AF15</f>
        <v>0</v>
      </c>
      <c r="AF8" s="242">
        <f>Sales!AG15</f>
        <v>0</v>
      </c>
      <c r="AG8" s="242">
        <f>Sales!AH15</f>
        <v>0</v>
      </c>
      <c r="AH8" s="242">
        <f>Sales!AI15</f>
        <v>0</v>
      </c>
      <c r="AI8" s="242">
        <f>Sales!AJ15</f>
        <v>0</v>
      </c>
      <c r="AJ8" s="242">
        <f>Sales!AK15</f>
        <v>0</v>
      </c>
      <c r="AK8" s="242">
        <f>Sales!AL15</f>
        <v>0</v>
      </c>
      <c r="AL8" s="242">
        <f>Sales!AM15</f>
        <v>0</v>
      </c>
      <c r="AM8" s="242">
        <f>Sales!AN15</f>
        <v>0</v>
      </c>
      <c r="AN8" s="242">
        <f>Sales!AO15</f>
        <v>0</v>
      </c>
      <c r="AO8" s="242">
        <f>Sales!AP15</f>
        <v>0</v>
      </c>
      <c r="AP8" s="242">
        <f>Sales!AQ15</f>
        <v>0</v>
      </c>
      <c r="AQ8" s="242">
        <f>Sales!AR15</f>
        <v>0</v>
      </c>
      <c r="AR8" s="242">
        <f>Sales!AS15</f>
        <v>0</v>
      </c>
      <c r="AS8" s="242">
        <f>Sales!AT15</f>
        <v>0</v>
      </c>
      <c r="AT8" s="242">
        <f>Sales!AU15</f>
        <v>0</v>
      </c>
      <c r="AU8" s="242">
        <f>Sales!AV15</f>
        <v>0</v>
      </c>
      <c r="AV8" s="242">
        <f>Sales!AW15</f>
        <v>0</v>
      </c>
      <c r="AW8" s="242">
        <f>Sales!AX15</f>
        <v>0</v>
      </c>
      <c r="AX8" s="242">
        <f>Sales!AY15</f>
        <v>0</v>
      </c>
      <c r="AY8" s="242">
        <f>Sales!AZ15</f>
        <v>0</v>
      </c>
      <c r="AZ8" s="242">
        <f>Sales!BA15</f>
        <v>0</v>
      </c>
      <c r="BA8" s="242">
        <f>Sales!BB15</f>
        <v>0</v>
      </c>
      <c r="BB8" s="242">
        <f>Sales!BC15</f>
        <v>0</v>
      </c>
      <c r="BC8" s="242">
        <f>Sales!BD15</f>
        <v>0</v>
      </c>
      <c r="BD8" s="242">
        <f>Sales!BE15</f>
        <v>0</v>
      </c>
      <c r="BE8" s="242">
        <f>Sales!BF15</f>
        <v>0</v>
      </c>
      <c r="BF8" s="242">
        <f>Sales!BG15</f>
        <v>0</v>
      </c>
      <c r="BG8" s="242">
        <f>Sales!BH15</f>
        <v>0</v>
      </c>
      <c r="BH8" s="242">
        <f>Sales!BI15</f>
        <v>0</v>
      </c>
      <c r="BI8" s="242">
        <f>Sales!BJ15</f>
        <v>0</v>
      </c>
      <c r="BJ8" s="242">
        <f>Sales!BK15</f>
        <v>0</v>
      </c>
      <c r="BK8" s="242">
        <f>Sales!BL15</f>
        <v>0</v>
      </c>
      <c r="BL8" s="242">
        <f>Sales!BM15</f>
        <v>0</v>
      </c>
      <c r="BM8" s="242">
        <f>Sales!BN15</f>
        <v>0</v>
      </c>
      <c r="BN8" s="242">
        <f>Sales!BO15</f>
        <v>0</v>
      </c>
      <c r="BO8" s="242">
        <f>Sales!BP15</f>
        <v>0</v>
      </c>
      <c r="BP8" s="242">
        <f>Sales!BQ15</f>
        <v>0</v>
      </c>
      <c r="BQ8" s="242">
        <f>Sales!BR15</f>
        <v>0</v>
      </c>
      <c r="BR8" s="242">
        <f>Sales!BS15</f>
        <v>0</v>
      </c>
      <c r="BS8" s="242">
        <f>Sales!BT15</f>
        <v>0</v>
      </c>
      <c r="BT8" s="242">
        <f>Sales!BU15</f>
        <v>0</v>
      </c>
      <c r="BU8" s="242">
        <f>Sales!BV15</f>
        <v>0</v>
      </c>
      <c r="BV8" s="242">
        <f>Sales!BW15</f>
        <v>0</v>
      </c>
      <c r="BW8" s="242">
        <f>Sales!BX15</f>
        <v>0</v>
      </c>
      <c r="BX8" s="242">
        <f>Sales!BY15</f>
        <v>0</v>
      </c>
      <c r="BY8" s="242">
        <f>Sales!BZ15</f>
        <v>0</v>
      </c>
      <c r="BZ8" s="242">
        <f>Sales!CA15</f>
        <v>0</v>
      </c>
      <c r="CA8" s="242">
        <f>Sales!CB15</f>
        <v>0</v>
      </c>
      <c r="CB8" s="242">
        <f>Sales!CC15</f>
        <v>0</v>
      </c>
      <c r="CC8" s="242">
        <f>Sales!CD15</f>
        <v>0</v>
      </c>
      <c r="CD8" s="242">
        <f>Sales!CE15</f>
        <v>0</v>
      </c>
      <c r="CE8" s="242">
        <f>Sales!CF15</f>
        <v>0</v>
      </c>
      <c r="CF8" s="242">
        <f>Sales!CG15</f>
        <v>0</v>
      </c>
      <c r="CG8" s="242">
        <f>Sales!CH15</f>
        <v>0</v>
      </c>
      <c r="CH8" s="242">
        <f>Sales!CI15</f>
        <v>0</v>
      </c>
      <c r="CI8" s="242">
        <f>Sales!CJ15</f>
        <v>0</v>
      </c>
      <c r="CJ8" s="242">
        <f>Sales!CK15</f>
        <v>0</v>
      </c>
      <c r="CK8" s="242">
        <f>Sales!CL15</f>
        <v>0</v>
      </c>
      <c r="CL8" s="242">
        <f>Sales!CM15</f>
        <v>0</v>
      </c>
      <c r="CM8" s="242">
        <f>Sales!CN15</f>
        <v>0</v>
      </c>
      <c r="CN8" s="242">
        <f>Sales!CO15</f>
        <v>0</v>
      </c>
      <c r="CO8" s="242">
        <f>Sales!CP15</f>
        <v>0</v>
      </c>
      <c r="CP8" s="242">
        <f>Sales!CQ15</f>
        <v>0</v>
      </c>
      <c r="CQ8" s="242">
        <f>Sales!CR15</f>
        <v>0</v>
      </c>
      <c r="CR8" s="242">
        <f>Sales!CS15</f>
        <v>0</v>
      </c>
      <c r="CS8" s="242">
        <f>Sales!CT15</f>
        <v>0</v>
      </c>
      <c r="CT8" s="242">
        <f>Sales!CU15</f>
        <v>0</v>
      </c>
      <c r="CU8" s="242">
        <f>Sales!CV15</f>
        <v>0</v>
      </c>
      <c r="CV8" s="242">
        <f>Sales!CW15</f>
        <v>0</v>
      </c>
      <c r="CW8" s="242">
        <f>Sales!CX15</f>
        <v>0</v>
      </c>
      <c r="CX8" s="242">
        <f>Sales!CY15</f>
        <v>0</v>
      </c>
      <c r="CY8" s="242">
        <f>Sales!CZ15</f>
        <v>0</v>
      </c>
      <c r="CZ8" s="242">
        <f>Sales!DA15</f>
        <v>0</v>
      </c>
      <c r="DA8" s="242">
        <f>Sales!DB15</f>
        <v>0</v>
      </c>
      <c r="DB8" s="242">
        <f>Sales!DC15</f>
        <v>0</v>
      </c>
      <c r="DC8" s="242">
        <f>Sales!DD15</f>
        <v>0</v>
      </c>
      <c r="DD8" s="242">
        <f>Sales!DE15</f>
        <v>0</v>
      </c>
      <c r="DE8" s="242">
        <f>Sales!DF15</f>
        <v>0</v>
      </c>
      <c r="DF8" s="242">
        <f>Sales!DG15</f>
        <v>0</v>
      </c>
      <c r="DG8" s="242">
        <f>Sales!DH15</f>
        <v>0</v>
      </c>
      <c r="DH8" s="242">
        <f>Sales!DI15</f>
        <v>0</v>
      </c>
      <c r="DI8" s="242">
        <f>Sales!DJ15</f>
        <v>0</v>
      </c>
      <c r="DJ8" s="242">
        <f>Sales!DK15</f>
        <v>0</v>
      </c>
      <c r="DK8" s="242">
        <f>Sales!DL15</f>
        <v>0</v>
      </c>
      <c r="DL8" s="242">
        <f>Sales!DM15</f>
        <v>0</v>
      </c>
      <c r="DM8" s="242">
        <f>Sales!DN15</f>
        <v>0</v>
      </c>
      <c r="DN8" s="242">
        <f>Sales!DO15</f>
        <v>0</v>
      </c>
      <c r="DO8" s="242">
        <f>Sales!DP15</f>
        <v>0</v>
      </c>
      <c r="DP8" s="242">
        <f>Sales!DQ15</f>
        <v>0</v>
      </c>
      <c r="DQ8" s="242">
        <f>Sales!DR15</f>
        <v>0</v>
      </c>
      <c r="DR8" s="242">
        <f>Sales!DS15</f>
        <v>0</v>
      </c>
      <c r="DS8" s="242">
        <f>Sales!DT15</f>
        <v>0</v>
      </c>
      <c r="DT8" s="242">
        <f>Sales!DU15</f>
        <v>0</v>
      </c>
      <c r="DU8" s="242">
        <f>Sales!DV15</f>
        <v>0</v>
      </c>
      <c r="DV8" s="242">
        <f>Sales!DW15</f>
        <v>0</v>
      </c>
      <c r="DW8" s="242">
        <f>Sales!DX15</f>
        <v>0</v>
      </c>
      <c r="DX8" s="242">
        <f>Sales!DY15</f>
        <v>0</v>
      </c>
      <c r="DY8" s="242">
        <f>Sales!DZ15</f>
        <v>0</v>
      </c>
      <c r="DZ8" s="242">
        <f>Sales!EA15</f>
        <v>0</v>
      </c>
      <c r="EA8" s="242">
        <f>Sales!EB15</f>
        <v>0</v>
      </c>
      <c r="EB8" s="242">
        <f>Sales!EC15</f>
        <v>0</v>
      </c>
      <c r="EC8" s="242">
        <f>Sales!ED15</f>
        <v>0</v>
      </c>
      <c r="ED8" s="242">
        <f>Sales!EE15</f>
        <v>0</v>
      </c>
      <c r="EE8" s="242">
        <f>Sales!EF15</f>
        <v>0</v>
      </c>
      <c r="EF8" s="242">
        <f>Sales!EG15</f>
        <v>0</v>
      </c>
      <c r="EG8" s="242">
        <f>Sales!EH15</f>
        <v>0</v>
      </c>
      <c r="EH8" s="242">
        <f>Sales!EI15</f>
        <v>0</v>
      </c>
      <c r="EI8" s="242">
        <f>Sales!EJ15</f>
        <v>0</v>
      </c>
      <c r="EJ8" s="242">
        <f>Sales!EK15</f>
        <v>0</v>
      </c>
      <c r="EK8" s="242">
        <f>Sales!EL15</f>
        <v>0</v>
      </c>
      <c r="EL8" s="242">
        <f>Sales!EM15</f>
        <v>0</v>
      </c>
      <c r="EM8" s="242">
        <f>Sales!EN15</f>
        <v>0</v>
      </c>
      <c r="EN8" s="242">
        <f>Sales!EO15</f>
        <v>0</v>
      </c>
      <c r="EO8" s="242">
        <f>Sales!EP15</f>
        <v>0</v>
      </c>
      <c r="EP8" s="242">
        <f>Sales!EQ15</f>
        <v>0</v>
      </c>
      <c r="EQ8" s="242">
        <f>Sales!ER15</f>
        <v>0</v>
      </c>
      <c r="ER8" s="242">
        <f>Sales!ES15</f>
        <v>0</v>
      </c>
      <c r="ES8" s="242">
        <f>Sales!ET15</f>
        <v>0</v>
      </c>
      <c r="ET8" s="242">
        <f>Sales!EU15</f>
        <v>0</v>
      </c>
      <c r="EU8" s="242">
        <f>Sales!EV15</f>
        <v>0</v>
      </c>
      <c r="EV8" s="242">
        <f>Sales!EW15</f>
        <v>0</v>
      </c>
      <c r="EW8" s="242">
        <f>Sales!EX15</f>
        <v>0</v>
      </c>
      <c r="EX8" s="242">
        <f>Sales!EY15</f>
        <v>0</v>
      </c>
      <c r="EY8" s="242">
        <f>Sales!EZ15</f>
        <v>0</v>
      </c>
      <c r="EZ8" s="242">
        <f>Sales!FA15</f>
        <v>0</v>
      </c>
      <c r="FA8" s="242">
        <f>Sales!FB15</f>
        <v>0</v>
      </c>
      <c r="FB8" s="242">
        <f>Sales!FC15</f>
        <v>0</v>
      </c>
      <c r="FC8" s="242">
        <f>Sales!FD15</f>
        <v>0</v>
      </c>
      <c r="FD8" s="242">
        <f>Sales!FE15</f>
        <v>0</v>
      </c>
      <c r="FE8" s="242">
        <f>Sales!FF15</f>
        <v>0</v>
      </c>
      <c r="FF8" s="242">
        <f>Sales!FG15</f>
        <v>0</v>
      </c>
      <c r="FG8" s="242">
        <f>Sales!FH15</f>
        <v>0</v>
      </c>
      <c r="FH8" s="242">
        <f>Sales!FI15</f>
        <v>0</v>
      </c>
      <c r="FI8" s="242">
        <f>Sales!FJ15</f>
        <v>0</v>
      </c>
      <c r="FJ8" s="242">
        <f>Sales!FK15</f>
        <v>0</v>
      </c>
      <c r="FK8" s="242">
        <f>Sales!FL15</f>
        <v>0</v>
      </c>
      <c r="FL8" s="242">
        <f>Sales!FM15</f>
        <v>0</v>
      </c>
      <c r="FM8" s="242">
        <f>Sales!FN15</f>
        <v>0</v>
      </c>
      <c r="FN8" s="242">
        <f>Sales!FO15</f>
        <v>0</v>
      </c>
      <c r="FO8" s="242">
        <f>Sales!FP15</f>
        <v>0</v>
      </c>
      <c r="FP8" s="242">
        <f>Sales!FQ15</f>
        <v>0</v>
      </c>
      <c r="FQ8" s="242">
        <f>Sales!FR15</f>
        <v>0</v>
      </c>
      <c r="FR8" s="242">
        <f>Sales!FS15</f>
        <v>0</v>
      </c>
      <c r="FS8" s="242">
        <f>Sales!FT15</f>
        <v>0</v>
      </c>
      <c r="FT8" s="242">
        <f>Sales!FU15</f>
        <v>0</v>
      </c>
      <c r="FU8" s="242">
        <f>Sales!FV15</f>
        <v>0</v>
      </c>
      <c r="FV8" s="242">
        <f>Sales!FW15</f>
        <v>0</v>
      </c>
      <c r="FW8" s="242">
        <f>Sales!FX15</f>
        <v>0</v>
      </c>
      <c r="FX8" s="242">
        <f>Sales!FY15</f>
        <v>0</v>
      </c>
      <c r="FY8" s="242">
        <f>Sales!FZ15</f>
        <v>0</v>
      </c>
      <c r="FZ8" s="242">
        <f>Sales!GA15</f>
        <v>0</v>
      </c>
      <c r="GA8" s="242">
        <f>Sales!GB15</f>
        <v>0</v>
      </c>
      <c r="GB8" s="242">
        <f>Sales!GC15</f>
        <v>0</v>
      </c>
      <c r="GC8" s="242">
        <f>Sales!FU36</f>
        <v>0</v>
      </c>
      <c r="GD8" s="242">
        <f>Sales!FV36</f>
        <v>0</v>
      </c>
      <c r="GE8" s="242">
        <f>Sales!FW36</f>
        <v>0</v>
      </c>
      <c r="GF8" s="242">
        <f>Sales!FX36</f>
        <v>0</v>
      </c>
      <c r="GG8" s="242">
        <f>Sales!FY36</f>
        <v>0</v>
      </c>
      <c r="GH8" s="242">
        <f>Sales!FZ36</f>
        <v>0</v>
      </c>
      <c r="GI8" s="242">
        <f>Sales!GA36</f>
        <v>0</v>
      </c>
      <c r="GJ8" s="242">
        <f>Sales!GB36</f>
        <v>0</v>
      </c>
      <c r="GK8" s="242">
        <f>Sales!GC36</f>
        <v>0</v>
      </c>
      <c r="GL8" s="242">
        <f>Sales!GD36</f>
        <v>0</v>
      </c>
      <c r="GM8" s="242">
        <f>Sales!GE36</f>
        <v>0</v>
      </c>
      <c r="GN8" s="242">
        <f>Sales!GF36</f>
        <v>0</v>
      </c>
      <c r="GO8" s="242">
        <f>Sales!GG36</f>
        <v>0</v>
      </c>
      <c r="GP8" s="242">
        <f>Sales!GH36</f>
        <v>0</v>
      </c>
      <c r="GQ8" s="242">
        <f>Sales!GI36</f>
        <v>0</v>
      </c>
      <c r="GR8" s="242">
        <f>Sales!GJ36</f>
        <v>0</v>
      </c>
      <c r="GS8" s="242">
        <f>Sales!GK36</f>
        <v>0</v>
      </c>
      <c r="GT8" s="242">
        <f>Sales!GL36</f>
        <v>0</v>
      </c>
      <c r="GU8" s="242">
        <f>Sales!GM36</f>
        <v>0</v>
      </c>
      <c r="GV8" s="242">
        <f>Sales!GN36</f>
        <v>0</v>
      </c>
      <c r="GW8" s="242">
        <f>Sales!GO36</f>
        <v>0</v>
      </c>
      <c r="GX8" s="242">
        <f>Sales!GP36</f>
        <v>0</v>
      </c>
      <c r="GY8" s="242">
        <f>Sales!GQ36</f>
        <v>0</v>
      </c>
      <c r="GZ8" s="242">
        <f>Sales!GR36</f>
        <v>0</v>
      </c>
      <c r="HA8" s="242">
        <f>Sales!GS36</f>
        <v>0</v>
      </c>
      <c r="HB8" s="242">
        <f>Sales!GT36</f>
        <v>0</v>
      </c>
      <c r="HC8" s="242">
        <f>Sales!GU36</f>
        <v>0</v>
      </c>
      <c r="HD8" s="242">
        <f>Sales!GV36</f>
        <v>0</v>
      </c>
      <c r="HE8" s="242">
        <f>Sales!GW36</f>
        <v>0</v>
      </c>
      <c r="HF8" s="242">
        <f>Sales!GX36</f>
        <v>0</v>
      </c>
      <c r="HG8" s="242">
        <f>Sales!GY36</f>
        <v>0</v>
      </c>
      <c r="HH8" s="242">
        <f>Sales!GZ36</f>
        <v>0</v>
      </c>
      <c r="HI8" s="242">
        <f>Sales!HA36</f>
        <v>0</v>
      </c>
      <c r="HJ8" s="242">
        <f>Sales!HB36</f>
        <v>0</v>
      </c>
      <c r="HK8" s="242">
        <f>Sales!HC36</f>
        <v>0</v>
      </c>
      <c r="HL8" s="242">
        <f>Sales!HD36</f>
        <v>0</v>
      </c>
      <c r="HM8" s="242">
        <f>Sales!HE36</f>
        <v>0</v>
      </c>
      <c r="HN8" s="242">
        <f>Sales!HF36</f>
        <v>0</v>
      </c>
      <c r="HO8" s="242">
        <f>Sales!HG36</f>
        <v>0</v>
      </c>
      <c r="HP8" s="242">
        <f>Sales!HH36</f>
        <v>0</v>
      </c>
      <c r="HQ8" s="242">
        <f>Sales!HI36</f>
        <v>0</v>
      </c>
      <c r="HR8" s="242">
        <f>Sales!HJ36</f>
        <v>0</v>
      </c>
      <c r="HS8" s="242">
        <f>Sales!HK36</f>
        <v>0</v>
      </c>
      <c r="HT8" s="242">
        <f>Sales!HL36</f>
        <v>0</v>
      </c>
      <c r="HU8" s="242">
        <f>Sales!HM36</f>
        <v>0</v>
      </c>
      <c r="HV8" s="242">
        <f>Sales!HN36</f>
        <v>0</v>
      </c>
      <c r="HW8" s="242">
        <f>Sales!HO36</f>
        <v>0</v>
      </c>
      <c r="HX8" s="242">
        <f>Sales!HP36</f>
        <v>0</v>
      </c>
      <c r="HY8" s="242">
        <f>Sales!HQ36</f>
        <v>0</v>
      </c>
      <c r="HZ8" s="242">
        <f>Sales!HR36</f>
        <v>0</v>
      </c>
      <c r="IA8" s="242">
        <f>Sales!HS36</f>
        <v>0</v>
      </c>
      <c r="IB8" s="242">
        <f>Sales!HT36</f>
        <v>0</v>
      </c>
      <c r="IC8" s="242">
        <f>Sales!HU36</f>
        <v>0</v>
      </c>
      <c r="ID8" s="242">
        <f>Sales!HV36</f>
        <v>0</v>
      </c>
      <c r="IE8" s="242">
        <f>Sales!HW36</f>
        <v>0</v>
      </c>
      <c r="IF8" s="242">
        <f>Sales!HX36</f>
        <v>0</v>
      </c>
      <c r="IG8" s="242">
        <f>Sales!HY36</f>
        <v>0</v>
      </c>
      <c r="IH8" s="242">
        <f>Sales!HZ36</f>
        <v>0</v>
      </c>
      <c r="II8" s="242">
        <f>Sales!IA36</f>
        <v>0</v>
      </c>
      <c r="IJ8" s="242">
        <f>Sales!IB36</f>
        <v>0</v>
      </c>
      <c r="IK8" s="242">
        <f>Sales!IC36</f>
        <v>0</v>
      </c>
      <c r="IL8" s="242">
        <f>Sales!ID36</f>
        <v>0</v>
      </c>
      <c r="IM8" s="242">
        <f>Sales!IE36</f>
        <v>0</v>
      </c>
      <c r="IN8" s="242">
        <f>Sales!IF36</f>
        <v>0</v>
      </c>
      <c r="IO8" s="242">
        <f>Sales!IG36</f>
        <v>0</v>
      </c>
      <c r="IP8" s="242">
        <f>Sales!IH36</f>
        <v>0</v>
      </c>
      <c r="IQ8" s="242">
        <f>Sales!II36</f>
        <v>0</v>
      </c>
      <c r="IR8" s="242">
        <f>Sales!IJ36</f>
        <v>0</v>
      </c>
      <c r="IS8" s="242">
        <f>Sales!IK36</f>
        <v>0</v>
      </c>
      <c r="IT8" s="242">
        <f>Sales!IL36</f>
        <v>0</v>
      </c>
      <c r="IU8" s="242">
        <f>Sales!IM36</f>
        <v>0</v>
      </c>
      <c r="IV8" s="242">
        <f>Sales!IN36</f>
        <v>0</v>
      </c>
      <c r="IW8" s="242">
        <f>Sales!IO36</f>
        <v>0</v>
      </c>
      <c r="IX8" s="242">
        <f>Sales!IP36</f>
        <v>0</v>
      </c>
      <c r="IY8" s="242">
        <f>Sales!IQ36</f>
        <v>0</v>
      </c>
      <c r="IZ8" s="242">
        <f>Sales!IR36</f>
        <v>0</v>
      </c>
      <c r="JA8" s="242">
        <f>Sales!IS36</f>
        <v>0</v>
      </c>
      <c r="JB8" s="242">
        <f>Sales!IT36</f>
        <v>0</v>
      </c>
      <c r="JC8" s="242">
        <f>Sales!IU36</f>
        <v>0</v>
      </c>
      <c r="JD8" s="242">
        <f>Sales!IV36</f>
        <v>0</v>
      </c>
      <c r="JE8" s="242">
        <f>Sales!IW36</f>
        <v>0</v>
      </c>
      <c r="JF8" s="242">
        <f>Sales!IX36</f>
        <v>0</v>
      </c>
      <c r="JG8" s="242">
        <f>Sales!IY36</f>
        <v>0</v>
      </c>
      <c r="JH8" s="242">
        <f>Sales!IZ36</f>
        <v>0</v>
      </c>
      <c r="JI8" s="242">
        <f>Sales!JA36</f>
        <v>0</v>
      </c>
      <c r="JJ8" s="242">
        <f>Sales!JB36</f>
        <v>0</v>
      </c>
      <c r="JK8" s="242">
        <f>Sales!JC36</f>
        <v>0</v>
      </c>
      <c r="JL8" s="242">
        <f>Sales!JD36</f>
        <v>0</v>
      </c>
      <c r="JM8" s="242">
        <f>Sales!JE36</f>
        <v>0</v>
      </c>
      <c r="JN8" s="242">
        <f>Sales!JF36</f>
        <v>0</v>
      </c>
      <c r="JO8" s="242">
        <f>Sales!JG36</f>
        <v>0</v>
      </c>
      <c r="JP8" s="242">
        <f>Sales!JH36</f>
        <v>0</v>
      </c>
      <c r="JQ8" s="242">
        <f>Sales!JI36</f>
        <v>0</v>
      </c>
      <c r="JR8" s="242">
        <f>Sales!JJ36</f>
        <v>0</v>
      </c>
      <c r="JS8" s="242">
        <f>Sales!JK36</f>
        <v>0</v>
      </c>
      <c r="JT8" s="242">
        <f>Sales!JL36</f>
        <v>0</v>
      </c>
      <c r="JU8" s="242">
        <f>Sales!JM36</f>
        <v>0</v>
      </c>
      <c r="JV8" s="242">
        <f>Sales!JN36</f>
        <v>0</v>
      </c>
      <c r="JW8" s="242">
        <f>Sales!JO36</f>
        <v>0</v>
      </c>
      <c r="JX8" s="242">
        <f>Sales!JP36</f>
        <v>0</v>
      </c>
      <c r="JY8" s="242">
        <f>Sales!JQ36</f>
        <v>0</v>
      </c>
      <c r="JZ8" s="242">
        <f>Sales!JR36</f>
        <v>0</v>
      </c>
      <c r="KA8" s="242">
        <f>Sales!JS36</f>
        <v>0</v>
      </c>
      <c r="KB8" s="242">
        <f>Sales!JT36</f>
        <v>0</v>
      </c>
      <c r="KC8" s="242">
        <f>Sales!JU36</f>
        <v>0</v>
      </c>
      <c r="KD8" s="242">
        <f>Sales!JV36</f>
        <v>0</v>
      </c>
      <c r="KE8" s="242">
        <f>Sales!JW36</f>
        <v>0</v>
      </c>
      <c r="KF8" s="242">
        <f>Sales!JX36</f>
        <v>0</v>
      </c>
      <c r="KG8" s="242">
        <f>Sales!JY36</f>
        <v>0</v>
      </c>
      <c r="KH8" s="242">
        <f>Sales!JZ36</f>
        <v>0</v>
      </c>
      <c r="KI8" s="242">
        <f>Sales!KA36</f>
        <v>0</v>
      </c>
      <c r="KJ8" s="242">
        <f>Sales!KB36</f>
        <v>0</v>
      </c>
      <c r="KK8" s="242">
        <f>Sales!KC36</f>
        <v>0</v>
      </c>
      <c r="KL8" s="242">
        <f>Sales!KD36</f>
        <v>0</v>
      </c>
      <c r="KM8" s="242">
        <f>Sales!KE36</f>
        <v>0</v>
      </c>
      <c r="KN8" s="242">
        <f>Sales!KF36</f>
        <v>0</v>
      </c>
      <c r="KO8" s="242">
        <f>Sales!KG36</f>
        <v>0</v>
      </c>
      <c r="KP8" s="242">
        <f>Sales!KH36</f>
        <v>0</v>
      </c>
      <c r="KQ8" s="242">
        <f>Sales!KI36</f>
        <v>0</v>
      </c>
    </row>
    <row r="9" spans="2:303" x14ac:dyDescent="0.35">
      <c r="B9" s="290" t="s">
        <v>106</v>
      </c>
      <c r="C9" s="239">
        <f t="shared" si="20"/>
        <v>60484095277.872696</v>
      </c>
      <c r="D9" s="240">
        <f t="shared" ref="D9:BO9" si="26">SUM(D10:D10)</f>
        <v>0</v>
      </c>
      <c r="E9" s="240">
        <f t="shared" si="26"/>
        <v>181452285.8336181</v>
      </c>
      <c r="F9" s="240">
        <f t="shared" si="26"/>
        <v>181452285.8336181</v>
      </c>
      <c r="G9" s="240">
        <f t="shared" si="26"/>
        <v>181452285.8336181</v>
      </c>
      <c r="H9" s="240">
        <f t="shared" si="26"/>
        <v>181452285.8336181</v>
      </c>
      <c r="I9" s="240">
        <f t="shared" si="26"/>
        <v>241936381.11149079</v>
      </c>
      <c r="J9" s="240">
        <f t="shared" si="26"/>
        <v>937503476.80702674</v>
      </c>
      <c r="K9" s="240">
        <f t="shared" si="26"/>
        <v>937503476.80702674</v>
      </c>
      <c r="L9" s="240">
        <f t="shared" si="26"/>
        <v>937503476.80702674</v>
      </c>
      <c r="M9" s="240">
        <f t="shared" si="26"/>
        <v>937503476.80702674</v>
      </c>
      <c r="N9" s="240">
        <f t="shared" si="26"/>
        <v>937503476.80702674</v>
      </c>
      <c r="O9" s="240">
        <f t="shared" si="26"/>
        <v>725809143.33447242</v>
      </c>
      <c r="P9" s="240">
        <f t="shared" si="26"/>
        <v>725809143.33447242</v>
      </c>
      <c r="Q9" s="240">
        <f t="shared" si="26"/>
        <v>725809143.33447242</v>
      </c>
      <c r="R9" s="240">
        <f t="shared" si="26"/>
        <v>725809143.33447242</v>
      </c>
      <c r="S9" s="240">
        <f t="shared" si="26"/>
        <v>725809143.33447242</v>
      </c>
      <c r="T9" s="240">
        <f t="shared" si="26"/>
        <v>725809143.33447242</v>
      </c>
      <c r="U9" s="240">
        <f t="shared" si="26"/>
        <v>725809143.33447242</v>
      </c>
      <c r="V9" s="240">
        <f t="shared" si="26"/>
        <v>725809143.33447242</v>
      </c>
      <c r="W9" s="240">
        <f t="shared" si="26"/>
        <v>725809143.33447242</v>
      </c>
      <c r="X9" s="240">
        <f t="shared" si="26"/>
        <v>725809143.33447242</v>
      </c>
      <c r="Y9" s="240">
        <f t="shared" si="26"/>
        <v>725809143.33447242</v>
      </c>
      <c r="Z9" s="240">
        <f t="shared" si="26"/>
        <v>725809143.33447242</v>
      </c>
      <c r="AA9" s="240">
        <f t="shared" si="26"/>
        <v>725809143.33447242</v>
      </c>
      <c r="AB9" s="240">
        <f t="shared" si="26"/>
        <v>725809143.33447242</v>
      </c>
      <c r="AC9" s="240">
        <f t="shared" si="26"/>
        <v>725809143.33447242</v>
      </c>
      <c r="AD9" s="240">
        <f t="shared" si="26"/>
        <v>725809143.33447242</v>
      </c>
      <c r="AE9" s="240">
        <f t="shared" si="26"/>
        <v>725809143.33447242</v>
      </c>
      <c r="AF9" s="240">
        <f t="shared" si="26"/>
        <v>725809143.33447242</v>
      </c>
      <c r="AG9" s="240">
        <f t="shared" si="26"/>
        <v>786293238.61234498</v>
      </c>
      <c r="AH9" s="240">
        <f t="shared" si="26"/>
        <v>786293238.61234498</v>
      </c>
      <c r="AI9" s="240">
        <f t="shared" si="26"/>
        <v>786293238.61234498</v>
      </c>
      <c r="AJ9" s="240">
        <f t="shared" si="26"/>
        <v>786293238.61234498</v>
      </c>
      <c r="AK9" s="240">
        <f t="shared" si="26"/>
        <v>816535286.25128138</v>
      </c>
      <c r="AL9" s="240">
        <f t="shared" si="26"/>
        <v>816535286.25128138</v>
      </c>
      <c r="AM9" s="240">
        <f t="shared" si="26"/>
        <v>816535286.25128138</v>
      </c>
      <c r="AN9" s="240">
        <f t="shared" si="26"/>
        <v>816535286.25128138</v>
      </c>
      <c r="AO9" s="240">
        <f t="shared" si="26"/>
        <v>816535286.25128138</v>
      </c>
      <c r="AP9" s="240">
        <f t="shared" si="26"/>
        <v>816535286.25128138</v>
      </c>
      <c r="AQ9" s="240">
        <f t="shared" si="26"/>
        <v>816535286.25128138</v>
      </c>
      <c r="AR9" s="240">
        <f t="shared" si="26"/>
        <v>816535286.25128138</v>
      </c>
      <c r="AS9" s="240">
        <f t="shared" si="26"/>
        <v>816535286.25128138</v>
      </c>
      <c r="AT9" s="240">
        <f t="shared" si="26"/>
        <v>816535286.25128138</v>
      </c>
      <c r="AU9" s="240">
        <f t="shared" si="26"/>
        <v>816535286.25128138</v>
      </c>
      <c r="AV9" s="240">
        <f t="shared" si="26"/>
        <v>816535286.25128138</v>
      </c>
      <c r="AW9" s="240">
        <f t="shared" si="26"/>
        <v>816535286.25128138</v>
      </c>
      <c r="AX9" s="240">
        <f t="shared" si="26"/>
        <v>816535286.25128138</v>
      </c>
      <c r="AY9" s="240">
        <f t="shared" si="26"/>
        <v>816535286.25128138</v>
      </c>
      <c r="AZ9" s="240">
        <f t="shared" si="26"/>
        <v>816535286.25128138</v>
      </c>
      <c r="BA9" s="240">
        <f t="shared" si="26"/>
        <v>816535286.25128138</v>
      </c>
      <c r="BB9" s="240">
        <f t="shared" si="26"/>
        <v>816535286.25128138</v>
      </c>
      <c r="BC9" s="240">
        <f t="shared" si="26"/>
        <v>816535286.25128138</v>
      </c>
      <c r="BD9" s="240">
        <f t="shared" si="26"/>
        <v>816535286.25128138</v>
      </c>
      <c r="BE9" s="240">
        <f t="shared" si="26"/>
        <v>816535286.25128138</v>
      </c>
      <c r="BF9" s="240">
        <f t="shared" si="26"/>
        <v>816535286.25128138</v>
      </c>
      <c r="BG9" s="240">
        <f t="shared" si="26"/>
        <v>816535286.25128138</v>
      </c>
      <c r="BH9" s="240">
        <f t="shared" si="26"/>
        <v>816535286.25128138</v>
      </c>
      <c r="BI9" s="240">
        <f t="shared" si="26"/>
        <v>816535286.25128138</v>
      </c>
      <c r="BJ9" s="240">
        <f t="shared" si="26"/>
        <v>816535286.25128138</v>
      </c>
      <c r="BK9" s="240">
        <f t="shared" si="26"/>
        <v>816535286.25128138</v>
      </c>
      <c r="BL9" s="240">
        <f t="shared" si="26"/>
        <v>816535286.25128138</v>
      </c>
      <c r="BM9" s="240">
        <f t="shared" si="26"/>
        <v>816535286.25128138</v>
      </c>
      <c r="BN9" s="240">
        <f t="shared" si="26"/>
        <v>816535286.25128138</v>
      </c>
      <c r="BO9" s="240">
        <f t="shared" si="26"/>
        <v>816535286.25128138</v>
      </c>
      <c r="BP9" s="240">
        <f t="shared" ref="BP9:EA9" si="27">SUM(BP10:BP10)</f>
        <v>816535286.25128138</v>
      </c>
      <c r="BQ9" s="240">
        <f t="shared" si="27"/>
        <v>816535286.25128138</v>
      </c>
      <c r="BR9" s="240">
        <f t="shared" si="27"/>
        <v>816535286.25128138</v>
      </c>
      <c r="BS9" s="240">
        <f t="shared" si="27"/>
        <v>816535286.25128138</v>
      </c>
      <c r="BT9" s="240">
        <f t="shared" si="27"/>
        <v>816535286.25128138</v>
      </c>
      <c r="BU9" s="240">
        <f t="shared" si="27"/>
        <v>816535286.25128138</v>
      </c>
      <c r="BV9" s="240">
        <f t="shared" si="27"/>
        <v>816535286.25128138</v>
      </c>
      <c r="BW9" s="240">
        <f t="shared" si="27"/>
        <v>816535286.25128138</v>
      </c>
      <c r="BX9" s="240">
        <f t="shared" si="27"/>
        <v>816535286.25128138</v>
      </c>
      <c r="BY9" s="240">
        <f t="shared" si="27"/>
        <v>816535286.25128138</v>
      </c>
      <c r="BZ9" s="240">
        <f t="shared" si="27"/>
        <v>816535286.25128138</v>
      </c>
      <c r="CA9" s="240">
        <f t="shared" si="27"/>
        <v>816535286.25128138</v>
      </c>
      <c r="CB9" s="240">
        <f t="shared" si="27"/>
        <v>816535286.25128138</v>
      </c>
      <c r="CC9" s="240">
        <f t="shared" si="27"/>
        <v>816535286.25128138</v>
      </c>
      <c r="CD9" s="240">
        <f t="shared" si="27"/>
        <v>267858136.23057833</v>
      </c>
      <c r="CE9" s="240">
        <f t="shared" si="27"/>
        <v>267858136.23057833</v>
      </c>
      <c r="CF9" s="240">
        <f t="shared" si="27"/>
        <v>267858136.23057833</v>
      </c>
      <c r="CG9" s="240">
        <f t="shared" si="27"/>
        <v>267858136.23057833</v>
      </c>
      <c r="CH9" s="240">
        <f t="shared" si="27"/>
        <v>267858136.23057833</v>
      </c>
      <c r="CI9" s="240">
        <f t="shared" si="27"/>
        <v>267858136.23057833</v>
      </c>
      <c r="CJ9" s="240">
        <f t="shared" si="27"/>
        <v>267858136.23057833</v>
      </c>
      <c r="CK9" s="240">
        <f t="shared" si="27"/>
        <v>0</v>
      </c>
      <c r="CL9" s="240">
        <f t="shared" si="27"/>
        <v>0</v>
      </c>
      <c r="CM9" s="240">
        <f t="shared" si="27"/>
        <v>0</v>
      </c>
      <c r="CN9" s="240">
        <f t="shared" si="27"/>
        <v>0</v>
      </c>
      <c r="CO9" s="240">
        <f t="shared" si="27"/>
        <v>0</v>
      </c>
      <c r="CP9" s="240">
        <f t="shared" si="27"/>
        <v>0</v>
      </c>
      <c r="CQ9" s="240">
        <f t="shared" si="27"/>
        <v>0</v>
      </c>
      <c r="CR9" s="240">
        <f t="shared" si="27"/>
        <v>0</v>
      </c>
      <c r="CS9" s="240">
        <f t="shared" si="27"/>
        <v>0</v>
      </c>
      <c r="CT9" s="240">
        <f t="shared" si="27"/>
        <v>0</v>
      </c>
      <c r="CU9" s="240">
        <f t="shared" si="27"/>
        <v>0</v>
      </c>
      <c r="CV9" s="240">
        <f t="shared" si="27"/>
        <v>0</v>
      </c>
      <c r="CW9" s="240">
        <f t="shared" si="27"/>
        <v>0</v>
      </c>
      <c r="CX9" s="240">
        <f t="shared" si="27"/>
        <v>0</v>
      </c>
      <c r="CY9" s="240">
        <f t="shared" si="27"/>
        <v>0</v>
      </c>
      <c r="CZ9" s="240">
        <f t="shared" si="27"/>
        <v>0</v>
      </c>
      <c r="DA9" s="240">
        <f t="shared" si="27"/>
        <v>0</v>
      </c>
      <c r="DB9" s="240">
        <f t="shared" si="27"/>
        <v>0</v>
      </c>
      <c r="DC9" s="240">
        <f t="shared" si="27"/>
        <v>0</v>
      </c>
      <c r="DD9" s="240">
        <f t="shared" si="27"/>
        <v>0</v>
      </c>
      <c r="DE9" s="240">
        <f t="shared" si="27"/>
        <v>0</v>
      </c>
      <c r="DF9" s="240">
        <f t="shared" si="27"/>
        <v>0</v>
      </c>
      <c r="DG9" s="240">
        <f t="shared" si="27"/>
        <v>0</v>
      </c>
      <c r="DH9" s="240">
        <f t="shared" si="27"/>
        <v>0</v>
      </c>
      <c r="DI9" s="240">
        <f t="shared" si="27"/>
        <v>0</v>
      </c>
      <c r="DJ9" s="240">
        <f t="shared" si="27"/>
        <v>0</v>
      </c>
      <c r="DK9" s="240">
        <f t="shared" si="27"/>
        <v>0</v>
      </c>
      <c r="DL9" s="240">
        <f t="shared" si="27"/>
        <v>0</v>
      </c>
      <c r="DM9" s="240">
        <f t="shared" si="27"/>
        <v>0</v>
      </c>
      <c r="DN9" s="240">
        <f t="shared" si="27"/>
        <v>0</v>
      </c>
      <c r="DO9" s="240">
        <f t="shared" si="27"/>
        <v>0</v>
      </c>
      <c r="DP9" s="240">
        <f t="shared" si="27"/>
        <v>0</v>
      </c>
      <c r="DQ9" s="240">
        <f t="shared" si="27"/>
        <v>0</v>
      </c>
      <c r="DR9" s="240">
        <f t="shared" si="27"/>
        <v>0</v>
      </c>
      <c r="DS9" s="240">
        <f t="shared" si="27"/>
        <v>0</v>
      </c>
      <c r="DT9" s="240">
        <f t="shared" si="27"/>
        <v>0</v>
      </c>
      <c r="DU9" s="240">
        <f t="shared" si="27"/>
        <v>0</v>
      </c>
      <c r="DV9" s="240">
        <f t="shared" si="27"/>
        <v>0</v>
      </c>
      <c r="DW9" s="240">
        <f t="shared" si="27"/>
        <v>0</v>
      </c>
      <c r="DX9" s="240">
        <f t="shared" si="27"/>
        <v>0</v>
      </c>
      <c r="DY9" s="240">
        <f t="shared" si="27"/>
        <v>0</v>
      </c>
      <c r="DZ9" s="240">
        <f t="shared" si="27"/>
        <v>0</v>
      </c>
      <c r="EA9" s="240">
        <f t="shared" si="27"/>
        <v>0</v>
      </c>
      <c r="EB9" s="240">
        <f t="shared" ref="EB9:GM9" si="28">SUM(EB10:EB10)</f>
        <v>0</v>
      </c>
      <c r="EC9" s="240">
        <f t="shared" si="28"/>
        <v>0</v>
      </c>
      <c r="ED9" s="240">
        <f t="shared" si="28"/>
        <v>0</v>
      </c>
      <c r="EE9" s="240">
        <f t="shared" si="28"/>
        <v>0</v>
      </c>
      <c r="EF9" s="240">
        <f t="shared" si="28"/>
        <v>0</v>
      </c>
      <c r="EG9" s="240">
        <f t="shared" si="28"/>
        <v>0</v>
      </c>
      <c r="EH9" s="240">
        <f t="shared" si="28"/>
        <v>0</v>
      </c>
      <c r="EI9" s="240">
        <f t="shared" si="28"/>
        <v>0</v>
      </c>
      <c r="EJ9" s="240">
        <f t="shared" si="28"/>
        <v>0</v>
      </c>
      <c r="EK9" s="240">
        <f t="shared" si="28"/>
        <v>0</v>
      </c>
      <c r="EL9" s="240">
        <f t="shared" si="28"/>
        <v>0</v>
      </c>
      <c r="EM9" s="240">
        <f t="shared" si="28"/>
        <v>0</v>
      </c>
      <c r="EN9" s="240">
        <f t="shared" si="28"/>
        <v>0</v>
      </c>
      <c r="EO9" s="240">
        <f t="shared" si="28"/>
        <v>0</v>
      </c>
      <c r="EP9" s="240">
        <f t="shared" si="28"/>
        <v>0</v>
      </c>
      <c r="EQ9" s="240">
        <f t="shared" si="28"/>
        <v>0</v>
      </c>
      <c r="ER9" s="240">
        <f t="shared" si="28"/>
        <v>0</v>
      </c>
      <c r="ES9" s="240">
        <f t="shared" si="28"/>
        <v>0</v>
      </c>
      <c r="ET9" s="240">
        <f t="shared" si="28"/>
        <v>0</v>
      </c>
      <c r="EU9" s="240">
        <f t="shared" si="28"/>
        <v>0</v>
      </c>
      <c r="EV9" s="240">
        <f t="shared" si="28"/>
        <v>0</v>
      </c>
      <c r="EW9" s="240">
        <f t="shared" si="28"/>
        <v>0</v>
      </c>
      <c r="EX9" s="240">
        <f t="shared" si="28"/>
        <v>0</v>
      </c>
      <c r="EY9" s="240">
        <f t="shared" si="28"/>
        <v>0</v>
      </c>
      <c r="EZ9" s="240">
        <f t="shared" si="28"/>
        <v>0</v>
      </c>
      <c r="FA9" s="240">
        <f t="shared" si="28"/>
        <v>0</v>
      </c>
      <c r="FB9" s="240">
        <f t="shared" si="28"/>
        <v>0</v>
      </c>
      <c r="FC9" s="240">
        <f t="shared" si="28"/>
        <v>0</v>
      </c>
      <c r="FD9" s="240">
        <f t="shared" si="28"/>
        <v>0</v>
      </c>
      <c r="FE9" s="240">
        <f t="shared" si="28"/>
        <v>0</v>
      </c>
      <c r="FF9" s="240">
        <f t="shared" si="28"/>
        <v>0</v>
      </c>
      <c r="FG9" s="240">
        <f t="shared" si="28"/>
        <v>0</v>
      </c>
      <c r="FH9" s="240">
        <f t="shared" si="28"/>
        <v>0</v>
      </c>
      <c r="FI9" s="240">
        <f t="shared" si="28"/>
        <v>0</v>
      </c>
      <c r="FJ9" s="240">
        <f t="shared" si="28"/>
        <v>0</v>
      </c>
      <c r="FK9" s="240">
        <f t="shared" si="28"/>
        <v>0</v>
      </c>
      <c r="FL9" s="240">
        <f t="shared" si="28"/>
        <v>0</v>
      </c>
      <c r="FM9" s="240">
        <f t="shared" si="28"/>
        <v>0</v>
      </c>
      <c r="FN9" s="240">
        <f t="shared" si="28"/>
        <v>0</v>
      </c>
      <c r="FO9" s="240">
        <f t="shared" si="28"/>
        <v>0</v>
      </c>
      <c r="FP9" s="240">
        <f t="shared" si="28"/>
        <v>0</v>
      </c>
      <c r="FQ9" s="240">
        <f t="shared" si="28"/>
        <v>0</v>
      </c>
      <c r="FR9" s="240">
        <f t="shared" si="28"/>
        <v>0</v>
      </c>
      <c r="FS9" s="240">
        <f t="shared" si="28"/>
        <v>0</v>
      </c>
      <c r="FT9" s="240">
        <f t="shared" si="28"/>
        <v>0</v>
      </c>
      <c r="FU9" s="240">
        <f t="shared" si="28"/>
        <v>0</v>
      </c>
      <c r="FV9" s="240">
        <f t="shared" si="28"/>
        <v>0</v>
      </c>
      <c r="FW9" s="240">
        <f t="shared" si="28"/>
        <v>0</v>
      </c>
      <c r="FX9" s="240">
        <f t="shared" si="28"/>
        <v>0</v>
      </c>
      <c r="FY9" s="240">
        <f t="shared" si="28"/>
        <v>0</v>
      </c>
      <c r="FZ9" s="240">
        <f t="shared" si="28"/>
        <v>0</v>
      </c>
      <c r="GA9" s="240">
        <f t="shared" si="28"/>
        <v>0</v>
      </c>
      <c r="GB9" s="240">
        <f t="shared" si="28"/>
        <v>0</v>
      </c>
      <c r="GC9" s="240">
        <f t="shared" si="28"/>
        <v>0</v>
      </c>
      <c r="GD9" s="240">
        <f t="shared" si="28"/>
        <v>0</v>
      </c>
      <c r="GE9" s="240">
        <f t="shared" si="28"/>
        <v>0</v>
      </c>
      <c r="GF9" s="240">
        <f t="shared" si="28"/>
        <v>0</v>
      </c>
      <c r="GG9" s="240">
        <f t="shared" si="28"/>
        <v>0</v>
      </c>
      <c r="GH9" s="240">
        <f t="shared" si="28"/>
        <v>0</v>
      </c>
      <c r="GI9" s="240">
        <f t="shared" si="28"/>
        <v>0</v>
      </c>
      <c r="GJ9" s="240">
        <f t="shared" si="28"/>
        <v>0</v>
      </c>
      <c r="GK9" s="240">
        <f t="shared" si="28"/>
        <v>0</v>
      </c>
      <c r="GL9" s="240">
        <f t="shared" si="28"/>
        <v>0</v>
      </c>
      <c r="GM9" s="240">
        <f t="shared" si="28"/>
        <v>0</v>
      </c>
      <c r="GN9" s="240">
        <f t="shared" ref="GN9:IY9" si="29">SUM(GN10:GN10)</f>
        <v>0</v>
      </c>
      <c r="GO9" s="240">
        <f t="shared" si="29"/>
        <v>0</v>
      </c>
      <c r="GP9" s="240">
        <f t="shared" si="29"/>
        <v>0</v>
      </c>
      <c r="GQ9" s="240">
        <f t="shared" si="29"/>
        <v>0</v>
      </c>
      <c r="GR9" s="240">
        <f t="shared" si="29"/>
        <v>0</v>
      </c>
      <c r="GS9" s="240">
        <f t="shared" si="29"/>
        <v>0</v>
      </c>
      <c r="GT9" s="240">
        <f t="shared" si="29"/>
        <v>0</v>
      </c>
      <c r="GU9" s="240">
        <f t="shared" si="29"/>
        <v>0</v>
      </c>
      <c r="GV9" s="240">
        <f t="shared" si="29"/>
        <v>0</v>
      </c>
      <c r="GW9" s="240">
        <f t="shared" si="29"/>
        <v>0</v>
      </c>
      <c r="GX9" s="240">
        <f t="shared" si="29"/>
        <v>0</v>
      </c>
      <c r="GY9" s="240">
        <f t="shared" si="29"/>
        <v>0</v>
      </c>
      <c r="GZ9" s="240">
        <f t="shared" si="29"/>
        <v>0</v>
      </c>
      <c r="HA9" s="240">
        <f t="shared" si="29"/>
        <v>0</v>
      </c>
      <c r="HB9" s="240">
        <f t="shared" si="29"/>
        <v>0</v>
      </c>
      <c r="HC9" s="240">
        <f t="shared" si="29"/>
        <v>0</v>
      </c>
      <c r="HD9" s="240">
        <f t="shared" si="29"/>
        <v>0</v>
      </c>
      <c r="HE9" s="240">
        <f t="shared" si="29"/>
        <v>0</v>
      </c>
      <c r="HF9" s="240">
        <f t="shared" si="29"/>
        <v>0</v>
      </c>
      <c r="HG9" s="240">
        <f t="shared" si="29"/>
        <v>0</v>
      </c>
      <c r="HH9" s="240">
        <f t="shared" si="29"/>
        <v>0</v>
      </c>
      <c r="HI9" s="240">
        <f t="shared" si="29"/>
        <v>0</v>
      </c>
      <c r="HJ9" s="240">
        <f t="shared" si="29"/>
        <v>0</v>
      </c>
      <c r="HK9" s="240">
        <f t="shared" si="29"/>
        <v>0</v>
      </c>
      <c r="HL9" s="240">
        <f t="shared" si="29"/>
        <v>0</v>
      </c>
      <c r="HM9" s="240">
        <f t="shared" si="29"/>
        <v>0</v>
      </c>
      <c r="HN9" s="240">
        <f t="shared" si="29"/>
        <v>0</v>
      </c>
      <c r="HO9" s="240">
        <f t="shared" si="29"/>
        <v>0</v>
      </c>
      <c r="HP9" s="240">
        <f t="shared" si="29"/>
        <v>0</v>
      </c>
      <c r="HQ9" s="240">
        <f t="shared" si="29"/>
        <v>0</v>
      </c>
      <c r="HR9" s="240">
        <f t="shared" si="29"/>
        <v>0</v>
      </c>
      <c r="HS9" s="240">
        <f t="shared" si="29"/>
        <v>0</v>
      </c>
      <c r="HT9" s="240">
        <f t="shared" si="29"/>
        <v>0</v>
      </c>
      <c r="HU9" s="240">
        <f t="shared" si="29"/>
        <v>0</v>
      </c>
      <c r="HV9" s="240">
        <f t="shared" si="29"/>
        <v>0</v>
      </c>
      <c r="HW9" s="240">
        <f t="shared" si="29"/>
        <v>0</v>
      </c>
      <c r="HX9" s="240">
        <f t="shared" si="29"/>
        <v>0</v>
      </c>
      <c r="HY9" s="240">
        <f t="shared" si="29"/>
        <v>0</v>
      </c>
      <c r="HZ9" s="240">
        <f t="shared" si="29"/>
        <v>0</v>
      </c>
      <c r="IA9" s="240">
        <f t="shared" si="29"/>
        <v>0</v>
      </c>
      <c r="IB9" s="240">
        <f t="shared" si="29"/>
        <v>0</v>
      </c>
      <c r="IC9" s="240">
        <f t="shared" si="29"/>
        <v>0</v>
      </c>
      <c r="ID9" s="240">
        <f t="shared" si="29"/>
        <v>0</v>
      </c>
      <c r="IE9" s="240">
        <f t="shared" si="29"/>
        <v>0</v>
      </c>
      <c r="IF9" s="240">
        <f t="shared" si="29"/>
        <v>0</v>
      </c>
      <c r="IG9" s="240">
        <f t="shared" si="29"/>
        <v>0</v>
      </c>
      <c r="IH9" s="240">
        <f t="shared" si="29"/>
        <v>0</v>
      </c>
      <c r="II9" s="240">
        <f t="shared" si="29"/>
        <v>0</v>
      </c>
      <c r="IJ9" s="240">
        <f t="shared" si="29"/>
        <v>0</v>
      </c>
      <c r="IK9" s="240">
        <f t="shared" si="29"/>
        <v>0</v>
      </c>
      <c r="IL9" s="240">
        <f t="shared" si="29"/>
        <v>0</v>
      </c>
      <c r="IM9" s="240">
        <f t="shared" si="29"/>
        <v>0</v>
      </c>
      <c r="IN9" s="240">
        <f t="shared" si="29"/>
        <v>0</v>
      </c>
      <c r="IO9" s="240">
        <f t="shared" si="29"/>
        <v>0</v>
      </c>
      <c r="IP9" s="240">
        <f t="shared" si="29"/>
        <v>0</v>
      </c>
      <c r="IQ9" s="240">
        <f t="shared" si="29"/>
        <v>0</v>
      </c>
      <c r="IR9" s="240">
        <f t="shared" si="29"/>
        <v>0</v>
      </c>
      <c r="IS9" s="240">
        <f t="shared" si="29"/>
        <v>0</v>
      </c>
      <c r="IT9" s="240">
        <f t="shared" si="29"/>
        <v>0</v>
      </c>
      <c r="IU9" s="240">
        <f t="shared" si="29"/>
        <v>0</v>
      </c>
      <c r="IV9" s="240">
        <f t="shared" si="29"/>
        <v>0</v>
      </c>
      <c r="IW9" s="240">
        <f t="shared" si="29"/>
        <v>0</v>
      </c>
      <c r="IX9" s="240">
        <f t="shared" si="29"/>
        <v>0</v>
      </c>
      <c r="IY9" s="240">
        <f t="shared" si="29"/>
        <v>0</v>
      </c>
      <c r="IZ9" s="240">
        <f t="shared" ref="IZ9:KQ9" si="30">SUM(IZ10:IZ10)</f>
        <v>0</v>
      </c>
      <c r="JA9" s="240">
        <f t="shared" si="30"/>
        <v>0</v>
      </c>
      <c r="JB9" s="240">
        <f t="shared" si="30"/>
        <v>0</v>
      </c>
      <c r="JC9" s="240">
        <f t="shared" si="30"/>
        <v>0</v>
      </c>
      <c r="JD9" s="240">
        <f t="shared" si="30"/>
        <v>0</v>
      </c>
      <c r="JE9" s="240">
        <f t="shared" si="30"/>
        <v>0</v>
      </c>
      <c r="JF9" s="240">
        <f t="shared" si="30"/>
        <v>0</v>
      </c>
      <c r="JG9" s="240">
        <f t="shared" si="30"/>
        <v>0</v>
      </c>
      <c r="JH9" s="240">
        <f t="shared" si="30"/>
        <v>0</v>
      </c>
      <c r="JI9" s="240">
        <f t="shared" si="30"/>
        <v>0</v>
      </c>
      <c r="JJ9" s="240">
        <f t="shared" si="30"/>
        <v>0</v>
      </c>
      <c r="JK9" s="240">
        <f t="shared" si="30"/>
        <v>0</v>
      </c>
      <c r="JL9" s="240">
        <f t="shared" si="30"/>
        <v>0</v>
      </c>
      <c r="JM9" s="240">
        <f t="shared" si="30"/>
        <v>0</v>
      </c>
      <c r="JN9" s="240">
        <f t="shared" si="30"/>
        <v>0</v>
      </c>
      <c r="JO9" s="240">
        <f t="shared" si="30"/>
        <v>0</v>
      </c>
      <c r="JP9" s="240">
        <f t="shared" si="30"/>
        <v>0</v>
      </c>
      <c r="JQ9" s="240">
        <f t="shared" si="30"/>
        <v>0</v>
      </c>
      <c r="JR9" s="240">
        <f t="shared" si="30"/>
        <v>0</v>
      </c>
      <c r="JS9" s="240">
        <f t="shared" si="30"/>
        <v>0</v>
      </c>
      <c r="JT9" s="240">
        <f t="shared" si="30"/>
        <v>0</v>
      </c>
      <c r="JU9" s="240">
        <f t="shared" si="30"/>
        <v>0</v>
      </c>
      <c r="JV9" s="240">
        <f t="shared" si="30"/>
        <v>0</v>
      </c>
      <c r="JW9" s="240">
        <f t="shared" si="30"/>
        <v>0</v>
      </c>
      <c r="JX9" s="240">
        <f t="shared" si="30"/>
        <v>0</v>
      </c>
      <c r="JY9" s="240">
        <f t="shared" si="30"/>
        <v>0</v>
      </c>
      <c r="JZ9" s="240">
        <f t="shared" si="30"/>
        <v>0</v>
      </c>
      <c r="KA9" s="240">
        <f t="shared" si="30"/>
        <v>0</v>
      </c>
      <c r="KB9" s="240">
        <f t="shared" si="30"/>
        <v>0</v>
      </c>
      <c r="KC9" s="240">
        <f t="shared" si="30"/>
        <v>0</v>
      </c>
      <c r="KD9" s="240">
        <f t="shared" si="30"/>
        <v>0</v>
      </c>
      <c r="KE9" s="240">
        <f t="shared" si="30"/>
        <v>0</v>
      </c>
      <c r="KF9" s="240">
        <f t="shared" si="30"/>
        <v>0</v>
      </c>
      <c r="KG9" s="240">
        <f t="shared" si="30"/>
        <v>0</v>
      </c>
      <c r="KH9" s="240">
        <f t="shared" si="30"/>
        <v>0</v>
      </c>
      <c r="KI9" s="240">
        <f t="shared" si="30"/>
        <v>0</v>
      </c>
      <c r="KJ9" s="240">
        <f t="shared" si="30"/>
        <v>0</v>
      </c>
      <c r="KK9" s="240">
        <f t="shared" si="30"/>
        <v>0</v>
      </c>
      <c r="KL9" s="240">
        <f t="shared" si="30"/>
        <v>0</v>
      </c>
      <c r="KM9" s="240">
        <f t="shared" si="30"/>
        <v>0</v>
      </c>
      <c r="KN9" s="240">
        <f t="shared" si="30"/>
        <v>0</v>
      </c>
      <c r="KO9" s="240">
        <f t="shared" si="30"/>
        <v>0</v>
      </c>
      <c r="KP9" s="240">
        <f t="shared" si="30"/>
        <v>0</v>
      </c>
      <c r="KQ9" s="240">
        <f t="shared" si="30"/>
        <v>0</v>
      </c>
    </row>
    <row r="10" spans="2:303" x14ac:dyDescent="0.35">
      <c r="B10" s="289" t="s">
        <v>107</v>
      </c>
      <c r="C10" s="241">
        <f t="shared" si="20"/>
        <v>60484095277.872696</v>
      </c>
      <c r="D10" s="242">
        <f>'Costs (2)'!E19</f>
        <v>0</v>
      </c>
      <c r="E10" s="242">
        <f>'Costs (2)'!F19</f>
        <v>181452285.8336181</v>
      </c>
      <c r="F10" s="242">
        <f>'Costs (2)'!G19</f>
        <v>181452285.8336181</v>
      </c>
      <c r="G10" s="242">
        <f>'Costs (2)'!H19</f>
        <v>181452285.8336181</v>
      </c>
      <c r="H10" s="242">
        <f>'Costs (2)'!I19</f>
        <v>181452285.8336181</v>
      </c>
      <c r="I10" s="242">
        <f>'Costs (2)'!J19</f>
        <v>241936381.11149079</v>
      </c>
      <c r="J10" s="242">
        <f>'Costs (2)'!K19</f>
        <v>937503476.80702674</v>
      </c>
      <c r="K10" s="242">
        <f>'Costs (2)'!L19</f>
        <v>937503476.80702674</v>
      </c>
      <c r="L10" s="242">
        <f>'Costs (2)'!M19</f>
        <v>937503476.80702674</v>
      </c>
      <c r="M10" s="242">
        <f>'Costs (2)'!N19</f>
        <v>937503476.80702674</v>
      </c>
      <c r="N10" s="242">
        <f>'Costs (2)'!O19</f>
        <v>937503476.80702674</v>
      </c>
      <c r="O10" s="242">
        <f>'Costs (2)'!P19</f>
        <v>725809143.33447242</v>
      </c>
      <c r="P10" s="242">
        <f>'Costs (2)'!Q19</f>
        <v>725809143.33447242</v>
      </c>
      <c r="Q10" s="242">
        <f>'Costs (2)'!R19</f>
        <v>725809143.33447242</v>
      </c>
      <c r="R10" s="242">
        <f>'Costs (2)'!S19</f>
        <v>725809143.33447242</v>
      </c>
      <c r="S10" s="242">
        <f>'Costs (2)'!T19</f>
        <v>725809143.33447242</v>
      </c>
      <c r="T10" s="242">
        <f>'Costs (2)'!U19</f>
        <v>725809143.33447242</v>
      </c>
      <c r="U10" s="242">
        <f>'Costs (2)'!V19</f>
        <v>725809143.33447242</v>
      </c>
      <c r="V10" s="242">
        <f>'Costs (2)'!W19</f>
        <v>725809143.33447242</v>
      </c>
      <c r="W10" s="242">
        <f>'Costs (2)'!X19</f>
        <v>725809143.33447242</v>
      </c>
      <c r="X10" s="242">
        <f>'Costs (2)'!Y19</f>
        <v>725809143.33447242</v>
      </c>
      <c r="Y10" s="242">
        <f>'Costs (2)'!Z19</f>
        <v>725809143.33447242</v>
      </c>
      <c r="Z10" s="242">
        <f>'Costs (2)'!AA19</f>
        <v>725809143.33447242</v>
      </c>
      <c r="AA10" s="242">
        <f>'Costs (2)'!AB19</f>
        <v>725809143.33447242</v>
      </c>
      <c r="AB10" s="242">
        <f>'Costs (2)'!AC19</f>
        <v>725809143.33447242</v>
      </c>
      <c r="AC10" s="242">
        <f>'Costs (2)'!AD19</f>
        <v>725809143.33447242</v>
      </c>
      <c r="AD10" s="242">
        <f>'Costs (2)'!AE19</f>
        <v>725809143.33447242</v>
      </c>
      <c r="AE10" s="242">
        <f>'Costs (2)'!AF19</f>
        <v>725809143.33447242</v>
      </c>
      <c r="AF10" s="242">
        <f>'Costs (2)'!AG19</f>
        <v>725809143.33447242</v>
      </c>
      <c r="AG10" s="242">
        <f>'Costs (2)'!AH19</f>
        <v>786293238.61234498</v>
      </c>
      <c r="AH10" s="242">
        <f>'Costs (2)'!AI19</f>
        <v>786293238.61234498</v>
      </c>
      <c r="AI10" s="242">
        <f>'Costs (2)'!AJ19</f>
        <v>786293238.61234498</v>
      </c>
      <c r="AJ10" s="242">
        <f>'Costs (2)'!AK19</f>
        <v>786293238.61234498</v>
      </c>
      <c r="AK10" s="242">
        <f>'Costs (2)'!AL19</f>
        <v>816535286.25128138</v>
      </c>
      <c r="AL10" s="242">
        <f>'Costs (2)'!AM19</f>
        <v>816535286.25128138</v>
      </c>
      <c r="AM10" s="242">
        <f>'Costs (2)'!AN19</f>
        <v>816535286.25128138</v>
      </c>
      <c r="AN10" s="242">
        <f>'Costs (2)'!AO19</f>
        <v>816535286.25128138</v>
      </c>
      <c r="AO10" s="242">
        <f>'Costs (2)'!AP19</f>
        <v>816535286.25128138</v>
      </c>
      <c r="AP10" s="242">
        <f>'Costs (2)'!AQ19</f>
        <v>816535286.25128138</v>
      </c>
      <c r="AQ10" s="242">
        <f>'Costs (2)'!AR19</f>
        <v>816535286.25128138</v>
      </c>
      <c r="AR10" s="242">
        <f>'Costs (2)'!AS19</f>
        <v>816535286.25128138</v>
      </c>
      <c r="AS10" s="242">
        <f>'Costs (2)'!AT19</f>
        <v>816535286.25128138</v>
      </c>
      <c r="AT10" s="242">
        <f>'Costs (2)'!AU19</f>
        <v>816535286.25128138</v>
      </c>
      <c r="AU10" s="242">
        <f>'Costs (2)'!AV19</f>
        <v>816535286.25128138</v>
      </c>
      <c r="AV10" s="242">
        <f>'Costs (2)'!AW19</f>
        <v>816535286.25128138</v>
      </c>
      <c r="AW10" s="242">
        <f>'Costs (2)'!AX19</f>
        <v>816535286.25128138</v>
      </c>
      <c r="AX10" s="242">
        <f>'Costs (2)'!AY19</f>
        <v>816535286.25128138</v>
      </c>
      <c r="AY10" s="242">
        <f>'Costs (2)'!AZ19</f>
        <v>816535286.25128138</v>
      </c>
      <c r="AZ10" s="242">
        <f>'Costs (2)'!BA19</f>
        <v>816535286.25128138</v>
      </c>
      <c r="BA10" s="242">
        <f>'Costs (2)'!BB19</f>
        <v>816535286.25128138</v>
      </c>
      <c r="BB10" s="242">
        <f>'Costs (2)'!BC19</f>
        <v>816535286.25128138</v>
      </c>
      <c r="BC10" s="242">
        <f>'Costs (2)'!BD19</f>
        <v>816535286.25128138</v>
      </c>
      <c r="BD10" s="242">
        <f>'Costs (2)'!BE19</f>
        <v>816535286.25128138</v>
      </c>
      <c r="BE10" s="242">
        <f>'Costs (2)'!BF19</f>
        <v>816535286.25128138</v>
      </c>
      <c r="BF10" s="242">
        <f>'Costs (2)'!BG19</f>
        <v>816535286.25128138</v>
      </c>
      <c r="BG10" s="242">
        <f>'Costs (2)'!BH19</f>
        <v>816535286.25128138</v>
      </c>
      <c r="BH10" s="242">
        <f>'Costs (2)'!BI19</f>
        <v>816535286.25128138</v>
      </c>
      <c r="BI10" s="242">
        <f>'Costs (2)'!BJ19</f>
        <v>816535286.25128138</v>
      </c>
      <c r="BJ10" s="242">
        <f>'Costs (2)'!BK19</f>
        <v>816535286.25128138</v>
      </c>
      <c r="BK10" s="242">
        <f>'Costs (2)'!BL19</f>
        <v>816535286.25128138</v>
      </c>
      <c r="BL10" s="242">
        <f>'Costs (2)'!BM19</f>
        <v>816535286.25128138</v>
      </c>
      <c r="BM10" s="242">
        <f>'Costs (2)'!BN19</f>
        <v>816535286.25128138</v>
      </c>
      <c r="BN10" s="242">
        <f>'Costs (2)'!BO19</f>
        <v>816535286.25128138</v>
      </c>
      <c r="BO10" s="242">
        <f>'Costs (2)'!BP19</f>
        <v>816535286.25128138</v>
      </c>
      <c r="BP10" s="242">
        <f>'Costs (2)'!BQ19</f>
        <v>816535286.25128138</v>
      </c>
      <c r="BQ10" s="242">
        <f>'Costs (2)'!BR19</f>
        <v>816535286.25128138</v>
      </c>
      <c r="BR10" s="242">
        <f>'Costs (2)'!BS19</f>
        <v>816535286.25128138</v>
      </c>
      <c r="BS10" s="242">
        <f>'Costs (2)'!BT19</f>
        <v>816535286.25128138</v>
      </c>
      <c r="BT10" s="242">
        <f>'Costs (2)'!BU19</f>
        <v>816535286.25128138</v>
      </c>
      <c r="BU10" s="242">
        <f>'Costs (2)'!BV19</f>
        <v>816535286.25128138</v>
      </c>
      <c r="BV10" s="242">
        <f>'Costs (2)'!BW19</f>
        <v>816535286.25128138</v>
      </c>
      <c r="BW10" s="242">
        <f>'Costs (2)'!BX19</f>
        <v>816535286.25128138</v>
      </c>
      <c r="BX10" s="242">
        <f>'Costs (2)'!BY19</f>
        <v>816535286.25128138</v>
      </c>
      <c r="BY10" s="242">
        <f>'Costs (2)'!BZ19</f>
        <v>816535286.25128138</v>
      </c>
      <c r="BZ10" s="242">
        <f>'Costs (2)'!CA19</f>
        <v>816535286.25128138</v>
      </c>
      <c r="CA10" s="242">
        <f>'Costs (2)'!CB19</f>
        <v>816535286.25128138</v>
      </c>
      <c r="CB10" s="242">
        <f>'Costs (2)'!CC19</f>
        <v>816535286.25128138</v>
      </c>
      <c r="CC10" s="242">
        <f>'Costs (2)'!CD19</f>
        <v>816535286.25128138</v>
      </c>
      <c r="CD10" s="242">
        <f>'Costs (2)'!CE19</f>
        <v>267858136.23057833</v>
      </c>
      <c r="CE10" s="242">
        <f>'Costs (2)'!CF19</f>
        <v>267858136.23057833</v>
      </c>
      <c r="CF10" s="242">
        <f>'Costs (2)'!CG19</f>
        <v>267858136.23057833</v>
      </c>
      <c r="CG10" s="242">
        <f>'Costs (2)'!CH19</f>
        <v>267858136.23057833</v>
      </c>
      <c r="CH10" s="242">
        <f>'Costs (2)'!CI19</f>
        <v>267858136.23057833</v>
      </c>
      <c r="CI10" s="242">
        <f>'Costs (2)'!CJ19</f>
        <v>267858136.23057833</v>
      </c>
      <c r="CJ10" s="242">
        <f>'Costs (2)'!CK19</f>
        <v>267858136.23057833</v>
      </c>
      <c r="CK10" s="242">
        <f>'Costs (2)'!CL19</f>
        <v>0</v>
      </c>
      <c r="CL10" s="242">
        <f>'Costs (2)'!CM19</f>
        <v>0</v>
      </c>
      <c r="CM10" s="242">
        <f>'Costs (2)'!CN19</f>
        <v>0</v>
      </c>
      <c r="CN10" s="242">
        <f>'Costs (2)'!CO19</f>
        <v>0</v>
      </c>
      <c r="CO10" s="242">
        <f>'Costs (2)'!CP19</f>
        <v>0</v>
      </c>
      <c r="CP10" s="242">
        <f>'Costs (2)'!CQ19</f>
        <v>0</v>
      </c>
      <c r="CQ10" s="242">
        <f>'Costs (2)'!CR19</f>
        <v>0</v>
      </c>
      <c r="CR10" s="242">
        <f>'Costs (2)'!CS19</f>
        <v>0</v>
      </c>
      <c r="CS10" s="242">
        <f>'Costs (2)'!CT19</f>
        <v>0</v>
      </c>
      <c r="CT10" s="242">
        <f>'Costs (2)'!CU19</f>
        <v>0</v>
      </c>
      <c r="CU10" s="242">
        <f>'Costs (2)'!CV19</f>
        <v>0</v>
      </c>
      <c r="CV10" s="242">
        <f>'Costs (2)'!CW19</f>
        <v>0</v>
      </c>
      <c r="CW10" s="242">
        <f>'Costs (2)'!CX19</f>
        <v>0</v>
      </c>
      <c r="CX10" s="242">
        <f>'Costs (2)'!CY19</f>
        <v>0</v>
      </c>
      <c r="CY10" s="242">
        <f>'Costs (2)'!CZ19</f>
        <v>0</v>
      </c>
      <c r="CZ10" s="242">
        <f>'Costs (2)'!DA19</f>
        <v>0</v>
      </c>
      <c r="DA10" s="242">
        <f>'Costs (2)'!DB19</f>
        <v>0</v>
      </c>
      <c r="DB10" s="242">
        <f>'Costs (2)'!DC19</f>
        <v>0</v>
      </c>
      <c r="DC10" s="242">
        <f>'Costs (2)'!DD19</f>
        <v>0</v>
      </c>
      <c r="DD10" s="242">
        <f>'Costs (2)'!DE19</f>
        <v>0</v>
      </c>
      <c r="DE10" s="242">
        <f>'Costs (2)'!DF19</f>
        <v>0</v>
      </c>
      <c r="DF10" s="242">
        <f>'Costs (2)'!DG19</f>
        <v>0</v>
      </c>
      <c r="DG10" s="242">
        <f>'Costs (2)'!DH19</f>
        <v>0</v>
      </c>
      <c r="DH10" s="242">
        <f>'Costs (2)'!DI19</f>
        <v>0</v>
      </c>
      <c r="DI10" s="242">
        <f>'Costs (2)'!DJ19</f>
        <v>0</v>
      </c>
      <c r="DJ10" s="242">
        <f>'Costs (2)'!DK19</f>
        <v>0</v>
      </c>
      <c r="DK10" s="242">
        <f>'Costs (2)'!DL19</f>
        <v>0</v>
      </c>
      <c r="DL10" s="242">
        <f>'Costs (2)'!DM19</f>
        <v>0</v>
      </c>
      <c r="DM10" s="242">
        <f>'Costs (2)'!DN19</f>
        <v>0</v>
      </c>
      <c r="DN10" s="242">
        <f>'Costs (2)'!DO19</f>
        <v>0</v>
      </c>
      <c r="DO10" s="242">
        <f>'Costs (2)'!DP19</f>
        <v>0</v>
      </c>
      <c r="DP10" s="242">
        <f>'Costs (2)'!DQ19</f>
        <v>0</v>
      </c>
      <c r="DQ10" s="242">
        <f>'Costs (2)'!DR19</f>
        <v>0</v>
      </c>
      <c r="DR10" s="242">
        <f>'Costs (2)'!DS19</f>
        <v>0</v>
      </c>
      <c r="DS10" s="242">
        <f>'Costs (2)'!DT19</f>
        <v>0</v>
      </c>
      <c r="DT10" s="242">
        <f>'Costs (2)'!DU19</f>
        <v>0</v>
      </c>
      <c r="DU10" s="242">
        <f>'Costs (2)'!DV19</f>
        <v>0</v>
      </c>
      <c r="DV10" s="242">
        <f>'Costs (2)'!DW19</f>
        <v>0</v>
      </c>
      <c r="DW10" s="242">
        <f>'Costs (2)'!DX19</f>
        <v>0</v>
      </c>
      <c r="DX10" s="242">
        <f>'Costs (2)'!DY19</f>
        <v>0</v>
      </c>
      <c r="DY10" s="242">
        <f>'Costs (2)'!DZ19</f>
        <v>0</v>
      </c>
      <c r="DZ10" s="242">
        <f>'Costs (2)'!EA19</f>
        <v>0</v>
      </c>
      <c r="EA10" s="242">
        <f>'Costs (2)'!EC19</f>
        <v>0</v>
      </c>
      <c r="EB10" s="242">
        <f>'Costs (2)'!ED19</f>
        <v>0</v>
      </c>
      <c r="EC10" s="242">
        <f>'Costs (2)'!EE19</f>
        <v>0</v>
      </c>
      <c r="ED10" s="242">
        <f>'Costs (2)'!EF19</f>
        <v>0</v>
      </c>
      <c r="EE10" s="242">
        <f>'Costs (2)'!EG19</f>
        <v>0</v>
      </c>
      <c r="EF10" s="242">
        <f>'Costs (2)'!EH19</f>
        <v>0</v>
      </c>
      <c r="EG10" s="242">
        <f>'Costs (2)'!EI19</f>
        <v>0</v>
      </c>
      <c r="EH10" s="242">
        <f>'Costs (2)'!EJ19</f>
        <v>0</v>
      </c>
      <c r="EI10" s="242">
        <f>'Costs (2)'!EK19</f>
        <v>0</v>
      </c>
      <c r="EJ10" s="242">
        <f>'Costs (2)'!EL19</f>
        <v>0</v>
      </c>
      <c r="EK10" s="242">
        <f>'Costs (2)'!EM19</f>
        <v>0</v>
      </c>
      <c r="EL10" s="242">
        <f>'Costs (2)'!EN19</f>
        <v>0</v>
      </c>
      <c r="EM10" s="242">
        <f>'Costs (2)'!EO19</f>
        <v>0</v>
      </c>
      <c r="EN10" s="242">
        <f>'Costs (2)'!EP19</f>
        <v>0</v>
      </c>
      <c r="EO10" s="242">
        <f>'Costs (2)'!EQ19</f>
        <v>0</v>
      </c>
      <c r="EP10" s="242">
        <f>'Costs (2)'!ER19</f>
        <v>0</v>
      </c>
      <c r="EQ10" s="242">
        <f>'Costs (2)'!ES19</f>
        <v>0</v>
      </c>
      <c r="ER10" s="242">
        <f>'Costs (2)'!ET19</f>
        <v>0</v>
      </c>
      <c r="ES10" s="242">
        <f>'Costs (2)'!EU19</f>
        <v>0</v>
      </c>
      <c r="ET10" s="242">
        <f>'Costs (2)'!EV19</f>
        <v>0</v>
      </c>
      <c r="EU10" s="242">
        <f>'Costs (2)'!EW19</f>
        <v>0</v>
      </c>
      <c r="EV10" s="242">
        <f>Costs!EQ37</f>
        <v>0</v>
      </c>
      <c r="EW10" s="242">
        <f>Costs!ER37</f>
        <v>0</v>
      </c>
      <c r="EX10" s="242">
        <f>Costs!ES37</f>
        <v>0</v>
      </c>
      <c r="EY10" s="242">
        <f>Costs!ET37</f>
        <v>0</v>
      </c>
      <c r="EZ10" s="242">
        <f>Costs!EU37</f>
        <v>0</v>
      </c>
      <c r="FA10" s="242">
        <f>Costs!EV37</f>
        <v>0</v>
      </c>
      <c r="FB10" s="242">
        <f>Costs!EW37</f>
        <v>0</v>
      </c>
      <c r="FC10" s="242">
        <f>Costs!EX37</f>
        <v>0</v>
      </c>
      <c r="FD10" s="242">
        <f>Costs!EY37</f>
        <v>0</v>
      </c>
      <c r="FE10" s="242">
        <f>Costs!EZ37</f>
        <v>0</v>
      </c>
      <c r="FF10" s="242">
        <f>Costs!FA37</f>
        <v>0</v>
      </c>
      <c r="FG10" s="242">
        <f>Costs!FB37</f>
        <v>0</v>
      </c>
      <c r="FH10" s="242">
        <f>Costs!FC37</f>
        <v>0</v>
      </c>
      <c r="FI10" s="242">
        <f>Costs!FD37</f>
        <v>0</v>
      </c>
      <c r="FJ10" s="242">
        <f>Costs!FE37</f>
        <v>0</v>
      </c>
      <c r="FK10" s="242">
        <f>Costs!FF37</f>
        <v>0</v>
      </c>
      <c r="FL10" s="242">
        <f>Costs!FG37</f>
        <v>0</v>
      </c>
      <c r="FM10" s="242">
        <f>Costs!FH37</f>
        <v>0</v>
      </c>
      <c r="FN10" s="242">
        <f>Costs!FI37</f>
        <v>0</v>
      </c>
      <c r="FO10" s="242">
        <f>Costs!FJ37</f>
        <v>0</v>
      </c>
      <c r="FP10" s="242">
        <f>Costs!FK37</f>
        <v>0</v>
      </c>
      <c r="FQ10" s="242">
        <f>Costs!FL37</f>
        <v>0</v>
      </c>
      <c r="FR10" s="242">
        <f>Costs!FM37</f>
        <v>0</v>
      </c>
      <c r="FS10" s="242">
        <f>Costs!FN37</f>
        <v>0</v>
      </c>
      <c r="FT10" s="242">
        <f>Costs!FO37</f>
        <v>0</v>
      </c>
      <c r="FU10" s="242">
        <f>Costs!FP37</f>
        <v>0</v>
      </c>
      <c r="FV10" s="242">
        <f>Costs!FQ37</f>
        <v>0</v>
      </c>
      <c r="FW10" s="242">
        <f>Costs!FR37</f>
        <v>0</v>
      </c>
      <c r="FX10" s="242">
        <f>Costs!FS37</f>
        <v>0</v>
      </c>
      <c r="FY10" s="242">
        <f>Costs!FT37</f>
        <v>0</v>
      </c>
      <c r="FZ10" s="242">
        <f>Costs!FU37</f>
        <v>0</v>
      </c>
      <c r="GA10" s="242">
        <f>Costs!FV37</f>
        <v>0</v>
      </c>
      <c r="GB10" s="242">
        <f>Costs!FW37</f>
        <v>0</v>
      </c>
      <c r="GC10" s="242">
        <f>Costs!FX37</f>
        <v>0</v>
      </c>
      <c r="GD10" s="242">
        <f>Costs!FY37</f>
        <v>0</v>
      </c>
      <c r="GE10" s="242">
        <f>Costs!FZ37</f>
        <v>0</v>
      </c>
      <c r="GF10" s="242">
        <f>Costs!GA37</f>
        <v>0</v>
      </c>
      <c r="GG10" s="242">
        <f>Costs!GB37</f>
        <v>0</v>
      </c>
      <c r="GH10" s="242">
        <f>Costs!GC37</f>
        <v>0</v>
      </c>
      <c r="GI10" s="242">
        <f>Costs!GD37</f>
        <v>0</v>
      </c>
      <c r="GJ10" s="242">
        <f>Costs!GE37</f>
        <v>0</v>
      </c>
      <c r="GK10" s="242">
        <f>Costs!GF37</f>
        <v>0</v>
      </c>
      <c r="GL10" s="242">
        <f>Costs!GG37</f>
        <v>0</v>
      </c>
      <c r="GM10" s="242">
        <f>Costs!GH37</f>
        <v>0</v>
      </c>
      <c r="GN10" s="242">
        <f>Costs!GI37</f>
        <v>0</v>
      </c>
      <c r="GO10" s="242">
        <f>Costs!GJ37</f>
        <v>0</v>
      </c>
      <c r="GP10" s="242">
        <f>Costs!GK37</f>
        <v>0</v>
      </c>
      <c r="GQ10" s="242">
        <f>Costs!GL37</f>
        <v>0</v>
      </c>
      <c r="GR10" s="242">
        <f>Costs!GM37</f>
        <v>0</v>
      </c>
      <c r="GS10" s="242">
        <f>Costs!GN37</f>
        <v>0</v>
      </c>
      <c r="GT10" s="242">
        <f>Costs!GO37</f>
        <v>0</v>
      </c>
      <c r="GU10" s="242">
        <f>Costs!GP37</f>
        <v>0</v>
      </c>
      <c r="GV10" s="242">
        <f>Costs!GQ37</f>
        <v>0</v>
      </c>
      <c r="GW10" s="242">
        <f>Costs!GR37</f>
        <v>0</v>
      </c>
      <c r="GX10" s="242">
        <f>Costs!GS37</f>
        <v>0</v>
      </c>
      <c r="GY10" s="242">
        <f>Costs!GT37</f>
        <v>0</v>
      </c>
      <c r="GZ10" s="242">
        <f>Costs!GU37</f>
        <v>0</v>
      </c>
      <c r="HA10" s="242">
        <f>Costs!GV37</f>
        <v>0</v>
      </c>
      <c r="HB10" s="242">
        <f>Costs!GW37</f>
        <v>0</v>
      </c>
      <c r="HC10" s="242">
        <f>Costs!GX37</f>
        <v>0</v>
      </c>
      <c r="HD10" s="242">
        <f>Costs!GY37</f>
        <v>0</v>
      </c>
      <c r="HE10" s="242">
        <f>Costs!GZ37</f>
        <v>0</v>
      </c>
      <c r="HF10" s="242">
        <f>Costs!HA37</f>
        <v>0</v>
      </c>
      <c r="HG10" s="242">
        <f>Costs!HB37</f>
        <v>0</v>
      </c>
      <c r="HH10" s="242">
        <f>Costs!HC37</f>
        <v>0</v>
      </c>
      <c r="HI10" s="242">
        <f>Costs!HD37</f>
        <v>0</v>
      </c>
      <c r="HJ10" s="242">
        <f>Costs!HE37</f>
        <v>0</v>
      </c>
      <c r="HK10" s="242">
        <f>Costs!HF37</f>
        <v>0</v>
      </c>
      <c r="HL10" s="242">
        <f>Costs!HG37</f>
        <v>0</v>
      </c>
      <c r="HM10" s="242">
        <f>Costs!HH37</f>
        <v>0</v>
      </c>
      <c r="HN10" s="242">
        <f>Costs!HI37</f>
        <v>0</v>
      </c>
      <c r="HO10" s="242">
        <f>Costs!HJ37</f>
        <v>0</v>
      </c>
      <c r="HP10" s="242">
        <f>Costs!HK37</f>
        <v>0</v>
      </c>
      <c r="HQ10" s="242">
        <f>Costs!HL37</f>
        <v>0</v>
      </c>
      <c r="HR10" s="242">
        <f>Costs!HM37</f>
        <v>0</v>
      </c>
      <c r="HS10" s="242">
        <f>Costs!HN37</f>
        <v>0</v>
      </c>
      <c r="HT10" s="242">
        <f>Costs!HO37</f>
        <v>0</v>
      </c>
      <c r="HU10" s="242">
        <f>Costs!HP37</f>
        <v>0</v>
      </c>
      <c r="HV10" s="242">
        <f>Costs!HQ37</f>
        <v>0</v>
      </c>
      <c r="HW10" s="242">
        <f>Costs!HR37</f>
        <v>0</v>
      </c>
      <c r="HX10" s="242">
        <f>Costs!HS37</f>
        <v>0</v>
      </c>
      <c r="HY10" s="242">
        <f>Costs!HT37</f>
        <v>0</v>
      </c>
      <c r="HZ10" s="242">
        <f>Costs!HU37</f>
        <v>0</v>
      </c>
      <c r="IA10" s="242">
        <f>Costs!HV37</f>
        <v>0</v>
      </c>
      <c r="IB10" s="242">
        <f>Costs!HW37</f>
        <v>0</v>
      </c>
      <c r="IC10" s="242">
        <f>Costs!HX37</f>
        <v>0</v>
      </c>
      <c r="ID10" s="242">
        <f>Costs!HY37</f>
        <v>0</v>
      </c>
      <c r="IE10" s="242">
        <f>Costs!HZ37</f>
        <v>0</v>
      </c>
      <c r="IF10" s="242">
        <f>Costs!IA37</f>
        <v>0</v>
      </c>
      <c r="IG10" s="242">
        <f>Costs!IB37</f>
        <v>0</v>
      </c>
      <c r="IH10" s="242">
        <f>Costs!IC37</f>
        <v>0</v>
      </c>
      <c r="II10" s="242">
        <f>Costs!ID37</f>
        <v>0</v>
      </c>
      <c r="IJ10" s="242">
        <f>Costs!IE37</f>
        <v>0</v>
      </c>
      <c r="IK10" s="242">
        <f>Costs!IF37</f>
        <v>0</v>
      </c>
      <c r="IL10" s="242">
        <f>Costs!IG37</f>
        <v>0</v>
      </c>
      <c r="IM10" s="242">
        <f>Costs!IH37</f>
        <v>0</v>
      </c>
      <c r="IN10" s="242">
        <f>Costs!II37</f>
        <v>0</v>
      </c>
      <c r="IO10" s="242">
        <f>Costs!IJ37</f>
        <v>0</v>
      </c>
      <c r="IP10" s="242">
        <f>Costs!IK37</f>
        <v>0</v>
      </c>
      <c r="IQ10" s="242">
        <f>Costs!IL37</f>
        <v>0</v>
      </c>
      <c r="IR10" s="242">
        <f>Costs!IM37</f>
        <v>0</v>
      </c>
      <c r="IS10" s="242">
        <f>Costs!IN37</f>
        <v>0</v>
      </c>
      <c r="IT10" s="242">
        <f>Costs!IO37</f>
        <v>0</v>
      </c>
      <c r="IU10" s="242">
        <f>Costs!IP37</f>
        <v>0</v>
      </c>
      <c r="IV10" s="242">
        <f>Costs!IQ37</f>
        <v>0</v>
      </c>
      <c r="IW10" s="242">
        <f>Costs!IR37</f>
        <v>0</v>
      </c>
      <c r="IX10" s="242">
        <f>Costs!IS37</f>
        <v>0</v>
      </c>
      <c r="IY10" s="242">
        <f>Costs!IT37</f>
        <v>0</v>
      </c>
      <c r="IZ10" s="242">
        <f>Costs!IU37</f>
        <v>0</v>
      </c>
      <c r="JA10" s="242">
        <f>Costs!IV37</f>
        <v>0</v>
      </c>
      <c r="JB10" s="242">
        <f>Costs!IW37</f>
        <v>0</v>
      </c>
      <c r="JC10" s="242">
        <f>Costs!IX37</f>
        <v>0</v>
      </c>
      <c r="JD10" s="242">
        <f>Costs!IY37</f>
        <v>0</v>
      </c>
      <c r="JE10" s="242">
        <f>Costs!IZ37</f>
        <v>0</v>
      </c>
      <c r="JF10" s="242">
        <f>Costs!JA37</f>
        <v>0</v>
      </c>
      <c r="JG10" s="242">
        <f>Costs!JB37</f>
        <v>0</v>
      </c>
      <c r="JH10" s="242">
        <f>Costs!JC37</f>
        <v>0</v>
      </c>
      <c r="JI10" s="242">
        <f>Costs!JD37</f>
        <v>0</v>
      </c>
      <c r="JJ10" s="242">
        <f>Costs!JE37</f>
        <v>0</v>
      </c>
      <c r="JK10" s="242">
        <f>Costs!JF37</f>
        <v>0</v>
      </c>
      <c r="JL10" s="242">
        <f>Costs!JG37</f>
        <v>0</v>
      </c>
      <c r="JM10" s="242">
        <f>Costs!JH37</f>
        <v>0</v>
      </c>
      <c r="JN10" s="242">
        <f>Costs!JI37</f>
        <v>0</v>
      </c>
      <c r="JO10" s="242">
        <f>Costs!JJ37</f>
        <v>0</v>
      </c>
      <c r="JP10" s="242">
        <f>Costs!JK37</f>
        <v>0</v>
      </c>
      <c r="JQ10" s="242">
        <f>Costs!JL37</f>
        <v>0</v>
      </c>
      <c r="JR10" s="242">
        <f>Costs!JM37</f>
        <v>0</v>
      </c>
      <c r="JS10" s="242">
        <f>Costs!JN37</f>
        <v>0</v>
      </c>
      <c r="JT10" s="242">
        <f>Costs!JO37</f>
        <v>0</v>
      </c>
      <c r="JU10" s="242">
        <f>Costs!JP37</f>
        <v>0</v>
      </c>
      <c r="JV10" s="242">
        <f>Costs!JQ37</f>
        <v>0</v>
      </c>
      <c r="JW10" s="242">
        <f>Costs!JR37</f>
        <v>0</v>
      </c>
      <c r="JX10" s="242">
        <f>Costs!JS37</f>
        <v>0</v>
      </c>
      <c r="JY10" s="242">
        <f>Costs!JT37</f>
        <v>0</v>
      </c>
      <c r="JZ10" s="242">
        <f>Costs!JU37</f>
        <v>0</v>
      </c>
      <c r="KA10" s="242">
        <f>Costs!JV37</f>
        <v>0</v>
      </c>
      <c r="KB10" s="242">
        <f>Costs!JW37</f>
        <v>0</v>
      </c>
      <c r="KC10" s="242">
        <f>Costs!JX37</f>
        <v>0</v>
      </c>
      <c r="KD10" s="242">
        <f>Costs!JY37</f>
        <v>0</v>
      </c>
      <c r="KE10" s="242">
        <f>Costs!JZ37</f>
        <v>0</v>
      </c>
      <c r="KF10" s="242">
        <f>Costs!KA37</f>
        <v>0</v>
      </c>
      <c r="KG10" s="242">
        <f>Costs!KB37</f>
        <v>0</v>
      </c>
      <c r="KH10" s="242">
        <f>Costs!KC37</f>
        <v>0</v>
      </c>
      <c r="KI10" s="242">
        <f>Costs!KD37</f>
        <v>0</v>
      </c>
      <c r="KJ10" s="242">
        <f>Costs!KE37</f>
        <v>0</v>
      </c>
      <c r="KK10" s="242">
        <f>Costs!KF37</f>
        <v>0</v>
      </c>
      <c r="KL10" s="242">
        <f>Costs!KG37</f>
        <v>0</v>
      </c>
      <c r="KM10" s="242">
        <f>Costs!KH37</f>
        <v>0</v>
      </c>
      <c r="KN10" s="242">
        <f>Costs!KI37</f>
        <v>0</v>
      </c>
      <c r="KO10" s="242">
        <f>Costs!KJ37</f>
        <v>0</v>
      </c>
      <c r="KP10" s="242">
        <f>Costs!KK37</f>
        <v>0</v>
      </c>
      <c r="KQ10" s="242">
        <f>Costs!KL37</f>
        <v>0</v>
      </c>
    </row>
    <row r="11" spans="2:303" x14ac:dyDescent="0.35">
      <c r="B11" s="243" t="s">
        <v>108</v>
      </c>
      <c r="C11" s="239">
        <f t="shared" si="20"/>
        <v>-49770795277.872688</v>
      </c>
      <c r="D11" s="240">
        <f t="shared" ref="D11:BO11" si="31">D7-D9</f>
        <v>321399000</v>
      </c>
      <c r="E11" s="240">
        <f t="shared" si="31"/>
        <v>139946714.1663819</v>
      </c>
      <c r="F11" s="240">
        <f t="shared" si="31"/>
        <v>139946714.1663819</v>
      </c>
      <c r="G11" s="240">
        <f t="shared" si="31"/>
        <v>139946714.1663819</v>
      </c>
      <c r="H11" s="240">
        <f t="shared" si="31"/>
        <v>150660014.1663819</v>
      </c>
      <c r="I11" s="240">
        <f t="shared" si="31"/>
        <v>90175918.888509214</v>
      </c>
      <c r="J11" s="240">
        <f t="shared" si="31"/>
        <v>-605391176.80702674</v>
      </c>
      <c r="K11" s="240">
        <f t="shared" si="31"/>
        <v>-605391176.80702674</v>
      </c>
      <c r="L11" s="240">
        <f t="shared" si="31"/>
        <v>-594677876.80702674</v>
      </c>
      <c r="M11" s="240">
        <f t="shared" si="31"/>
        <v>-594677876.80702674</v>
      </c>
      <c r="N11" s="240">
        <f t="shared" si="31"/>
        <v>-594677876.80702674</v>
      </c>
      <c r="O11" s="240">
        <f t="shared" si="31"/>
        <v>-382983543.33447242</v>
      </c>
      <c r="P11" s="240">
        <f t="shared" si="31"/>
        <v>-382983543.33447242</v>
      </c>
      <c r="Q11" s="240">
        <f t="shared" si="31"/>
        <v>-372270243.33447242</v>
      </c>
      <c r="R11" s="240">
        <f t="shared" si="31"/>
        <v>-372270243.33447242</v>
      </c>
      <c r="S11" s="240">
        <f t="shared" si="31"/>
        <v>-372270243.33447242</v>
      </c>
      <c r="T11" s="240">
        <f t="shared" si="31"/>
        <v>-372270243.33447242</v>
      </c>
      <c r="U11" s="240">
        <f t="shared" si="31"/>
        <v>-372270243.33447242</v>
      </c>
      <c r="V11" s="240">
        <f t="shared" si="31"/>
        <v>43762906.665527463</v>
      </c>
      <c r="W11" s="240">
        <f t="shared" si="31"/>
        <v>43762906.665527463</v>
      </c>
      <c r="X11" s="240">
        <f t="shared" si="31"/>
        <v>43762906.665527463</v>
      </c>
      <c r="Y11" s="240">
        <f t="shared" si="31"/>
        <v>43762906.665527463</v>
      </c>
      <c r="Z11" s="240">
        <f t="shared" si="31"/>
        <v>43762906.665527463</v>
      </c>
      <c r="AA11" s="240">
        <f t="shared" si="31"/>
        <v>43762906.665527463</v>
      </c>
      <c r="AB11" s="240">
        <f t="shared" si="31"/>
        <v>-725809143.33447242</v>
      </c>
      <c r="AC11" s="240">
        <f t="shared" si="31"/>
        <v>-725809143.33447242</v>
      </c>
      <c r="AD11" s="240">
        <f t="shared" si="31"/>
        <v>-725809143.33447242</v>
      </c>
      <c r="AE11" s="240">
        <f t="shared" si="31"/>
        <v>-725809143.33447242</v>
      </c>
      <c r="AF11" s="240">
        <f t="shared" si="31"/>
        <v>-725809143.33447242</v>
      </c>
      <c r="AG11" s="240">
        <f t="shared" si="31"/>
        <v>-786293238.61234498</v>
      </c>
      <c r="AH11" s="240">
        <f t="shared" si="31"/>
        <v>-786293238.61234498</v>
      </c>
      <c r="AI11" s="240">
        <f t="shared" si="31"/>
        <v>-786293238.61234498</v>
      </c>
      <c r="AJ11" s="240">
        <f t="shared" si="31"/>
        <v>-786293238.61234498</v>
      </c>
      <c r="AK11" s="240">
        <f t="shared" si="31"/>
        <v>-816535286.25128138</v>
      </c>
      <c r="AL11" s="240">
        <f t="shared" si="31"/>
        <v>-816535286.25128138</v>
      </c>
      <c r="AM11" s="240">
        <f t="shared" si="31"/>
        <v>-816535286.25128138</v>
      </c>
      <c r="AN11" s="240">
        <f t="shared" si="31"/>
        <v>-816535286.25128138</v>
      </c>
      <c r="AO11" s="240">
        <f t="shared" si="31"/>
        <v>-816535286.25128138</v>
      </c>
      <c r="AP11" s="240">
        <f t="shared" si="31"/>
        <v>-816535286.25128138</v>
      </c>
      <c r="AQ11" s="240">
        <f t="shared" si="31"/>
        <v>-816535286.25128138</v>
      </c>
      <c r="AR11" s="240">
        <f t="shared" si="31"/>
        <v>-816535286.25128138</v>
      </c>
      <c r="AS11" s="240">
        <f t="shared" si="31"/>
        <v>-816535286.25128138</v>
      </c>
      <c r="AT11" s="240">
        <f t="shared" si="31"/>
        <v>-816535286.25128138</v>
      </c>
      <c r="AU11" s="240">
        <f t="shared" si="31"/>
        <v>-816535286.25128138</v>
      </c>
      <c r="AV11" s="240">
        <f t="shared" si="31"/>
        <v>-816535286.25128138</v>
      </c>
      <c r="AW11" s="240">
        <f t="shared" si="31"/>
        <v>-816535286.25128138</v>
      </c>
      <c r="AX11" s="240">
        <f t="shared" si="31"/>
        <v>-816535286.25128138</v>
      </c>
      <c r="AY11" s="240">
        <f t="shared" si="31"/>
        <v>-816535286.25128138</v>
      </c>
      <c r="AZ11" s="240">
        <f t="shared" si="31"/>
        <v>-816535286.25128138</v>
      </c>
      <c r="BA11" s="240">
        <f t="shared" si="31"/>
        <v>-816535286.25128138</v>
      </c>
      <c r="BB11" s="240">
        <f t="shared" si="31"/>
        <v>-816535286.25128138</v>
      </c>
      <c r="BC11" s="240">
        <f t="shared" si="31"/>
        <v>-816535286.25128138</v>
      </c>
      <c r="BD11" s="240">
        <f t="shared" si="31"/>
        <v>-816535286.25128138</v>
      </c>
      <c r="BE11" s="240">
        <f t="shared" si="31"/>
        <v>-816535286.25128138</v>
      </c>
      <c r="BF11" s="240">
        <f t="shared" si="31"/>
        <v>-816535286.25128138</v>
      </c>
      <c r="BG11" s="240">
        <f t="shared" si="31"/>
        <v>-816535286.25128138</v>
      </c>
      <c r="BH11" s="240">
        <f t="shared" si="31"/>
        <v>-816535286.25128138</v>
      </c>
      <c r="BI11" s="240">
        <f t="shared" si="31"/>
        <v>-816535286.25128138</v>
      </c>
      <c r="BJ11" s="240">
        <f t="shared" si="31"/>
        <v>-816535286.25128138</v>
      </c>
      <c r="BK11" s="240">
        <f t="shared" si="31"/>
        <v>-816535286.25128138</v>
      </c>
      <c r="BL11" s="240">
        <f t="shared" si="31"/>
        <v>-816535286.25128138</v>
      </c>
      <c r="BM11" s="240">
        <f t="shared" si="31"/>
        <v>-816535286.25128138</v>
      </c>
      <c r="BN11" s="240">
        <f t="shared" si="31"/>
        <v>-816535286.25128138</v>
      </c>
      <c r="BO11" s="240">
        <f t="shared" si="31"/>
        <v>-816535286.25128138</v>
      </c>
      <c r="BP11" s="240">
        <f t="shared" ref="BP11:EA11" si="32">BP7-BP9</f>
        <v>-816535286.25128138</v>
      </c>
      <c r="BQ11" s="240">
        <f t="shared" si="32"/>
        <v>-816535286.25128138</v>
      </c>
      <c r="BR11" s="240">
        <f t="shared" si="32"/>
        <v>-816535286.25128138</v>
      </c>
      <c r="BS11" s="240">
        <f t="shared" si="32"/>
        <v>-816535286.25128138</v>
      </c>
      <c r="BT11" s="240">
        <f t="shared" si="32"/>
        <v>-816535286.25128138</v>
      </c>
      <c r="BU11" s="240">
        <f t="shared" si="32"/>
        <v>-816535286.25128138</v>
      </c>
      <c r="BV11" s="240">
        <f t="shared" si="32"/>
        <v>-816535286.25128138</v>
      </c>
      <c r="BW11" s="240">
        <f t="shared" si="32"/>
        <v>-816535286.25128138</v>
      </c>
      <c r="BX11" s="240">
        <f t="shared" si="32"/>
        <v>-816535286.25128138</v>
      </c>
      <c r="BY11" s="240">
        <f t="shared" si="32"/>
        <v>-816535286.25128138</v>
      </c>
      <c r="BZ11" s="240">
        <f t="shared" si="32"/>
        <v>-816535286.25128138</v>
      </c>
      <c r="CA11" s="240">
        <f t="shared" si="32"/>
        <v>-816535286.25128138</v>
      </c>
      <c r="CB11" s="240">
        <f t="shared" si="32"/>
        <v>-816535286.25128138</v>
      </c>
      <c r="CC11" s="240">
        <f t="shared" si="32"/>
        <v>-816535286.25128138</v>
      </c>
      <c r="CD11" s="240">
        <f t="shared" si="32"/>
        <v>-267858136.23057833</v>
      </c>
      <c r="CE11" s="240">
        <f t="shared" si="32"/>
        <v>-267858136.23057833</v>
      </c>
      <c r="CF11" s="240">
        <f t="shared" si="32"/>
        <v>-267858136.23057833</v>
      </c>
      <c r="CG11" s="240">
        <f t="shared" si="32"/>
        <v>-267858136.23057833</v>
      </c>
      <c r="CH11" s="240">
        <f t="shared" si="32"/>
        <v>-267858136.23057833</v>
      </c>
      <c r="CI11" s="240">
        <f t="shared" si="32"/>
        <v>-267858136.23057833</v>
      </c>
      <c r="CJ11" s="240">
        <f t="shared" si="32"/>
        <v>-267858136.23057833</v>
      </c>
      <c r="CK11" s="240">
        <f t="shared" si="32"/>
        <v>0</v>
      </c>
      <c r="CL11" s="240">
        <f t="shared" si="32"/>
        <v>0</v>
      </c>
      <c r="CM11" s="240">
        <f t="shared" si="32"/>
        <v>0</v>
      </c>
      <c r="CN11" s="240">
        <f t="shared" si="32"/>
        <v>0</v>
      </c>
      <c r="CO11" s="240">
        <f t="shared" si="32"/>
        <v>0</v>
      </c>
      <c r="CP11" s="240">
        <f t="shared" si="32"/>
        <v>0</v>
      </c>
      <c r="CQ11" s="240">
        <f t="shared" si="32"/>
        <v>0</v>
      </c>
      <c r="CR11" s="240">
        <f t="shared" si="32"/>
        <v>0</v>
      </c>
      <c r="CS11" s="240">
        <f t="shared" si="32"/>
        <v>0</v>
      </c>
      <c r="CT11" s="240">
        <f t="shared" si="32"/>
        <v>0</v>
      </c>
      <c r="CU11" s="240">
        <f t="shared" si="32"/>
        <v>0</v>
      </c>
      <c r="CV11" s="240">
        <f t="shared" si="32"/>
        <v>0</v>
      </c>
      <c r="CW11" s="240">
        <f t="shared" si="32"/>
        <v>0</v>
      </c>
      <c r="CX11" s="240">
        <f t="shared" si="32"/>
        <v>0</v>
      </c>
      <c r="CY11" s="240">
        <f t="shared" si="32"/>
        <v>0</v>
      </c>
      <c r="CZ11" s="240">
        <f t="shared" si="32"/>
        <v>0</v>
      </c>
      <c r="DA11" s="240">
        <f t="shared" si="32"/>
        <v>0</v>
      </c>
      <c r="DB11" s="240">
        <f t="shared" si="32"/>
        <v>0</v>
      </c>
      <c r="DC11" s="240">
        <f t="shared" si="32"/>
        <v>0</v>
      </c>
      <c r="DD11" s="240">
        <f t="shared" si="32"/>
        <v>0</v>
      </c>
      <c r="DE11" s="240">
        <f t="shared" si="32"/>
        <v>0</v>
      </c>
      <c r="DF11" s="240">
        <f t="shared" si="32"/>
        <v>0</v>
      </c>
      <c r="DG11" s="240">
        <f t="shared" si="32"/>
        <v>0</v>
      </c>
      <c r="DH11" s="240">
        <f t="shared" si="32"/>
        <v>0</v>
      </c>
      <c r="DI11" s="240">
        <f t="shared" si="32"/>
        <v>0</v>
      </c>
      <c r="DJ11" s="240">
        <f t="shared" si="32"/>
        <v>0</v>
      </c>
      <c r="DK11" s="240">
        <f t="shared" si="32"/>
        <v>0</v>
      </c>
      <c r="DL11" s="240">
        <f t="shared" si="32"/>
        <v>0</v>
      </c>
      <c r="DM11" s="240">
        <f t="shared" si="32"/>
        <v>0</v>
      </c>
      <c r="DN11" s="240">
        <f t="shared" si="32"/>
        <v>0</v>
      </c>
      <c r="DO11" s="240">
        <f t="shared" si="32"/>
        <v>0</v>
      </c>
      <c r="DP11" s="240">
        <f t="shared" si="32"/>
        <v>0</v>
      </c>
      <c r="DQ11" s="240">
        <f t="shared" si="32"/>
        <v>0</v>
      </c>
      <c r="DR11" s="240">
        <f t="shared" si="32"/>
        <v>0</v>
      </c>
      <c r="DS11" s="240">
        <f t="shared" si="32"/>
        <v>0</v>
      </c>
      <c r="DT11" s="240">
        <f t="shared" si="32"/>
        <v>0</v>
      </c>
      <c r="DU11" s="240">
        <f t="shared" si="32"/>
        <v>0</v>
      </c>
      <c r="DV11" s="240">
        <f t="shared" si="32"/>
        <v>0</v>
      </c>
      <c r="DW11" s="240">
        <f t="shared" si="32"/>
        <v>0</v>
      </c>
      <c r="DX11" s="240">
        <f t="shared" si="32"/>
        <v>0</v>
      </c>
      <c r="DY11" s="240">
        <f t="shared" si="32"/>
        <v>0</v>
      </c>
      <c r="DZ11" s="240">
        <f t="shared" si="32"/>
        <v>0</v>
      </c>
      <c r="EA11" s="240">
        <f t="shared" si="32"/>
        <v>0</v>
      </c>
      <c r="EB11" s="240">
        <f t="shared" ref="EB11:GM11" si="33">EB7-EB9</f>
        <v>0</v>
      </c>
      <c r="EC11" s="240">
        <f t="shared" si="33"/>
        <v>0</v>
      </c>
      <c r="ED11" s="240">
        <f t="shared" si="33"/>
        <v>0</v>
      </c>
      <c r="EE11" s="240">
        <f t="shared" si="33"/>
        <v>0</v>
      </c>
      <c r="EF11" s="240">
        <f t="shared" si="33"/>
        <v>0</v>
      </c>
      <c r="EG11" s="240">
        <f t="shared" si="33"/>
        <v>0</v>
      </c>
      <c r="EH11" s="240">
        <f t="shared" si="33"/>
        <v>0</v>
      </c>
      <c r="EI11" s="240">
        <f t="shared" si="33"/>
        <v>0</v>
      </c>
      <c r="EJ11" s="240">
        <f t="shared" si="33"/>
        <v>0</v>
      </c>
      <c r="EK11" s="240">
        <f t="shared" si="33"/>
        <v>0</v>
      </c>
      <c r="EL11" s="240">
        <f t="shared" si="33"/>
        <v>0</v>
      </c>
      <c r="EM11" s="240">
        <f t="shared" si="33"/>
        <v>0</v>
      </c>
      <c r="EN11" s="240">
        <f t="shared" si="33"/>
        <v>0</v>
      </c>
      <c r="EO11" s="240">
        <f t="shared" si="33"/>
        <v>0</v>
      </c>
      <c r="EP11" s="240">
        <f t="shared" si="33"/>
        <v>0</v>
      </c>
      <c r="EQ11" s="240">
        <f t="shared" si="33"/>
        <v>0</v>
      </c>
      <c r="ER11" s="240">
        <f t="shared" si="33"/>
        <v>0</v>
      </c>
      <c r="ES11" s="240">
        <f t="shared" si="33"/>
        <v>0</v>
      </c>
      <c r="ET11" s="240">
        <f t="shared" si="33"/>
        <v>0</v>
      </c>
      <c r="EU11" s="240">
        <f t="shared" si="33"/>
        <v>0</v>
      </c>
      <c r="EV11" s="240">
        <f t="shared" si="33"/>
        <v>0</v>
      </c>
      <c r="EW11" s="240">
        <f t="shared" si="33"/>
        <v>0</v>
      </c>
      <c r="EX11" s="240">
        <f t="shared" si="33"/>
        <v>0</v>
      </c>
      <c r="EY11" s="240">
        <f t="shared" si="33"/>
        <v>0</v>
      </c>
      <c r="EZ11" s="240">
        <f t="shared" si="33"/>
        <v>0</v>
      </c>
      <c r="FA11" s="240">
        <f t="shared" si="33"/>
        <v>0</v>
      </c>
      <c r="FB11" s="240">
        <f t="shared" si="33"/>
        <v>0</v>
      </c>
      <c r="FC11" s="240">
        <f t="shared" si="33"/>
        <v>0</v>
      </c>
      <c r="FD11" s="240">
        <f t="shared" si="33"/>
        <v>0</v>
      </c>
      <c r="FE11" s="240">
        <f t="shared" si="33"/>
        <v>0</v>
      </c>
      <c r="FF11" s="240">
        <f t="shared" si="33"/>
        <v>0</v>
      </c>
      <c r="FG11" s="240">
        <f t="shared" si="33"/>
        <v>0</v>
      </c>
      <c r="FH11" s="240">
        <f t="shared" si="33"/>
        <v>0</v>
      </c>
      <c r="FI11" s="240">
        <f t="shared" si="33"/>
        <v>0</v>
      </c>
      <c r="FJ11" s="240">
        <f t="shared" si="33"/>
        <v>0</v>
      </c>
      <c r="FK11" s="240">
        <f t="shared" si="33"/>
        <v>0</v>
      </c>
      <c r="FL11" s="240">
        <f t="shared" si="33"/>
        <v>0</v>
      </c>
      <c r="FM11" s="240">
        <f t="shared" si="33"/>
        <v>0</v>
      </c>
      <c r="FN11" s="240">
        <f t="shared" si="33"/>
        <v>0</v>
      </c>
      <c r="FO11" s="240">
        <f t="shared" si="33"/>
        <v>0</v>
      </c>
      <c r="FP11" s="240">
        <f t="shared" si="33"/>
        <v>0</v>
      </c>
      <c r="FQ11" s="240">
        <f t="shared" si="33"/>
        <v>0</v>
      </c>
      <c r="FR11" s="240">
        <f t="shared" si="33"/>
        <v>0</v>
      </c>
      <c r="FS11" s="240">
        <f t="shared" si="33"/>
        <v>0</v>
      </c>
      <c r="FT11" s="240">
        <f t="shared" si="33"/>
        <v>0</v>
      </c>
      <c r="FU11" s="240">
        <f t="shared" si="33"/>
        <v>0</v>
      </c>
      <c r="FV11" s="240">
        <f t="shared" si="33"/>
        <v>0</v>
      </c>
      <c r="FW11" s="240">
        <f t="shared" si="33"/>
        <v>0</v>
      </c>
      <c r="FX11" s="240">
        <f t="shared" si="33"/>
        <v>0</v>
      </c>
      <c r="FY11" s="240">
        <f t="shared" si="33"/>
        <v>0</v>
      </c>
      <c r="FZ11" s="240">
        <f t="shared" si="33"/>
        <v>0</v>
      </c>
      <c r="GA11" s="240">
        <f t="shared" si="33"/>
        <v>0</v>
      </c>
      <c r="GB11" s="240">
        <f t="shared" si="33"/>
        <v>0</v>
      </c>
      <c r="GC11" s="240">
        <f t="shared" si="33"/>
        <v>0</v>
      </c>
      <c r="GD11" s="240">
        <f t="shared" si="33"/>
        <v>0</v>
      </c>
      <c r="GE11" s="240">
        <f t="shared" si="33"/>
        <v>0</v>
      </c>
      <c r="GF11" s="240">
        <f t="shared" si="33"/>
        <v>0</v>
      </c>
      <c r="GG11" s="240">
        <f t="shared" si="33"/>
        <v>0</v>
      </c>
      <c r="GH11" s="240">
        <f t="shared" si="33"/>
        <v>0</v>
      </c>
      <c r="GI11" s="240">
        <f t="shared" si="33"/>
        <v>0</v>
      </c>
      <c r="GJ11" s="240">
        <f t="shared" si="33"/>
        <v>0</v>
      </c>
      <c r="GK11" s="240">
        <f t="shared" si="33"/>
        <v>0</v>
      </c>
      <c r="GL11" s="240">
        <f t="shared" si="33"/>
        <v>0</v>
      </c>
      <c r="GM11" s="240">
        <f t="shared" si="33"/>
        <v>0</v>
      </c>
      <c r="GN11" s="240">
        <f t="shared" ref="GN11:IY11" si="34">GN7-GN9</f>
        <v>0</v>
      </c>
      <c r="GO11" s="240">
        <f t="shared" si="34"/>
        <v>0</v>
      </c>
      <c r="GP11" s="240">
        <f t="shared" si="34"/>
        <v>0</v>
      </c>
      <c r="GQ11" s="240">
        <f t="shared" si="34"/>
        <v>0</v>
      </c>
      <c r="GR11" s="240">
        <f t="shared" si="34"/>
        <v>0</v>
      </c>
      <c r="GS11" s="240">
        <f t="shared" si="34"/>
        <v>0</v>
      </c>
      <c r="GT11" s="240">
        <f t="shared" si="34"/>
        <v>0</v>
      </c>
      <c r="GU11" s="240">
        <f t="shared" si="34"/>
        <v>0</v>
      </c>
      <c r="GV11" s="240">
        <f t="shared" si="34"/>
        <v>0</v>
      </c>
      <c r="GW11" s="240">
        <f t="shared" si="34"/>
        <v>0</v>
      </c>
      <c r="GX11" s="240">
        <f t="shared" si="34"/>
        <v>0</v>
      </c>
      <c r="GY11" s="240">
        <f t="shared" si="34"/>
        <v>0</v>
      </c>
      <c r="GZ11" s="240">
        <f t="shared" si="34"/>
        <v>0</v>
      </c>
      <c r="HA11" s="240">
        <f t="shared" si="34"/>
        <v>0</v>
      </c>
      <c r="HB11" s="240">
        <f t="shared" si="34"/>
        <v>0</v>
      </c>
      <c r="HC11" s="240">
        <f t="shared" si="34"/>
        <v>0</v>
      </c>
      <c r="HD11" s="240">
        <f t="shared" si="34"/>
        <v>0</v>
      </c>
      <c r="HE11" s="240">
        <f t="shared" si="34"/>
        <v>0</v>
      </c>
      <c r="HF11" s="240">
        <f t="shared" si="34"/>
        <v>0</v>
      </c>
      <c r="HG11" s="240">
        <f t="shared" si="34"/>
        <v>0</v>
      </c>
      <c r="HH11" s="240">
        <f t="shared" si="34"/>
        <v>0</v>
      </c>
      <c r="HI11" s="240">
        <f t="shared" si="34"/>
        <v>0</v>
      </c>
      <c r="HJ11" s="240">
        <f t="shared" si="34"/>
        <v>0</v>
      </c>
      <c r="HK11" s="240">
        <f t="shared" si="34"/>
        <v>0</v>
      </c>
      <c r="HL11" s="240">
        <f t="shared" si="34"/>
        <v>0</v>
      </c>
      <c r="HM11" s="240">
        <f t="shared" si="34"/>
        <v>0</v>
      </c>
      <c r="HN11" s="240">
        <f t="shared" si="34"/>
        <v>0</v>
      </c>
      <c r="HO11" s="240">
        <f t="shared" si="34"/>
        <v>0</v>
      </c>
      <c r="HP11" s="240">
        <f t="shared" si="34"/>
        <v>0</v>
      </c>
      <c r="HQ11" s="240">
        <f t="shared" si="34"/>
        <v>0</v>
      </c>
      <c r="HR11" s="240">
        <f t="shared" si="34"/>
        <v>0</v>
      </c>
      <c r="HS11" s="240">
        <f t="shared" si="34"/>
        <v>0</v>
      </c>
      <c r="HT11" s="240">
        <f t="shared" si="34"/>
        <v>0</v>
      </c>
      <c r="HU11" s="240">
        <f t="shared" si="34"/>
        <v>0</v>
      </c>
      <c r="HV11" s="240">
        <f t="shared" si="34"/>
        <v>0</v>
      </c>
      <c r="HW11" s="240">
        <f t="shared" si="34"/>
        <v>0</v>
      </c>
      <c r="HX11" s="240">
        <f t="shared" si="34"/>
        <v>0</v>
      </c>
      <c r="HY11" s="240">
        <f t="shared" si="34"/>
        <v>0</v>
      </c>
      <c r="HZ11" s="240">
        <f t="shared" si="34"/>
        <v>0</v>
      </c>
      <c r="IA11" s="240">
        <f t="shared" si="34"/>
        <v>0</v>
      </c>
      <c r="IB11" s="240">
        <f t="shared" si="34"/>
        <v>0</v>
      </c>
      <c r="IC11" s="240">
        <f t="shared" si="34"/>
        <v>0</v>
      </c>
      <c r="ID11" s="240">
        <f t="shared" si="34"/>
        <v>0</v>
      </c>
      <c r="IE11" s="240">
        <f t="shared" si="34"/>
        <v>0</v>
      </c>
      <c r="IF11" s="240">
        <f t="shared" si="34"/>
        <v>0</v>
      </c>
      <c r="IG11" s="240">
        <f t="shared" si="34"/>
        <v>0</v>
      </c>
      <c r="IH11" s="240">
        <f t="shared" si="34"/>
        <v>0</v>
      </c>
      <c r="II11" s="240">
        <f t="shared" si="34"/>
        <v>0</v>
      </c>
      <c r="IJ11" s="240">
        <f t="shared" si="34"/>
        <v>0</v>
      </c>
      <c r="IK11" s="240">
        <f t="shared" si="34"/>
        <v>0</v>
      </c>
      <c r="IL11" s="240">
        <f t="shared" si="34"/>
        <v>0</v>
      </c>
      <c r="IM11" s="240">
        <f t="shared" si="34"/>
        <v>0</v>
      </c>
      <c r="IN11" s="240">
        <f t="shared" si="34"/>
        <v>0</v>
      </c>
      <c r="IO11" s="240">
        <f t="shared" si="34"/>
        <v>0</v>
      </c>
      <c r="IP11" s="240">
        <f t="shared" si="34"/>
        <v>0</v>
      </c>
      <c r="IQ11" s="240">
        <f t="shared" si="34"/>
        <v>0</v>
      </c>
      <c r="IR11" s="240">
        <f t="shared" si="34"/>
        <v>0</v>
      </c>
      <c r="IS11" s="240">
        <f t="shared" si="34"/>
        <v>0</v>
      </c>
      <c r="IT11" s="240">
        <f t="shared" si="34"/>
        <v>0</v>
      </c>
      <c r="IU11" s="240">
        <f t="shared" si="34"/>
        <v>0</v>
      </c>
      <c r="IV11" s="240">
        <f t="shared" si="34"/>
        <v>0</v>
      </c>
      <c r="IW11" s="240">
        <f t="shared" si="34"/>
        <v>0</v>
      </c>
      <c r="IX11" s="240">
        <f t="shared" si="34"/>
        <v>0</v>
      </c>
      <c r="IY11" s="240">
        <f t="shared" si="34"/>
        <v>0</v>
      </c>
      <c r="IZ11" s="240">
        <f t="shared" ref="IZ11:KQ11" si="35">IZ7-IZ9</f>
        <v>0</v>
      </c>
      <c r="JA11" s="240">
        <f t="shared" si="35"/>
        <v>0</v>
      </c>
      <c r="JB11" s="240">
        <f t="shared" si="35"/>
        <v>0</v>
      </c>
      <c r="JC11" s="240">
        <f t="shared" si="35"/>
        <v>0</v>
      </c>
      <c r="JD11" s="240">
        <f t="shared" si="35"/>
        <v>0</v>
      </c>
      <c r="JE11" s="240">
        <f t="shared" si="35"/>
        <v>0</v>
      </c>
      <c r="JF11" s="240">
        <f t="shared" si="35"/>
        <v>0</v>
      </c>
      <c r="JG11" s="240">
        <f t="shared" si="35"/>
        <v>0</v>
      </c>
      <c r="JH11" s="240">
        <f t="shared" si="35"/>
        <v>0</v>
      </c>
      <c r="JI11" s="240">
        <f t="shared" si="35"/>
        <v>0</v>
      </c>
      <c r="JJ11" s="240">
        <f t="shared" si="35"/>
        <v>0</v>
      </c>
      <c r="JK11" s="240">
        <f t="shared" si="35"/>
        <v>0</v>
      </c>
      <c r="JL11" s="240">
        <f t="shared" si="35"/>
        <v>0</v>
      </c>
      <c r="JM11" s="240">
        <f t="shared" si="35"/>
        <v>0</v>
      </c>
      <c r="JN11" s="240">
        <f t="shared" si="35"/>
        <v>0</v>
      </c>
      <c r="JO11" s="240">
        <f t="shared" si="35"/>
        <v>0</v>
      </c>
      <c r="JP11" s="240">
        <f t="shared" si="35"/>
        <v>0</v>
      </c>
      <c r="JQ11" s="240">
        <f t="shared" si="35"/>
        <v>0</v>
      </c>
      <c r="JR11" s="240">
        <f t="shared" si="35"/>
        <v>0</v>
      </c>
      <c r="JS11" s="240">
        <f t="shared" si="35"/>
        <v>0</v>
      </c>
      <c r="JT11" s="240">
        <f t="shared" si="35"/>
        <v>0</v>
      </c>
      <c r="JU11" s="240">
        <f t="shared" si="35"/>
        <v>0</v>
      </c>
      <c r="JV11" s="240">
        <f t="shared" si="35"/>
        <v>0</v>
      </c>
      <c r="JW11" s="240">
        <f t="shared" si="35"/>
        <v>0</v>
      </c>
      <c r="JX11" s="240">
        <f t="shared" si="35"/>
        <v>0</v>
      </c>
      <c r="JY11" s="240">
        <f t="shared" si="35"/>
        <v>0</v>
      </c>
      <c r="JZ11" s="240">
        <f t="shared" si="35"/>
        <v>0</v>
      </c>
      <c r="KA11" s="240">
        <f t="shared" si="35"/>
        <v>0</v>
      </c>
      <c r="KB11" s="240">
        <f t="shared" si="35"/>
        <v>0</v>
      </c>
      <c r="KC11" s="240">
        <f t="shared" si="35"/>
        <v>0</v>
      </c>
      <c r="KD11" s="240">
        <f t="shared" si="35"/>
        <v>0</v>
      </c>
      <c r="KE11" s="240">
        <f t="shared" si="35"/>
        <v>0</v>
      </c>
      <c r="KF11" s="240">
        <f t="shared" si="35"/>
        <v>0</v>
      </c>
      <c r="KG11" s="240">
        <f t="shared" si="35"/>
        <v>0</v>
      </c>
      <c r="KH11" s="240">
        <f t="shared" si="35"/>
        <v>0</v>
      </c>
      <c r="KI11" s="240">
        <f t="shared" si="35"/>
        <v>0</v>
      </c>
      <c r="KJ11" s="240">
        <f t="shared" si="35"/>
        <v>0</v>
      </c>
      <c r="KK11" s="240">
        <f t="shared" si="35"/>
        <v>0</v>
      </c>
      <c r="KL11" s="240">
        <f t="shared" si="35"/>
        <v>0</v>
      </c>
      <c r="KM11" s="240">
        <f t="shared" si="35"/>
        <v>0</v>
      </c>
      <c r="KN11" s="240">
        <f t="shared" si="35"/>
        <v>0</v>
      </c>
      <c r="KO11" s="240">
        <f t="shared" si="35"/>
        <v>0</v>
      </c>
      <c r="KP11" s="240">
        <f t="shared" si="35"/>
        <v>0</v>
      </c>
      <c r="KQ11" s="240">
        <f t="shared" si="35"/>
        <v>0</v>
      </c>
    </row>
    <row r="12" spans="2:303" ht="31.5" customHeight="1" x14ac:dyDescent="0.35">
      <c r="B12" s="289" t="s">
        <v>109</v>
      </c>
      <c r="C12" s="241">
        <f t="shared" si="20"/>
        <v>687711458.89655054</v>
      </c>
      <c r="D12" s="291" cm="1">
        <f t="array" ref="D12">TRANSPOSE(SUMIFS('Графики (2)'!$I$7:$I$307,'Графики (2)'!$D$7:$D$307,'DCF (2)'!D$6))</f>
        <v>0</v>
      </c>
      <c r="E12" s="291" cm="1">
        <f t="array" ref="E12">TRANSPOSE(SUMIFS('Графики (2)'!$I$7:$I$307,'Графики (2)'!$D$7:$D$307,'DCF (2)'!E$6))</f>
        <v>0</v>
      </c>
      <c r="F12" s="291" cm="1">
        <f t="array" ref="F12">TRANSPOSE(SUMIFS('Графики (2)'!$I$7:$I$307,'Графики (2)'!$D$7:$D$307,'DCF (2)'!F$6))</f>
        <v>17192786.472413756</v>
      </c>
      <c r="G12" s="291" cm="1">
        <f t="array" ref="G12">TRANSPOSE(SUMIFS('Графики (2)'!$I$7:$I$307,'Графики (2)'!$D$7:$D$307,'DCF (2)'!G$6))</f>
        <v>0</v>
      </c>
      <c r="H12" s="291" cm="1">
        <f t="array" ref="H12">TRANSPOSE(SUMIFS('Графики (2)'!$I$7:$I$307,'Графики (2)'!$D$7:$D$307,'DCF (2)'!H$6))</f>
        <v>0</v>
      </c>
      <c r="I12" s="291" cm="1">
        <f t="array" ref="I12">TRANSPOSE(SUMIFS('Графики (2)'!$I$7:$I$307,'Графики (2)'!$D$7:$D$307,'DCF (2)'!I$6))</f>
        <v>17192786.472413756</v>
      </c>
      <c r="J12" s="291" cm="1">
        <f t="array" ref="J12">TRANSPOSE(SUMIFS('Графики (2)'!$I$7:$I$307,'Графики (2)'!$D$7:$D$307,'DCF (2)'!J$6))</f>
        <v>0</v>
      </c>
      <c r="K12" s="291" cm="1">
        <f t="array" ref="K12">TRANSPOSE(SUMIFS('Графики (2)'!$I$7:$I$307,'Графики (2)'!$D$7:$D$307,'DCF (2)'!K$6))</f>
        <v>0</v>
      </c>
      <c r="L12" s="291" cm="1">
        <f t="array" ref="L12">TRANSPOSE(SUMIFS('Графики (2)'!$I$7:$I$307,'Графики (2)'!$D$7:$D$307,'DCF (2)'!L$6))</f>
        <v>17192786.472413756</v>
      </c>
      <c r="M12" s="291" cm="1">
        <f t="array" ref="M12">TRANSPOSE(SUMIFS('Графики (2)'!$I$7:$I$307,'Графики (2)'!$D$7:$D$307,'DCF (2)'!M$6))</f>
        <v>0</v>
      </c>
      <c r="N12" s="291" cm="1">
        <f t="array" ref="N12">TRANSPOSE(SUMIFS('Графики (2)'!$I$7:$I$307,'Графики (2)'!$D$7:$D$307,'DCF (2)'!N$6))</f>
        <v>0</v>
      </c>
      <c r="O12" s="291" cm="1">
        <f t="array" ref="O12">TRANSPOSE(SUMIFS('Графики (2)'!$I$7:$I$307,'Графики (2)'!$D$7:$D$307,'DCF (2)'!O$6))</f>
        <v>17192786.472413756</v>
      </c>
      <c r="P12" s="291" cm="1">
        <f t="array" ref="P12">TRANSPOSE(SUMIFS('Графики (2)'!$I$7:$I$307,'Графики (2)'!$D$7:$D$307,'DCF (2)'!P$6))</f>
        <v>0</v>
      </c>
      <c r="Q12" s="291" cm="1">
        <f t="array" ref="Q12">TRANSPOSE(SUMIFS('Графики (2)'!$I$7:$I$307,'Графики (2)'!$D$7:$D$307,'DCF (2)'!Q$6))</f>
        <v>0</v>
      </c>
      <c r="R12" s="291" cm="1">
        <f t="array" ref="R12">TRANSPOSE(SUMIFS('Графики (2)'!$I$7:$I$307,'Графики (2)'!$D$7:$D$307,'DCF (2)'!R$6))</f>
        <v>17192786.472413756</v>
      </c>
      <c r="S12" s="291" cm="1">
        <f t="array" ref="S12">TRANSPOSE(SUMIFS('Графики (2)'!$I$7:$I$307,'Графики (2)'!$D$7:$D$307,'DCF (2)'!S$6))</f>
        <v>0</v>
      </c>
      <c r="T12" s="291" cm="1">
        <f t="array" ref="T12">TRANSPOSE(SUMIFS('Графики (2)'!$I$7:$I$307,'Графики (2)'!$D$7:$D$307,'DCF (2)'!T$6))</f>
        <v>0</v>
      </c>
      <c r="U12" s="291" cm="1">
        <f t="array" ref="U12">TRANSPOSE(SUMIFS('Графики (2)'!$I$7:$I$307,'Графики (2)'!$D$7:$D$307,'DCF (2)'!U$6))</f>
        <v>17192786.472413756</v>
      </c>
      <c r="V12" s="291" cm="1">
        <f t="array" ref="V12">TRANSPOSE(SUMIFS('Графики (2)'!$I$7:$I$307,'Графики (2)'!$D$7:$D$307,'DCF (2)'!V$6))</f>
        <v>0</v>
      </c>
      <c r="W12" s="291" cm="1">
        <f t="array" ref="W12">TRANSPOSE(SUMIFS('Графики (2)'!$I$7:$I$307,'Графики (2)'!$D$7:$D$307,'DCF (2)'!W$6))</f>
        <v>0</v>
      </c>
      <c r="X12" s="291" cm="1">
        <f t="array" ref="X12">TRANSPOSE(SUMIFS('Графики (2)'!$I$7:$I$307,'Графики (2)'!$D$7:$D$307,'DCF (2)'!X$6))</f>
        <v>17192786.472413756</v>
      </c>
      <c r="Y12" s="291" cm="1">
        <f t="array" ref="Y12">TRANSPOSE(SUMIFS('Графики (2)'!$I$7:$I$307,'Графики (2)'!$D$7:$D$307,'DCF (2)'!Y$6))</f>
        <v>0</v>
      </c>
      <c r="Z12" s="291" cm="1">
        <f t="array" ref="Z12">TRANSPOSE(SUMIFS('Графики (2)'!$I$7:$I$307,'Графики (2)'!$D$7:$D$307,'DCF (2)'!Z$6))</f>
        <v>0</v>
      </c>
      <c r="AA12" s="291" cm="1">
        <f t="array" ref="AA12">TRANSPOSE(SUMIFS('Графики (2)'!$I$7:$I$307,'Графики (2)'!$D$7:$D$307,'DCF (2)'!AA$6))</f>
        <v>17192786.472413756</v>
      </c>
      <c r="AB12" s="291" cm="1">
        <f t="array" ref="AB12">TRANSPOSE(SUMIFS('Графики (2)'!$I$7:$I$307,'Графики (2)'!$D$7:$D$307,'DCF (2)'!AB$6))</f>
        <v>0</v>
      </c>
      <c r="AC12" s="291" cm="1">
        <f t="array" ref="AC12">TRANSPOSE(SUMIFS('Графики (2)'!$I$7:$I$307,'Графики (2)'!$D$7:$D$307,'DCF (2)'!AC$6))</f>
        <v>0</v>
      </c>
      <c r="AD12" s="291" cm="1">
        <f t="array" ref="AD12">TRANSPOSE(SUMIFS('Графики (2)'!$I$7:$I$307,'Графики (2)'!$D$7:$D$307,'DCF (2)'!AD$6))</f>
        <v>17192786.472413756</v>
      </c>
      <c r="AE12" s="291" cm="1">
        <f t="array" ref="AE12">TRANSPOSE(SUMIFS('Графики (2)'!$I$7:$I$307,'Графики (2)'!$D$7:$D$307,'DCF (2)'!AE$6))</f>
        <v>0</v>
      </c>
      <c r="AF12" s="291" cm="1">
        <f t="array" ref="AF12">TRANSPOSE(SUMIFS('Графики (2)'!$I$7:$I$307,'Графики (2)'!$D$7:$D$307,'DCF (2)'!AF$6))</f>
        <v>0</v>
      </c>
      <c r="AG12" s="291" cm="1">
        <f t="array" ref="AG12">TRANSPOSE(SUMIFS('Графики (2)'!$I$7:$I$307,'Графики (2)'!$D$7:$D$307,'DCF (2)'!AG$6))</f>
        <v>17192786.472413756</v>
      </c>
      <c r="AH12" s="291" cm="1">
        <f t="array" ref="AH12">TRANSPOSE(SUMIFS('Графики (2)'!$I$7:$I$307,'Графики (2)'!$D$7:$D$307,'DCF (2)'!AH$6))</f>
        <v>0</v>
      </c>
      <c r="AI12" s="291" cm="1">
        <f t="array" ref="AI12">TRANSPOSE(SUMIFS('Графики (2)'!$I$7:$I$307,'Графики (2)'!$D$7:$D$307,'DCF (2)'!AI$6))</f>
        <v>0</v>
      </c>
      <c r="AJ12" s="291" cm="1">
        <f t="array" ref="AJ12">TRANSPOSE(SUMIFS('Графики (2)'!$I$7:$I$307,'Графики (2)'!$D$7:$D$307,'DCF (2)'!AJ$6))</f>
        <v>17192786.472413756</v>
      </c>
      <c r="AK12" s="291" cm="1">
        <f t="array" ref="AK12">TRANSPOSE(SUMIFS('Графики (2)'!$I$7:$I$307,'Графики (2)'!$D$7:$D$307,'DCF (2)'!AK$6))</f>
        <v>0</v>
      </c>
      <c r="AL12" s="291" cm="1">
        <f t="array" ref="AL12">TRANSPOSE(SUMIFS('Графики (2)'!$I$7:$I$307,'Графики (2)'!$D$7:$D$307,'DCF (2)'!AL$6))</f>
        <v>0</v>
      </c>
      <c r="AM12" s="291" cm="1">
        <f t="array" ref="AM12">TRANSPOSE(SUMIFS('Графики (2)'!$I$7:$I$307,'Графики (2)'!$D$7:$D$307,'DCF (2)'!AM$6))</f>
        <v>17192786.472413756</v>
      </c>
      <c r="AN12" s="291" cm="1">
        <f t="array" ref="AN12">TRANSPOSE(SUMIFS('Графики (2)'!$I$7:$I$307,'Графики (2)'!$D$7:$D$307,'DCF (2)'!AN$6))</f>
        <v>0</v>
      </c>
      <c r="AO12" s="291" cm="1">
        <f t="array" ref="AO12">TRANSPOSE(SUMIFS('Графики (2)'!$I$7:$I$307,'Графики (2)'!$D$7:$D$307,'DCF (2)'!AO$6))</f>
        <v>0</v>
      </c>
      <c r="AP12" s="291" cm="1">
        <f t="array" ref="AP12">TRANSPOSE(SUMIFS('Графики (2)'!$I$7:$I$307,'Графики (2)'!$D$7:$D$307,'DCF (2)'!AP$6))</f>
        <v>17192786.472413756</v>
      </c>
      <c r="AQ12" s="291" cm="1">
        <f t="array" ref="AQ12">TRANSPOSE(SUMIFS('Графики (2)'!$I$7:$I$307,'Графики (2)'!$D$7:$D$307,'DCF (2)'!AQ$6))</f>
        <v>0</v>
      </c>
      <c r="AR12" s="291" cm="1">
        <f t="array" ref="AR12">TRANSPOSE(SUMIFS('Графики (2)'!$I$7:$I$307,'Графики (2)'!$D$7:$D$307,'DCF (2)'!AR$6))</f>
        <v>0</v>
      </c>
      <c r="AS12" s="291" cm="1">
        <f t="array" ref="AS12">TRANSPOSE(SUMIFS('Графики (2)'!$I$7:$I$307,'Графики (2)'!$D$7:$D$307,'DCF (2)'!AS$6))</f>
        <v>17192786.472413756</v>
      </c>
      <c r="AT12" s="291" cm="1">
        <f t="array" ref="AT12">TRANSPOSE(SUMIFS('Графики (2)'!$I$7:$I$307,'Графики (2)'!$D$7:$D$307,'DCF (2)'!AT$6))</f>
        <v>0</v>
      </c>
      <c r="AU12" s="291" cm="1">
        <f t="array" ref="AU12">TRANSPOSE(SUMIFS('Графики (2)'!$I$7:$I$307,'Графики (2)'!$D$7:$D$307,'DCF (2)'!AU$6))</f>
        <v>0</v>
      </c>
      <c r="AV12" s="291" cm="1">
        <f t="array" ref="AV12">TRANSPOSE(SUMIFS('Графики (2)'!$I$7:$I$307,'Графики (2)'!$D$7:$D$307,'DCF (2)'!AV$6))</f>
        <v>17192786.472413756</v>
      </c>
      <c r="AW12" s="291" cm="1">
        <f t="array" ref="AW12">TRANSPOSE(SUMIFS('Графики (2)'!$I$7:$I$307,'Графики (2)'!$D$7:$D$307,'DCF (2)'!AW$6))</f>
        <v>0</v>
      </c>
      <c r="AX12" s="291" cm="1">
        <f t="array" ref="AX12">TRANSPOSE(SUMIFS('Графики (2)'!$I$7:$I$307,'Графики (2)'!$D$7:$D$307,'DCF (2)'!AX$6))</f>
        <v>0</v>
      </c>
      <c r="AY12" s="291" cm="1">
        <f t="array" ref="AY12">TRANSPOSE(SUMIFS('Графики (2)'!$I$7:$I$307,'Графики (2)'!$D$7:$D$307,'DCF (2)'!AY$6))</f>
        <v>17192786.472413756</v>
      </c>
      <c r="AZ12" s="291" cm="1">
        <f t="array" ref="AZ12">TRANSPOSE(SUMIFS('Графики (2)'!$I$7:$I$307,'Графики (2)'!$D$7:$D$307,'DCF (2)'!AZ$6))</f>
        <v>0</v>
      </c>
      <c r="BA12" s="291" cm="1">
        <f t="array" ref="BA12">TRANSPOSE(SUMIFS('Графики (2)'!$I$7:$I$307,'Графики (2)'!$D$7:$D$307,'DCF (2)'!BA$6))</f>
        <v>0</v>
      </c>
      <c r="BB12" s="291" cm="1">
        <f t="array" ref="BB12">TRANSPOSE(SUMIFS('Графики (2)'!$I$7:$I$307,'Графики (2)'!$D$7:$D$307,'DCF (2)'!BB$6))</f>
        <v>17192786.472413756</v>
      </c>
      <c r="BC12" s="291" cm="1">
        <f t="array" ref="BC12">TRANSPOSE(SUMIFS('Графики (2)'!$I$7:$I$307,'Графики (2)'!$D$7:$D$307,'DCF (2)'!BC$6))</f>
        <v>0</v>
      </c>
      <c r="BD12" s="291" cm="1">
        <f t="array" ref="BD12">TRANSPOSE(SUMIFS('Графики (2)'!$I$7:$I$307,'Графики (2)'!$D$7:$D$307,'DCF (2)'!BD$6))</f>
        <v>0</v>
      </c>
      <c r="BE12" s="291" cm="1">
        <f t="array" ref="BE12">TRANSPOSE(SUMIFS('Графики (2)'!$I$7:$I$307,'Графики (2)'!$D$7:$D$307,'DCF (2)'!BE$6))</f>
        <v>17192786.472413756</v>
      </c>
      <c r="BF12" s="291" cm="1">
        <f t="array" ref="BF12">TRANSPOSE(SUMIFS('Графики (2)'!$I$7:$I$307,'Графики (2)'!$D$7:$D$307,'DCF (2)'!BF$6))</f>
        <v>0</v>
      </c>
      <c r="BG12" s="291" cm="1">
        <f t="array" ref="BG12">TRANSPOSE(SUMIFS('Графики (2)'!$I$7:$I$307,'Графики (2)'!$D$7:$D$307,'DCF (2)'!BG$6))</f>
        <v>0</v>
      </c>
      <c r="BH12" s="291" cm="1">
        <f t="array" ref="BH12">TRANSPOSE(SUMIFS('Графики (2)'!$I$7:$I$307,'Графики (2)'!$D$7:$D$307,'DCF (2)'!BH$6))</f>
        <v>17192786.472413756</v>
      </c>
      <c r="BI12" s="291" cm="1">
        <f t="array" ref="BI12">TRANSPOSE(SUMIFS('Графики (2)'!$I$7:$I$307,'Графики (2)'!$D$7:$D$307,'DCF (2)'!BI$6))</f>
        <v>0</v>
      </c>
      <c r="BJ12" s="291" cm="1">
        <f t="array" ref="BJ12">TRANSPOSE(SUMIFS('Графики (2)'!$I$7:$I$307,'Графики (2)'!$D$7:$D$307,'DCF (2)'!BJ$6))</f>
        <v>0</v>
      </c>
      <c r="BK12" s="291" cm="1">
        <f t="array" ref="BK12">TRANSPOSE(SUMIFS('Графики (2)'!$I$7:$I$307,'Графики (2)'!$D$7:$D$307,'DCF (2)'!BK$6))</f>
        <v>17192786.472413756</v>
      </c>
      <c r="BL12" s="291" cm="1">
        <f t="array" ref="BL12">TRANSPOSE(SUMIFS('Графики (2)'!$I$7:$I$307,'Графики (2)'!$D$7:$D$307,'DCF (2)'!BL$6))</f>
        <v>0</v>
      </c>
      <c r="BM12" s="291" cm="1">
        <f t="array" ref="BM12">TRANSPOSE(SUMIFS('Графики (2)'!$I$7:$I$307,'Графики (2)'!$D$7:$D$307,'DCF (2)'!BM$6))</f>
        <v>0</v>
      </c>
      <c r="BN12" s="291" cm="1">
        <f t="array" ref="BN12">TRANSPOSE(SUMIFS('Графики (2)'!$I$7:$I$307,'Графики (2)'!$D$7:$D$307,'DCF (2)'!BN$6))</f>
        <v>17192786.472413756</v>
      </c>
      <c r="BO12" s="291" cm="1">
        <f t="array" ref="BO12">TRANSPOSE(SUMIFS('Графики (2)'!$I$7:$I$307,'Графики (2)'!$D$7:$D$307,'DCF (2)'!BO$6))</f>
        <v>0</v>
      </c>
      <c r="BP12" s="291" cm="1">
        <f t="array" ref="BP12">TRANSPOSE(SUMIFS('Графики (2)'!$I$7:$I$307,'Графики (2)'!$D$7:$D$307,'DCF (2)'!BP$6))</f>
        <v>0</v>
      </c>
      <c r="BQ12" s="291" cm="1">
        <f t="array" ref="BQ12">TRANSPOSE(SUMIFS('Графики (2)'!$I$7:$I$307,'Графики (2)'!$D$7:$D$307,'DCF (2)'!BQ$6))</f>
        <v>17192786.472413756</v>
      </c>
      <c r="BR12" s="291" cm="1">
        <f t="array" ref="BR12">TRANSPOSE(SUMIFS('Графики (2)'!$I$7:$I$307,'Графики (2)'!$D$7:$D$307,'DCF (2)'!BR$6))</f>
        <v>0</v>
      </c>
      <c r="BS12" s="291" cm="1">
        <f t="array" ref="BS12">TRANSPOSE(SUMIFS('Графики (2)'!$I$7:$I$307,'Графики (2)'!$D$7:$D$307,'DCF (2)'!BS$6))</f>
        <v>0</v>
      </c>
      <c r="BT12" s="291" cm="1">
        <f t="array" ref="BT12">TRANSPOSE(SUMIFS('Графики (2)'!$I$7:$I$307,'Графики (2)'!$D$7:$D$307,'DCF (2)'!BT$6))</f>
        <v>17192786.472413756</v>
      </c>
      <c r="BU12" s="291" cm="1">
        <f t="array" ref="BU12">TRANSPOSE(SUMIFS('Графики (2)'!$I$7:$I$307,'Графики (2)'!$D$7:$D$307,'DCF (2)'!BU$6))</f>
        <v>0</v>
      </c>
      <c r="BV12" s="291" cm="1">
        <f t="array" ref="BV12">TRANSPOSE(SUMIFS('Графики (2)'!$I$7:$I$307,'Графики (2)'!$D$7:$D$307,'DCF (2)'!BV$6))</f>
        <v>0</v>
      </c>
      <c r="BW12" s="291" cm="1">
        <f t="array" ref="BW12">TRANSPOSE(SUMIFS('Графики (2)'!$I$7:$I$307,'Графики (2)'!$D$7:$D$307,'DCF (2)'!BW$6))</f>
        <v>17192786.472413756</v>
      </c>
      <c r="BX12" s="291" cm="1">
        <f t="array" ref="BX12">TRANSPOSE(SUMIFS('Графики (2)'!$I$7:$I$307,'Графики (2)'!$D$7:$D$307,'DCF (2)'!BX$6))</f>
        <v>0</v>
      </c>
      <c r="BY12" s="291" cm="1">
        <f t="array" ref="BY12">TRANSPOSE(SUMIFS('Графики (2)'!$I$7:$I$307,'Графики (2)'!$D$7:$D$307,'DCF (2)'!BY$6))</f>
        <v>0</v>
      </c>
      <c r="BZ12" s="291" cm="1">
        <f t="array" ref="BZ12">TRANSPOSE(SUMIFS('Графики (2)'!$I$7:$I$307,'Графики (2)'!$D$7:$D$307,'DCF (2)'!BZ$6))</f>
        <v>34385572.944827512</v>
      </c>
      <c r="CA12" s="291" cm="1">
        <f t="array" ref="CA12">TRANSPOSE(SUMIFS('Графики (2)'!$I$7:$I$307,'Графики (2)'!$D$7:$D$307,'DCF (2)'!CA$6))</f>
        <v>0</v>
      </c>
      <c r="CB12" s="291" cm="1">
        <f t="array" ref="CB12">TRANSPOSE(SUMIFS('Графики (2)'!$I$7:$I$307,'Графики (2)'!$D$7:$D$307,'DCF (2)'!CB$6))</f>
        <v>0</v>
      </c>
      <c r="CC12" s="291" cm="1">
        <f t="array" ref="CC12">TRANSPOSE(SUMIFS('Графики (2)'!$I$7:$I$307,'Графики (2)'!$D$7:$D$307,'DCF (2)'!CC$6))</f>
        <v>34385572.944827512</v>
      </c>
      <c r="CD12" s="291" cm="1">
        <f t="array" ref="CD12">TRANSPOSE(SUMIFS('Графики (2)'!$I$7:$I$307,'Графики (2)'!$D$7:$D$307,'DCF (2)'!CD$6))</f>
        <v>0</v>
      </c>
      <c r="CE12" s="291" cm="1">
        <f t="array" ref="CE12">TRANSPOSE(SUMIFS('Графики (2)'!$I$7:$I$307,'Графики (2)'!$D$7:$D$307,'DCF (2)'!CE$6))</f>
        <v>0</v>
      </c>
      <c r="CF12" s="291" cm="1">
        <f t="array" ref="CF12">TRANSPOSE(SUMIFS('Графики (2)'!$I$7:$I$307,'Графики (2)'!$D$7:$D$307,'DCF (2)'!CF$6))</f>
        <v>34385572.944827512</v>
      </c>
      <c r="CG12" s="291" cm="1">
        <f t="array" ref="CG12">TRANSPOSE(SUMIFS('Графики (2)'!$I$7:$I$307,'Графики (2)'!$D$7:$D$307,'DCF (2)'!CG$6))</f>
        <v>0</v>
      </c>
      <c r="CH12" s="291" cm="1">
        <f t="array" ref="CH12">TRANSPOSE(SUMIFS('Графики (2)'!$I$7:$I$307,'Графики (2)'!$D$7:$D$307,'DCF (2)'!CH$6))</f>
        <v>0</v>
      </c>
      <c r="CI12" s="291" cm="1">
        <f t="array" ref="CI12">TRANSPOSE(SUMIFS('Графики (2)'!$I$7:$I$307,'Графики (2)'!$D$7:$D$307,'DCF (2)'!CI$6))</f>
        <v>34385572.944827512</v>
      </c>
      <c r="CJ12" s="291" cm="1">
        <f t="array" ref="CJ12">TRANSPOSE(SUMIFS('Графики (2)'!$I$7:$I$307,'Графики (2)'!$D$7:$D$307,'DCF (2)'!CJ$6))</f>
        <v>0</v>
      </c>
      <c r="CK12" s="291" cm="1">
        <f t="array" ref="CK12">TRANSPOSE(SUMIFS('Графики (2)'!$I$7:$I$307,'Графики (2)'!$D$7:$D$307,'DCF (2)'!CK$6))</f>
        <v>0</v>
      </c>
      <c r="CL12" s="291" cm="1">
        <f t="array" ref="CL12">TRANSPOSE(SUMIFS('Графики (2)'!$I$7:$I$307,'Графики (2)'!$D$7:$D$307,'DCF (2)'!CL$6))</f>
        <v>34385572.944827512</v>
      </c>
      <c r="CM12" s="291" cm="1">
        <f t="array" ref="CM12">TRANSPOSE(SUMIFS('Графики (2)'!$I$7:$I$307,'Графики (2)'!$D$7:$D$307,'DCF (2)'!CM$6))</f>
        <v>0</v>
      </c>
      <c r="CN12" s="291" cm="1">
        <f t="array" ref="CN12">TRANSPOSE(SUMIFS('Графики (2)'!$I$7:$I$307,'Графики (2)'!$D$7:$D$307,'DCF (2)'!CN$6))</f>
        <v>0</v>
      </c>
      <c r="CO12" s="291" cm="1">
        <f t="array" ref="CO12">TRANSPOSE(SUMIFS('Графики (2)'!$I$7:$I$307,'Графики (2)'!$D$7:$D$307,'DCF (2)'!CO$6))</f>
        <v>34385572.944827512</v>
      </c>
      <c r="CP12" s="291" cm="1">
        <f t="array" ref="CP12">TRANSPOSE(SUMIFS('Графики (2)'!$I$7:$I$307,'Графики (2)'!$D$7:$D$307,'DCF (2)'!CP$6))</f>
        <v>0</v>
      </c>
      <c r="CQ12" s="291" cm="1">
        <f t="array" ref="CQ12">TRANSPOSE(SUMIFS('Графики (2)'!$I$7:$I$307,'Графики (2)'!$D$7:$D$307,'DCF (2)'!CQ$6))</f>
        <v>0</v>
      </c>
      <c r="CR12" s="291" cm="1">
        <f t="array" ref="CR12">TRANSPOSE(SUMIFS('Графики (2)'!$I$7:$I$307,'Графики (2)'!$D$7:$D$307,'DCF (2)'!CR$6))</f>
        <v>34385572.944827512</v>
      </c>
      <c r="CS12" s="291" cm="1">
        <f t="array" ref="CS12">TRANSPOSE(SUMIFS('Графики (2)'!$I$7:$I$307,'Графики (2)'!$D$7:$D$307,'DCF (2)'!CS$6))</f>
        <v>0</v>
      </c>
      <c r="CT12" s="291" cm="1">
        <f t="array" ref="CT12">TRANSPOSE(SUMIFS('Графики (2)'!$I$7:$I$307,'Графики (2)'!$D$7:$D$307,'DCF (2)'!CT$6))</f>
        <v>0</v>
      </c>
      <c r="CU12" s="291" cm="1">
        <f t="array" ref="CU12">TRANSPOSE(SUMIFS('Графики (2)'!$I$7:$I$307,'Графики (2)'!$D$7:$D$307,'DCF (2)'!CU$6))</f>
        <v>34385572.944827512</v>
      </c>
      <c r="CV12" s="291" cm="1">
        <f t="array" ref="CV12">TRANSPOSE(SUMIFS('Графики (2)'!$I$7:$I$307,'Графики (2)'!$D$7:$D$307,'DCF (2)'!CV$6))</f>
        <v>0</v>
      </c>
      <c r="CW12" s="291" cm="1">
        <f t="array" ref="CW12">TRANSPOSE(SUMIFS('Графики (2)'!$I$7:$I$307,'Графики (2)'!$D$7:$D$307,'DCF (2)'!CW$6))</f>
        <v>0</v>
      </c>
      <c r="CX12" s="291" cm="1">
        <f t="array" ref="CX12">TRANSPOSE(SUMIFS('Графики (2)'!$I$7:$I$307,'Графики (2)'!$D$7:$D$307,'DCF (2)'!CX$6))</f>
        <v>0</v>
      </c>
      <c r="CY12" s="291" cm="1">
        <f t="array" ref="CY12">TRANSPOSE(SUMIFS('Графики (2)'!$I$7:$I$307,'Графики (2)'!$D$7:$D$307,'DCF (2)'!CY$6))</f>
        <v>0</v>
      </c>
      <c r="CZ12" s="291" cm="1">
        <f t="array" ref="CZ12">TRANSPOSE(SUMIFS('Графики (2)'!$I$7:$I$307,'Графики (2)'!$D$7:$D$307,'DCF (2)'!CZ$6))</f>
        <v>0</v>
      </c>
      <c r="DA12" s="291" cm="1">
        <f t="array" ref="DA12">TRANSPOSE(SUMIFS('Графики (2)'!$I$7:$I$307,'Графики (2)'!$D$7:$D$307,'DCF (2)'!DA$6))</f>
        <v>0</v>
      </c>
      <c r="DB12" s="291" cm="1">
        <f t="array" ref="DB12">TRANSPOSE(SUMIFS('Графики (2)'!$I$7:$I$307,'Графики (2)'!$D$7:$D$307,'DCF (2)'!DB$6))</f>
        <v>0</v>
      </c>
      <c r="DC12" s="291" cm="1">
        <f t="array" ref="DC12">TRANSPOSE(SUMIFS('Графики (2)'!$I$7:$I$307,'Графики (2)'!$D$7:$D$307,'DCF (2)'!DC$6))</f>
        <v>0</v>
      </c>
      <c r="DD12" s="291" cm="1">
        <f t="array" ref="DD12">TRANSPOSE(SUMIFS('Графики (2)'!$I$7:$I$307,'Графики (2)'!$D$7:$D$307,'DCF (2)'!DD$6))</f>
        <v>0</v>
      </c>
      <c r="DE12" s="291" cm="1">
        <f t="array" ref="DE12">TRANSPOSE(SUMIFS('Графики (2)'!$I$7:$I$307,'Графики (2)'!$D$7:$D$307,'DCF (2)'!DE$6))</f>
        <v>0</v>
      </c>
      <c r="DF12" s="291" cm="1">
        <f t="array" ref="DF12">TRANSPOSE(SUMIFS('Графики (2)'!$I$7:$I$307,'Графики (2)'!$D$7:$D$307,'DCF (2)'!DF$6))</f>
        <v>0</v>
      </c>
      <c r="DG12" s="291" cm="1">
        <f t="array" ref="DG12">TRANSPOSE(SUMIFS('Графики (2)'!$I$7:$I$307,'Графики (2)'!$D$7:$D$307,'DCF (2)'!DG$6))</f>
        <v>0</v>
      </c>
      <c r="DH12" s="291" cm="1">
        <f t="array" ref="DH12">TRANSPOSE(SUMIFS('Графики (2)'!$I$7:$I$307,'Графики (2)'!$D$7:$D$307,'DCF (2)'!DH$6))</f>
        <v>0</v>
      </c>
      <c r="DI12" s="291" cm="1">
        <f t="array" ref="DI12">TRANSPOSE(SUMIFS('Графики (2)'!$I$7:$I$307,'Графики (2)'!$D$7:$D$307,'DCF (2)'!DI$6))</f>
        <v>0</v>
      </c>
      <c r="DJ12" s="291" cm="1">
        <f t="array" ref="DJ12">TRANSPOSE(SUMIFS('Графики (2)'!$I$7:$I$307,'Графики (2)'!$D$7:$D$307,'DCF (2)'!DJ$6))</f>
        <v>0</v>
      </c>
      <c r="DK12" s="291" cm="1">
        <f t="array" ref="DK12">TRANSPOSE(SUMIFS('Графики (2)'!$I$7:$I$307,'Графики (2)'!$D$7:$D$307,'DCF (2)'!DK$6))</f>
        <v>0</v>
      </c>
      <c r="DL12" s="291" cm="1">
        <f t="array" ref="DL12">TRANSPOSE(SUMIFS('Графики (2)'!$I$7:$I$307,'Графики (2)'!$D$7:$D$307,'DCF (2)'!DL$6))</f>
        <v>0</v>
      </c>
      <c r="DM12" s="291" cm="1">
        <f t="array" ref="DM12">TRANSPOSE(SUMIFS('Графики (2)'!$I$7:$I$307,'Графики (2)'!$D$7:$D$307,'DCF (2)'!DM$6))</f>
        <v>0</v>
      </c>
      <c r="DN12" s="291" cm="1">
        <f t="array" ref="DN12">TRANSPOSE(SUMIFS('Графики (2)'!$I$7:$I$307,'Графики (2)'!$D$7:$D$307,'DCF (2)'!DN$6))</f>
        <v>0</v>
      </c>
      <c r="DO12" s="291" cm="1">
        <f t="array" ref="DO12">TRANSPOSE(SUMIFS('Графики (2)'!$I$7:$I$307,'Графики (2)'!$D$7:$D$307,'DCF (2)'!DO$6))</f>
        <v>0</v>
      </c>
      <c r="DP12" s="291" cm="1">
        <f t="array" ref="DP12">TRANSPOSE(SUMIFS('Графики (2)'!$I$7:$I$307,'Графики (2)'!$D$7:$D$307,'DCF (2)'!DP$6))</f>
        <v>0</v>
      </c>
      <c r="DQ12" s="291" cm="1">
        <f t="array" ref="DQ12">TRANSPOSE(SUMIFS('Графики (2)'!$I$7:$I$307,'Графики (2)'!$D$7:$D$307,'DCF (2)'!DQ$6))</f>
        <v>0</v>
      </c>
      <c r="DR12" s="291" cm="1">
        <f t="array" ref="DR12">TRANSPOSE(SUMIFS('Графики (2)'!$I$7:$I$307,'Графики (2)'!$D$7:$D$307,'DCF (2)'!DR$6))</f>
        <v>0</v>
      </c>
      <c r="DS12" s="291" cm="1">
        <f t="array" ref="DS12">TRANSPOSE(SUMIFS('Графики (2)'!$I$7:$I$307,'Графики (2)'!$D$7:$D$307,'DCF (2)'!DS$6))</f>
        <v>0</v>
      </c>
      <c r="DT12" s="291" cm="1">
        <f t="array" ref="DT12">TRANSPOSE(SUMIFS('Графики (2)'!$I$7:$I$307,'Графики (2)'!$D$7:$D$307,'DCF (2)'!DT$6))</f>
        <v>0</v>
      </c>
      <c r="DU12" s="291" cm="1">
        <f t="array" ref="DU12">TRANSPOSE(SUMIFS('Графики (2)'!$I$7:$I$307,'Графики (2)'!$D$7:$D$307,'DCF (2)'!DU$6))</f>
        <v>0</v>
      </c>
      <c r="DV12" s="291" cm="1">
        <f t="array" ref="DV12">TRANSPOSE(SUMIFS('Графики (2)'!$I$7:$I$307,'Графики (2)'!$D$7:$D$307,'DCF (2)'!DV$6))</f>
        <v>0</v>
      </c>
      <c r="DW12" s="291" cm="1">
        <f t="array" ref="DW12">TRANSPOSE(SUMIFS('Графики (2)'!$I$7:$I$307,'Графики (2)'!$D$7:$D$307,'DCF (2)'!DW$6))</f>
        <v>0</v>
      </c>
      <c r="DX12" s="291" cm="1">
        <f t="array" ref="DX12">TRANSPOSE(SUMIFS('Графики (2)'!$I$7:$I$307,'Графики (2)'!$D$7:$D$307,'DCF (2)'!DX$6))</f>
        <v>0</v>
      </c>
      <c r="DY12" s="291" cm="1">
        <f t="array" ref="DY12">TRANSPOSE(SUMIFS('Графики (2)'!$I$7:$I$307,'Графики (2)'!$D$7:$D$307,'DCF (2)'!DY$6))</f>
        <v>0</v>
      </c>
      <c r="DZ12" s="291" cm="1">
        <f t="array" ref="DZ12">TRANSPOSE(SUMIFS('Графики (2)'!$I$7:$I$307,'Графики (2)'!$D$7:$D$307,'DCF (2)'!DZ$6))</f>
        <v>0</v>
      </c>
      <c r="EA12" s="291" cm="1">
        <f t="array" ref="EA12">TRANSPOSE(SUMIFS('Графики (2)'!$I$7:$I$307,'Графики (2)'!$D$7:$D$307,'DCF (2)'!EA$6))</f>
        <v>0</v>
      </c>
      <c r="EB12" s="291" cm="1">
        <f t="array" ref="EB12">TRANSPOSE(SUMIFS('Графики (2)'!$I$7:$I$307,'Графики (2)'!$D$7:$D$307,'DCF (2)'!EB$6))</f>
        <v>0</v>
      </c>
      <c r="EC12" s="244" cm="1">
        <f t="array" ref="EC12">TRANSPOSE(SUMIFS(Графики!$I$7:$I$306,Графики!$D$7:$D$306,'DCF (2)'!EC6))</f>
        <v>0</v>
      </c>
      <c r="ED12" s="244" cm="1">
        <f t="array" ref="ED12">TRANSPOSE(SUMIFS(Графики!$I$7:$I$306,Графики!$D$7:$D$306,'DCF (2)'!ED6))</f>
        <v>0</v>
      </c>
      <c r="EE12" s="244" cm="1">
        <f t="array" ref="EE12">TRANSPOSE(SUMIFS(Графики!$I$7:$I$306,Графики!$D$7:$D$306,'DCF (2)'!EE6))</f>
        <v>0</v>
      </c>
      <c r="EF12" s="244" cm="1">
        <f t="array" ref="EF12">TRANSPOSE(SUMIFS(Графики!$I$7:$I$306,Графики!$D$7:$D$306,'DCF (2)'!EF6))</f>
        <v>0</v>
      </c>
      <c r="EG12" s="244" cm="1">
        <f t="array" ref="EG12">TRANSPOSE(SUMIFS(Графики!$I$7:$I$306,Графики!$D$7:$D$306,'DCF (2)'!EG6))</f>
        <v>0</v>
      </c>
      <c r="EH12" s="244" cm="1">
        <f t="array" ref="EH12">TRANSPOSE(SUMIFS(Графики!$I$7:$I$306,Графики!$D$7:$D$306,'DCF (2)'!EH6))</f>
        <v>0</v>
      </c>
      <c r="EI12" s="244" cm="1">
        <f t="array" ref="EI12">TRANSPOSE(SUMIFS(Графики!$I$7:$I$306,Графики!$D$7:$D$306,'DCF (2)'!EI6))</f>
        <v>0</v>
      </c>
      <c r="EJ12" s="244" cm="1">
        <f t="array" ref="EJ12">TRANSPOSE(SUMIFS(Графики!$I$7:$I$306,Графики!$D$7:$D$306,'DCF (2)'!EJ6))</f>
        <v>0</v>
      </c>
      <c r="EK12" s="244" cm="1">
        <f t="array" ref="EK12">TRANSPOSE(SUMIFS(Графики!$I$7:$I$306,Графики!$D$7:$D$306,'DCF (2)'!EK6))</f>
        <v>0</v>
      </c>
      <c r="EL12" s="244" cm="1">
        <f t="array" ref="EL12">TRANSPOSE(SUMIFS(Графики!$I$7:$I$306,Графики!$D$7:$D$306,'DCF (2)'!EL6))</f>
        <v>0</v>
      </c>
      <c r="EM12" s="244" cm="1">
        <f t="array" ref="EM12">TRANSPOSE(SUMIFS(Графики!$I$7:$I$306,Графики!$D$7:$D$306,'DCF (2)'!EM6))</f>
        <v>0</v>
      </c>
      <c r="EN12" s="244" cm="1">
        <f t="array" ref="EN12">TRANSPOSE(SUMIFS(Графики!$I$7:$I$306,Графики!$D$7:$D$306,'DCF (2)'!EN6))</f>
        <v>0</v>
      </c>
      <c r="EO12" s="244" cm="1">
        <f t="array" ref="EO12">TRANSPOSE(SUMIFS(Графики!$I$7:$I$306,Графики!$D$7:$D$306,'DCF (2)'!EO6))</f>
        <v>0</v>
      </c>
      <c r="EP12" s="244" cm="1">
        <f t="array" ref="EP12">TRANSPOSE(SUMIFS(Графики!$I$7:$I$306,Графики!$D$7:$D$306,'DCF (2)'!EP6))</f>
        <v>0</v>
      </c>
      <c r="EQ12" s="244" cm="1">
        <f t="array" ref="EQ12">TRANSPOSE(SUMIFS(Графики!$I$7:$I$306,Графики!$D$7:$D$306,'DCF (2)'!EQ6))</f>
        <v>0</v>
      </c>
      <c r="ER12" s="244" cm="1">
        <f t="array" ref="ER12">TRANSPOSE(SUMIFS(Графики!$I$7:$I$306,Графики!$D$7:$D$306,'DCF (2)'!ER6))</f>
        <v>0</v>
      </c>
      <c r="ES12" s="244" cm="1">
        <f t="array" ref="ES12">TRANSPOSE(SUMIFS(Графики!$I$7:$I$306,Графики!$D$7:$D$306,'DCF (2)'!ES6))</f>
        <v>0</v>
      </c>
      <c r="ET12" s="244" cm="1">
        <f t="array" ref="ET12">TRANSPOSE(SUMIFS(Графики!$I$7:$I$306,Графики!$D$7:$D$306,'DCF (2)'!ET6))</f>
        <v>0</v>
      </c>
      <c r="EU12" s="244" cm="1">
        <f t="array" ref="EU12">TRANSPOSE(SUMIFS(Графики!$I$7:$I$306,Графики!$D$7:$D$306,'DCF (2)'!EU6))</f>
        <v>0</v>
      </c>
      <c r="EV12" s="244" cm="1">
        <f t="array" ref="EV12">TRANSPOSE(SUMIFS(Графики!$I$7:$I$306,Графики!$D$7:$D$306,'DCF (2)'!EV6))</f>
        <v>0</v>
      </c>
      <c r="EW12" s="244" cm="1">
        <f t="array" ref="EW12">TRANSPOSE(SUMIFS(Графики!$I$7:$I$306,Графики!$D$7:$D$306,'DCF (2)'!EW6))</f>
        <v>0</v>
      </c>
      <c r="EX12" s="244" cm="1">
        <f t="array" ref="EX12">TRANSPOSE(SUMIFS(Графики!$I$7:$I$306,Графики!$D$7:$D$306,'DCF (2)'!EX6))</f>
        <v>0</v>
      </c>
      <c r="EY12" s="244" cm="1">
        <f t="array" ref="EY12">TRANSPOSE(SUMIFS(Графики!$I$7:$I$306,Графики!$D$7:$D$306,'DCF (2)'!EY6))</f>
        <v>0</v>
      </c>
      <c r="EZ12" s="244" cm="1">
        <f t="array" ref="EZ12">TRANSPOSE(SUMIFS(Графики!$I$7:$I$306,Графики!$D$7:$D$306,'DCF (2)'!EZ6))</f>
        <v>0</v>
      </c>
      <c r="FA12" s="244" cm="1">
        <f t="array" ref="FA12">TRANSPOSE(SUMIFS(Графики!$I$7:$I$306,Графики!$D$7:$D$306,'DCF (2)'!FA6))</f>
        <v>0</v>
      </c>
      <c r="FB12" s="244" cm="1">
        <f t="array" ref="FB12">TRANSPOSE(SUMIFS(Графики!$I$7:$I$306,Графики!$D$7:$D$306,'DCF (2)'!FB6))</f>
        <v>0</v>
      </c>
      <c r="FC12" s="244" cm="1">
        <f t="array" ref="FC12">TRANSPOSE(SUMIFS(Графики!$I$7:$I$306,Графики!$D$7:$D$306,'DCF (2)'!FC6))</f>
        <v>0</v>
      </c>
      <c r="FD12" s="244" cm="1">
        <f t="array" ref="FD12">TRANSPOSE(SUMIFS(Графики!$I$7:$I$306,Графики!$D$7:$D$306,'DCF (2)'!FD6))</f>
        <v>0</v>
      </c>
      <c r="FE12" s="244" cm="1">
        <f t="array" ref="FE12">TRANSPOSE(SUMIFS(Графики!$I$7:$I$306,Графики!$D$7:$D$306,'DCF (2)'!FE6))</f>
        <v>0</v>
      </c>
      <c r="FF12" s="244" cm="1">
        <f t="array" ref="FF12">TRANSPOSE(SUMIFS(Графики!$I$7:$I$306,Графики!$D$7:$D$306,'DCF (2)'!FF6))</f>
        <v>0</v>
      </c>
      <c r="FG12" s="244" cm="1">
        <f t="array" ref="FG12">TRANSPOSE(SUMIFS(Графики!$I$7:$I$306,Графики!$D$7:$D$306,'DCF (2)'!FG6))</f>
        <v>0</v>
      </c>
      <c r="FH12" s="244" cm="1">
        <f t="array" ref="FH12">TRANSPOSE(SUMIFS(Графики!$I$7:$I$306,Графики!$D$7:$D$306,'DCF (2)'!FH6))</f>
        <v>0</v>
      </c>
      <c r="FI12" s="244" cm="1">
        <f t="array" ref="FI12">TRANSPOSE(SUMIFS(Графики!$I$7:$I$306,Графики!$D$7:$D$306,'DCF (2)'!FI6))</f>
        <v>0</v>
      </c>
      <c r="FJ12" s="244" cm="1">
        <f t="array" ref="FJ12">TRANSPOSE(SUMIFS(Графики!$I$7:$I$306,Графики!$D$7:$D$306,'DCF (2)'!FJ6))</f>
        <v>0</v>
      </c>
      <c r="FK12" s="244" cm="1">
        <f t="array" ref="FK12">TRANSPOSE(SUMIFS(Графики!$I$7:$I$306,Графики!$D$7:$D$306,'DCF (2)'!FK6))</f>
        <v>0</v>
      </c>
      <c r="FL12" s="244" cm="1">
        <f t="array" ref="FL12">TRANSPOSE(SUMIFS(Графики!$I$7:$I$306,Графики!$D$7:$D$306,'DCF (2)'!FL6))</f>
        <v>0</v>
      </c>
      <c r="FM12" s="244" cm="1">
        <f t="array" ref="FM12">TRANSPOSE(SUMIFS(Графики!$I$7:$I$306,Графики!$D$7:$D$306,'DCF (2)'!FM6))</f>
        <v>0</v>
      </c>
      <c r="FN12" s="244" cm="1">
        <f t="array" ref="FN12">TRANSPOSE(SUMIFS(Графики!$I$7:$I$306,Графики!$D$7:$D$306,'DCF (2)'!FN6))</f>
        <v>0</v>
      </c>
      <c r="FO12" s="244" cm="1">
        <f t="array" ref="FO12">TRANSPOSE(SUMIFS(Графики!$I$7:$I$306,Графики!$D$7:$D$306,'DCF (2)'!FO6))</f>
        <v>0</v>
      </c>
      <c r="FP12" s="244" cm="1">
        <f t="array" ref="FP12">TRANSPOSE(SUMIFS(Графики!$I$7:$I$306,Графики!$D$7:$D$306,'DCF (2)'!FP6))</f>
        <v>0</v>
      </c>
      <c r="FQ12" s="244" cm="1">
        <f t="array" ref="FQ12">TRANSPOSE(SUMIFS(Графики!$I$7:$I$306,Графики!$D$7:$D$306,'DCF (2)'!FQ6))</f>
        <v>0</v>
      </c>
      <c r="FR12" s="244" cm="1">
        <f t="array" ref="FR12">TRANSPOSE(SUMIFS(Графики!$I$7:$I$306,Графики!$D$7:$D$306,'DCF (2)'!FR6))</f>
        <v>0</v>
      </c>
      <c r="FS12" s="244" cm="1">
        <f t="array" ref="FS12">TRANSPOSE(SUMIFS(Графики!$I$7:$I$306,Графики!$D$7:$D$306,'DCF (2)'!FS6))</f>
        <v>0</v>
      </c>
      <c r="FT12" s="244" cm="1">
        <f t="array" ref="FT12">TRANSPOSE(SUMIFS(Графики!$I$7:$I$306,Графики!$D$7:$D$306,'DCF (2)'!FT6))</f>
        <v>0</v>
      </c>
      <c r="FU12" s="244" cm="1">
        <f t="array" ref="FU12">TRANSPOSE(SUMIFS(Графики!$I$7:$I$306,Графики!$D$7:$D$306,'DCF (2)'!FU6))</f>
        <v>0</v>
      </c>
      <c r="FV12" s="244" cm="1">
        <f t="array" ref="FV12">TRANSPOSE(SUMIFS(Графики!$I$7:$I$306,Графики!$D$7:$D$306,'DCF (2)'!FV6))</f>
        <v>0</v>
      </c>
      <c r="FW12" s="244" cm="1">
        <f t="array" ref="FW12">TRANSPOSE(SUMIFS(Графики!$I$7:$I$306,Графики!$D$7:$D$306,'DCF (2)'!FW6))</f>
        <v>0</v>
      </c>
      <c r="FX12" s="244" cm="1">
        <f t="array" ref="FX12">TRANSPOSE(SUMIFS(Графики!$I$7:$I$306,Графики!$D$7:$D$306,'DCF (2)'!FX6))</f>
        <v>0</v>
      </c>
      <c r="FY12" s="244" cm="1">
        <f t="array" ref="FY12">TRANSPOSE(SUMIFS(Графики!$I$7:$I$306,Графики!$D$7:$D$306,'DCF (2)'!FY6))</f>
        <v>0</v>
      </c>
      <c r="FZ12" s="244" cm="1">
        <f t="array" ref="FZ12">TRANSPOSE(SUMIFS(Графики!$I$7:$I$306,Графики!$D$7:$D$306,'DCF (2)'!FZ6))</f>
        <v>0</v>
      </c>
      <c r="GA12" s="244" cm="1">
        <f t="array" ref="GA12">TRANSPOSE(SUMIFS(Графики!$I$7:$I$306,Графики!$D$7:$D$306,'DCF (2)'!GA6))</f>
        <v>0</v>
      </c>
      <c r="GB12" s="244" cm="1">
        <f t="array" ref="GB12">TRANSPOSE(SUMIFS(Графики!$I$7:$I$306,Графики!$D$7:$D$306,'DCF (2)'!GB6))</f>
        <v>0</v>
      </c>
      <c r="GC12" s="244" cm="1">
        <f t="array" ref="GC12">TRANSPOSE(SUMIFS(Графики!$I$7:$I$306,Графики!$D$7:$D$306,'DCF (2)'!GC6))</f>
        <v>0</v>
      </c>
      <c r="GD12" s="244" cm="1">
        <f t="array" ref="GD12">TRANSPOSE(SUMIFS(Графики!$I$7:$I$306,Графики!$D$7:$D$306,'DCF (2)'!GD6))</f>
        <v>0</v>
      </c>
      <c r="GE12" s="244" cm="1">
        <f t="array" ref="GE12">TRANSPOSE(SUMIFS(Графики!$I$7:$I$306,Графики!$D$7:$D$306,'DCF (2)'!GE6))</f>
        <v>0</v>
      </c>
      <c r="GF12" s="244" cm="1">
        <f t="array" ref="GF12">TRANSPOSE(SUMIFS(Графики!$I$7:$I$306,Графики!$D$7:$D$306,'DCF (2)'!GF6))</f>
        <v>0</v>
      </c>
      <c r="GG12" s="244" cm="1">
        <f t="array" ref="GG12">TRANSPOSE(SUMIFS(Графики!$I$7:$I$306,Графики!$D$7:$D$306,'DCF (2)'!GG6))</f>
        <v>0</v>
      </c>
      <c r="GH12" s="244" cm="1">
        <f t="array" ref="GH12">TRANSPOSE(SUMIFS(Графики!$I$7:$I$306,Графики!$D$7:$D$306,'DCF (2)'!GH6))</f>
        <v>0</v>
      </c>
      <c r="GI12" s="244" cm="1">
        <f t="array" ref="GI12">TRANSPOSE(SUMIFS(Графики!$I$7:$I$306,Графики!$D$7:$D$306,'DCF (2)'!GI6))</f>
        <v>0</v>
      </c>
      <c r="GJ12" s="244" cm="1">
        <f t="array" ref="GJ12">TRANSPOSE(SUMIFS(Графики!$I$7:$I$306,Графики!$D$7:$D$306,'DCF (2)'!GJ6))</f>
        <v>0</v>
      </c>
      <c r="GK12" s="244" cm="1">
        <f t="array" ref="GK12">TRANSPOSE(SUMIFS(Графики!$I$7:$I$306,Графики!$D$7:$D$306,'DCF (2)'!GK6))</f>
        <v>0</v>
      </c>
      <c r="GL12" s="244" cm="1">
        <f t="array" ref="GL12">TRANSPOSE(SUMIFS(Графики!$I$7:$I$306,Графики!$D$7:$D$306,'DCF (2)'!GL6))</f>
        <v>0</v>
      </c>
      <c r="GM12" s="244" cm="1">
        <f t="array" ref="GM12">TRANSPOSE(SUMIFS(Графики!$I$7:$I$306,Графики!$D$7:$D$306,'DCF (2)'!GM6))</f>
        <v>0</v>
      </c>
      <c r="GN12" s="244" cm="1">
        <f t="array" ref="GN12">TRANSPOSE(SUMIFS(Графики!$I$7:$I$306,Графики!$D$7:$D$306,'DCF (2)'!GN6))</f>
        <v>0</v>
      </c>
      <c r="GO12" s="244" cm="1">
        <f t="array" ref="GO12">TRANSPOSE(SUMIFS(Графики!$I$7:$I$306,Графики!$D$7:$D$306,'DCF (2)'!GO6))</f>
        <v>0</v>
      </c>
      <c r="GP12" s="244" cm="1">
        <f t="array" ref="GP12">TRANSPOSE(SUMIFS(Графики!$I$7:$I$306,Графики!$D$7:$D$306,'DCF (2)'!GP6))</f>
        <v>0</v>
      </c>
      <c r="GQ12" s="244" cm="1">
        <f t="array" ref="GQ12">TRANSPOSE(SUMIFS(Графики!$I$7:$I$306,Графики!$D$7:$D$306,'DCF (2)'!GQ6))</f>
        <v>0</v>
      </c>
      <c r="GR12" s="244" cm="1">
        <f t="array" ref="GR12">TRANSPOSE(SUMIFS(Графики!$I$7:$I$306,Графики!$D$7:$D$306,'DCF (2)'!GR6))</f>
        <v>0</v>
      </c>
      <c r="GS12" s="244" cm="1">
        <f t="array" ref="GS12">TRANSPOSE(SUMIFS(Графики!$I$7:$I$306,Графики!$D$7:$D$306,'DCF (2)'!GS6))</f>
        <v>0</v>
      </c>
      <c r="GT12" s="244" cm="1">
        <f t="array" ref="GT12">TRANSPOSE(SUMIFS(Графики!$I$7:$I$306,Графики!$D$7:$D$306,'DCF (2)'!GT6))</f>
        <v>0</v>
      </c>
      <c r="GU12" s="244" cm="1">
        <f t="array" ref="GU12">TRANSPOSE(SUMIFS(Графики!$I$7:$I$306,Графики!$D$7:$D$306,'DCF (2)'!GU6))</f>
        <v>0</v>
      </c>
      <c r="GV12" s="244" cm="1">
        <f t="array" ref="GV12">TRANSPOSE(SUMIFS(Графики!$I$7:$I$306,Графики!$D$7:$D$306,'DCF (2)'!GV6))</f>
        <v>0</v>
      </c>
      <c r="GW12" s="244" cm="1">
        <f t="array" ref="GW12">TRANSPOSE(SUMIFS(Графики!$I$7:$I$306,Графики!$D$7:$D$306,'DCF (2)'!GW6))</f>
        <v>0</v>
      </c>
      <c r="GX12" s="244" cm="1">
        <f t="array" ref="GX12">TRANSPOSE(SUMIFS(Графики!$I$7:$I$306,Графики!$D$7:$D$306,'DCF (2)'!GX6))</f>
        <v>0</v>
      </c>
      <c r="GY12" s="244" cm="1">
        <f t="array" ref="GY12">TRANSPOSE(SUMIFS(Графики!$I$7:$I$306,Графики!$D$7:$D$306,'DCF (2)'!GY6))</f>
        <v>0</v>
      </c>
      <c r="GZ12" s="244" cm="1">
        <f t="array" ref="GZ12">TRANSPOSE(SUMIFS(Графики!$I$7:$I$306,Графики!$D$7:$D$306,'DCF (2)'!GZ6))</f>
        <v>0</v>
      </c>
      <c r="HA12" s="244" cm="1">
        <f t="array" ref="HA12">TRANSPOSE(SUMIFS(Графики!$I$7:$I$306,Графики!$D$7:$D$306,'DCF (2)'!HA6))</f>
        <v>0</v>
      </c>
      <c r="HB12" s="244" cm="1">
        <f t="array" ref="HB12">TRANSPOSE(SUMIFS(Графики!$I$7:$I$306,Графики!$D$7:$D$306,'DCF (2)'!HB6))</f>
        <v>0</v>
      </c>
      <c r="HC12" s="244" cm="1">
        <f t="array" ref="HC12">TRANSPOSE(SUMIFS(Графики!$I$7:$I$306,Графики!$D$7:$D$306,'DCF (2)'!HC6))</f>
        <v>0</v>
      </c>
      <c r="HD12" s="244" cm="1">
        <f t="array" ref="HD12">TRANSPOSE(SUMIFS(Графики!$I$7:$I$306,Графики!$D$7:$D$306,'DCF (2)'!HD6))</f>
        <v>0</v>
      </c>
      <c r="HE12" s="244" cm="1">
        <f t="array" ref="HE12">TRANSPOSE(SUMIFS(Графики!$I$7:$I$306,Графики!$D$7:$D$306,'DCF (2)'!HE6))</f>
        <v>0</v>
      </c>
      <c r="HF12" s="244" cm="1">
        <f t="array" ref="HF12">TRANSPOSE(SUMIFS(Графики!$I$7:$I$306,Графики!$D$7:$D$306,'DCF (2)'!HF6))</f>
        <v>0</v>
      </c>
      <c r="HG12" s="244" cm="1">
        <f t="array" ref="HG12">TRANSPOSE(SUMIFS(Графики!$I$7:$I$306,Графики!$D$7:$D$306,'DCF (2)'!HG6))</f>
        <v>0</v>
      </c>
      <c r="HH12" s="244" cm="1">
        <f t="array" ref="HH12">TRANSPOSE(SUMIFS(Графики!$I$7:$I$306,Графики!$D$7:$D$306,'DCF (2)'!HH6))</f>
        <v>0</v>
      </c>
      <c r="HI12" s="244" cm="1">
        <f t="array" ref="HI12">TRANSPOSE(SUMIFS(Графики!$I$7:$I$306,Графики!$D$7:$D$306,'DCF (2)'!HI6))</f>
        <v>0</v>
      </c>
      <c r="HJ12" s="244" cm="1">
        <f t="array" ref="HJ12">TRANSPOSE(SUMIFS(Графики!$I$7:$I$306,Графики!$D$7:$D$306,'DCF (2)'!HJ6))</f>
        <v>0</v>
      </c>
      <c r="HK12" s="244" cm="1">
        <f t="array" ref="HK12">TRANSPOSE(SUMIFS(Графики!$I$7:$I$306,Графики!$D$7:$D$306,'DCF (2)'!HK6))</f>
        <v>0</v>
      </c>
      <c r="HL12" s="244" cm="1">
        <f t="array" ref="HL12">TRANSPOSE(SUMIFS(Графики!$I$7:$I$306,Графики!$D$7:$D$306,'DCF (2)'!HL6))</f>
        <v>0</v>
      </c>
      <c r="HM12" s="244" cm="1">
        <f t="array" ref="HM12">TRANSPOSE(SUMIFS(Графики!$I$7:$I$306,Графики!$D$7:$D$306,'DCF (2)'!HM6))</f>
        <v>0</v>
      </c>
      <c r="HN12" s="244" cm="1">
        <f t="array" ref="HN12">TRANSPOSE(SUMIFS(Графики!$I$7:$I$306,Графики!$D$7:$D$306,'DCF (2)'!HN6))</f>
        <v>0</v>
      </c>
      <c r="HO12" s="244" cm="1">
        <f t="array" ref="HO12">TRANSPOSE(SUMIFS(Графики!$I$7:$I$306,Графики!$D$7:$D$306,'DCF (2)'!HO6))</f>
        <v>0</v>
      </c>
      <c r="HP12" s="244" cm="1">
        <f t="array" ref="HP12">TRANSPOSE(SUMIFS(Графики!$I$7:$I$306,Графики!$D$7:$D$306,'DCF (2)'!HP6))</f>
        <v>0</v>
      </c>
      <c r="HQ12" s="244" cm="1">
        <f t="array" ref="HQ12">TRANSPOSE(SUMIFS(Графики!$I$7:$I$306,Графики!$D$7:$D$306,'DCF (2)'!HQ6))</f>
        <v>0</v>
      </c>
      <c r="HR12" s="244" cm="1">
        <f t="array" ref="HR12">TRANSPOSE(SUMIFS(Графики!$I$7:$I$306,Графики!$D$7:$D$306,'DCF (2)'!HR6))</f>
        <v>0</v>
      </c>
      <c r="HS12" s="244" cm="1">
        <f t="array" ref="HS12">TRANSPOSE(SUMIFS(Графики!$I$7:$I$306,Графики!$D$7:$D$306,'DCF (2)'!HS6))</f>
        <v>0</v>
      </c>
      <c r="HT12" s="244" cm="1">
        <f t="array" ref="HT12">TRANSPOSE(SUMIFS(Графики!$I$7:$I$306,Графики!$D$7:$D$306,'DCF (2)'!HT6))</f>
        <v>0</v>
      </c>
      <c r="HU12" s="244" cm="1">
        <f t="array" ref="HU12">TRANSPOSE(SUMIFS(Графики!$I$7:$I$306,Графики!$D$7:$D$306,'DCF (2)'!HU6))</f>
        <v>0</v>
      </c>
      <c r="HV12" s="244" cm="1">
        <f t="array" ref="HV12">TRANSPOSE(SUMIFS(Графики!$I$7:$I$306,Графики!$D$7:$D$306,'DCF (2)'!HV6))</f>
        <v>0</v>
      </c>
      <c r="HW12" s="244" cm="1">
        <f t="array" ref="HW12">TRANSPOSE(SUMIFS(Графики!$I$7:$I$306,Графики!$D$7:$D$306,'DCF (2)'!HW6))</f>
        <v>0</v>
      </c>
      <c r="HX12" s="244" cm="1">
        <f t="array" ref="HX12">TRANSPOSE(SUMIFS(Графики!$I$7:$I$306,Графики!$D$7:$D$306,'DCF (2)'!HX6))</f>
        <v>0</v>
      </c>
      <c r="HY12" s="244" cm="1">
        <f t="array" ref="HY12">TRANSPOSE(SUMIFS(Графики!$I$7:$I$306,Графики!$D$7:$D$306,'DCF (2)'!HY6))</f>
        <v>0</v>
      </c>
      <c r="HZ12" s="244" cm="1">
        <f t="array" ref="HZ12">TRANSPOSE(SUMIFS(Графики!$I$7:$I$306,Графики!$D$7:$D$306,'DCF (2)'!HZ6))</f>
        <v>0</v>
      </c>
      <c r="IA12" s="244" cm="1">
        <f t="array" ref="IA12">TRANSPOSE(SUMIFS(Графики!$I$7:$I$306,Графики!$D$7:$D$306,'DCF (2)'!IA6))</f>
        <v>0</v>
      </c>
      <c r="IB12" s="244" cm="1">
        <f t="array" ref="IB12">TRANSPOSE(SUMIFS(Графики!$I$7:$I$306,Графики!$D$7:$D$306,'DCF (2)'!IB6))</f>
        <v>0</v>
      </c>
      <c r="IC12" s="244" cm="1">
        <f t="array" ref="IC12">TRANSPOSE(SUMIFS(Графики!$I$7:$I$306,Графики!$D$7:$D$306,'DCF (2)'!IC6))</f>
        <v>0</v>
      </c>
      <c r="ID12" s="244" cm="1">
        <f t="array" ref="ID12">TRANSPOSE(SUMIFS(Графики!$I$7:$I$306,Графики!$D$7:$D$306,'DCF (2)'!ID6))</f>
        <v>0</v>
      </c>
      <c r="IE12" s="244" cm="1">
        <f t="array" ref="IE12">TRANSPOSE(SUMIFS(Графики!$I$7:$I$306,Графики!$D$7:$D$306,'DCF (2)'!IE6))</f>
        <v>0</v>
      </c>
      <c r="IF12" s="244" cm="1">
        <f t="array" ref="IF12">TRANSPOSE(SUMIFS(Графики!$I$7:$I$306,Графики!$D$7:$D$306,'DCF (2)'!IF6))</f>
        <v>0</v>
      </c>
      <c r="IG12" s="244" cm="1">
        <f t="array" ref="IG12">TRANSPOSE(SUMIFS(Графики!$I$7:$I$306,Графики!$D$7:$D$306,'DCF (2)'!IG6))</f>
        <v>0</v>
      </c>
      <c r="IH12" s="244" cm="1">
        <f t="array" ref="IH12">TRANSPOSE(SUMIFS(Графики!$I$7:$I$306,Графики!$D$7:$D$306,'DCF (2)'!IH6))</f>
        <v>0</v>
      </c>
      <c r="II12" s="244" cm="1">
        <f t="array" ref="II12">TRANSPOSE(SUMIFS(Графики!$I$7:$I$306,Графики!$D$7:$D$306,'DCF (2)'!II6))</f>
        <v>0</v>
      </c>
      <c r="IJ12" s="244" cm="1">
        <f t="array" ref="IJ12">TRANSPOSE(SUMIFS(Графики!$I$7:$I$306,Графики!$D$7:$D$306,'DCF (2)'!IJ6))</f>
        <v>0</v>
      </c>
      <c r="IK12" s="244" cm="1">
        <f t="array" ref="IK12">TRANSPOSE(SUMIFS(Графики!$I$7:$I$306,Графики!$D$7:$D$306,'DCF (2)'!IK6))</f>
        <v>0</v>
      </c>
      <c r="IL12" s="244" cm="1">
        <f t="array" ref="IL12">TRANSPOSE(SUMIFS(Графики!$I$7:$I$306,Графики!$D$7:$D$306,'DCF (2)'!IL6))</f>
        <v>0</v>
      </c>
      <c r="IM12" s="244" cm="1">
        <f t="array" ref="IM12">TRANSPOSE(SUMIFS(Графики!$I$7:$I$306,Графики!$D$7:$D$306,'DCF (2)'!IM6))</f>
        <v>0</v>
      </c>
      <c r="IN12" s="244" cm="1">
        <f t="array" ref="IN12">TRANSPOSE(SUMIFS(Графики!$I$7:$I$306,Графики!$D$7:$D$306,'DCF (2)'!IN6))</f>
        <v>0</v>
      </c>
      <c r="IO12" s="244" cm="1">
        <f t="array" ref="IO12">TRANSPOSE(SUMIFS(Графики!$I$7:$I$306,Графики!$D$7:$D$306,'DCF (2)'!IO6))</f>
        <v>0</v>
      </c>
      <c r="IP12" s="244" cm="1">
        <f t="array" ref="IP12">TRANSPOSE(SUMIFS(Графики!$I$7:$I$306,Графики!$D$7:$D$306,'DCF (2)'!IP6))</f>
        <v>0</v>
      </c>
      <c r="IQ12" s="244" cm="1">
        <f t="array" ref="IQ12">TRANSPOSE(SUMIFS(Графики!$I$7:$I$306,Графики!$D$7:$D$306,'DCF (2)'!IQ6))</f>
        <v>0</v>
      </c>
      <c r="IR12" s="244" cm="1">
        <f t="array" ref="IR12">TRANSPOSE(SUMIFS(Графики!$I$7:$I$306,Графики!$D$7:$D$306,'DCF (2)'!IR6))</f>
        <v>0</v>
      </c>
      <c r="IS12" s="244" cm="1">
        <f t="array" ref="IS12">TRANSPOSE(SUMIFS(Графики!$I$7:$I$306,Графики!$D$7:$D$306,'DCF (2)'!IS6))</f>
        <v>0</v>
      </c>
      <c r="IT12" s="244" cm="1">
        <f t="array" ref="IT12">TRANSPOSE(SUMIFS(Графики!$I$7:$I$306,Графики!$D$7:$D$306,'DCF (2)'!IT6))</f>
        <v>0</v>
      </c>
      <c r="IU12" s="244" cm="1">
        <f t="array" ref="IU12">TRANSPOSE(SUMIFS(Графики!$I$7:$I$306,Графики!$D$7:$D$306,'DCF (2)'!IU6))</f>
        <v>0</v>
      </c>
      <c r="IV12" s="244" cm="1">
        <f t="array" ref="IV12">TRANSPOSE(SUMIFS(Графики!$I$7:$I$306,Графики!$D$7:$D$306,'DCF (2)'!IV6))</f>
        <v>0</v>
      </c>
      <c r="IW12" s="244" cm="1">
        <f t="array" ref="IW12">TRANSPOSE(SUMIFS(Графики!$I$7:$I$306,Графики!$D$7:$D$306,'DCF (2)'!IW6))</f>
        <v>0</v>
      </c>
      <c r="IX12" s="244" cm="1">
        <f t="array" ref="IX12">TRANSPOSE(SUMIFS(Графики!$I$7:$I$306,Графики!$D$7:$D$306,'DCF (2)'!IX6))</f>
        <v>0</v>
      </c>
      <c r="IY12" s="244" cm="1">
        <f t="array" ref="IY12">TRANSPOSE(SUMIFS(Графики!$I$7:$I$306,Графики!$D$7:$D$306,'DCF (2)'!IY6))</f>
        <v>0</v>
      </c>
      <c r="IZ12" s="244" cm="1">
        <f t="array" ref="IZ12">TRANSPOSE(SUMIFS(Графики!$I$7:$I$306,Графики!$D$7:$D$306,'DCF (2)'!IZ6))</f>
        <v>0</v>
      </c>
      <c r="JA12" s="244" cm="1">
        <f t="array" ref="JA12">TRANSPOSE(SUMIFS(Графики!$I$7:$I$306,Графики!$D$7:$D$306,'DCF (2)'!JA6))</f>
        <v>0</v>
      </c>
      <c r="JB12" s="244" cm="1">
        <f t="array" ref="JB12">TRANSPOSE(SUMIFS(Графики!$I$7:$I$306,Графики!$D$7:$D$306,'DCF (2)'!JB6))</f>
        <v>0</v>
      </c>
      <c r="JC12" s="244" cm="1">
        <f t="array" ref="JC12">TRANSPOSE(SUMIFS(Графики!$I$7:$I$306,Графики!$D$7:$D$306,'DCF (2)'!JC6))</f>
        <v>0</v>
      </c>
      <c r="JD12" s="244" cm="1">
        <f t="array" ref="JD12">TRANSPOSE(SUMIFS(Графики!$I$7:$I$306,Графики!$D$7:$D$306,'DCF (2)'!JD6))</f>
        <v>0</v>
      </c>
      <c r="JE12" s="244" cm="1">
        <f t="array" ref="JE12">TRANSPOSE(SUMIFS(Графики!$I$7:$I$306,Графики!$D$7:$D$306,'DCF (2)'!JE6))</f>
        <v>0</v>
      </c>
      <c r="JF12" s="244" cm="1">
        <f t="array" ref="JF12">TRANSPOSE(SUMIFS(Графики!$I$7:$I$306,Графики!$D$7:$D$306,'DCF (2)'!JF6))</f>
        <v>0</v>
      </c>
      <c r="JG12" s="244" cm="1">
        <f t="array" ref="JG12">TRANSPOSE(SUMIFS(Графики!$I$7:$I$306,Графики!$D$7:$D$306,'DCF (2)'!JG6))</f>
        <v>0</v>
      </c>
      <c r="JH12" s="244" cm="1">
        <f t="array" ref="JH12">TRANSPOSE(SUMIFS(Графики!$I$7:$I$306,Графики!$D$7:$D$306,'DCF (2)'!JH6))</f>
        <v>0</v>
      </c>
      <c r="JI12" s="244" cm="1">
        <f t="array" ref="JI12">TRANSPOSE(SUMIFS(Графики!$I$7:$I$306,Графики!$D$7:$D$306,'DCF (2)'!JI6))</f>
        <v>0</v>
      </c>
      <c r="JJ12" s="244" cm="1">
        <f t="array" ref="JJ12">TRANSPOSE(SUMIFS(Графики!$I$7:$I$306,Графики!$D$7:$D$306,'DCF (2)'!JJ6))</f>
        <v>0</v>
      </c>
      <c r="JK12" s="244" cm="1">
        <f t="array" ref="JK12">TRANSPOSE(SUMIFS(Графики!$I$7:$I$306,Графики!$D$7:$D$306,'DCF (2)'!JK6))</f>
        <v>0</v>
      </c>
      <c r="JL12" s="244" cm="1">
        <f t="array" ref="JL12">TRANSPOSE(SUMIFS(Графики!$I$7:$I$306,Графики!$D$7:$D$306,'DCF (2)'!JL6))</f>
        <v>0</v>
      </c>
      <c r="JM12" s="244" cm="1">
        <f t="array" ref="JM12">TRANSPOSE(SUMIFS(Графики!$I$7:$I$306,Графики!$D$7:$D$306,'DCF (2)'!JM6))</f>
        <v>0</v>
      </c>
      <c r="JN12" s="244" cm="1">
        <f t="array" ref="JN12">TRANSPOSE(SUMIFS(Графики!$I$7:$I$306,Графики!$D$7:$D$306,'DCF (2)'!JN6))</f>
        <v>0</v>
      </c>
      <c r="JO12" s="244" cm="1">
        <f t="array" ref="JO12">TRANSPOSE(SUMIFS(Графики!$I$7:$I$306,Графики!$D$7:$D$306,'DCF (2)'!JO6))</f>
        <v>0</v>
      </c>
      <c r="JP12" s="244" cm="1">
        <f t="array" ref="JP12">TRANSPOSE(SUMIFS(Графики!$I$7:$I$306,Графики!$D$7:$D$306,'DCF (2)'!JP6))</f>
        <v>0</v>
      </c>
      <c r="JQ12" s="244" cm="1">
        <f t="array" ref="JQ12">TRANSPOSE(SUMIFS(Графики!$I$7:$I$306,Графики!$D$7:$D$306,'DCF (2)'!JQ6))</f>
        <v>0</v>
      </c>
      <c r="JR12" s="244" cm="1">
        <f t="array" ref="JR12">TRANSPOSE(SUMIFS(Графики!$I$7:$I$306,Графики!$D$7:$D$306,'DCF (2)'!JR6))</f>
        <v>0</v>
      </c>
      <c r="JS12" s="244" cm="1">
        <f t="array" ref="JS12">TRANSPOSE(SUMIFS(Графики!$I$7:$I$306,Графики!$D$7:$D$306,'DCF (2)'!JS6))</f>
        <v>0</v>
      </c>
      <c r="JT12" s="244" cm="1">
        <f t="array" ref="JT12">TRANSPOSE(SUMIFS(Графики!$I$7:$I$306,Графики!$D$7:$D$306,'DCF (2)'!JT6))</f>
        <v>0</v>
      </c>
      <c r="JU12" s="244" cm="1">
        <f t="array" ref="JU12">TRANSPOSE(SUMIFS(Графики!$I$7:$I$306,Графики!$D$7:$D$306,'DCF (2)'!JU6))</f>
        <v>0</v>
      </c>
      <c r="JV12" s="244" cm="1">
        <f t="array" ref="JV12">TRANSPOSE(SUMIFS(Графики!$I$7:$I$306,Графики!$D$7:$D$306,'DCF (2)'!JV6))</f>
        <v>0</v>
      </c>
      <c r="JW12" s="244" cm="1">
        <f t="array" ref="JW12">TRANSPOSE(SUMIFS(Графики!$I$7:$I$306,Графики!$D$7:$D$306,'DCF (2)'!JW6))</f>
        <v>0</v>
      </c>
      <c r="JX12" s="244" cm="1">
        <f t="array" ref="JX12">TRANSPOSE(SUMIFS(Графики!$I$7:$I$306,Графики!$D$7:$D$306,'DCF (2)'!JX6))</f>
        <v>0</v>
      </c>
      <c r="JY12" s="244" cm="1">
        <f t="array" ref="JY12">TRANSPOSE(SUMIFS(Графики!$I$7:$I$306,Графики!$D$7:$D$306,'DCF (2)'!JY6))</f>
        <v>0</v>
      </c>
      <c r="JZ12" s="244" cm="1">
        <f t="array" ref="JZ12">TRANSPOSE(SUMIFS(Графики!$I$7:$I$306,Графики!$D$7:$D$306,'DCF (2)'!JZ6))</f>
        <v>0</v>
      </c>
      <c r="KA12" s="244" cm="1">
        <f t="array" ref="KA12">TRANSPOSE(SUMIFS(Графики!$I$7:$I$306,Графики!$D$7:$D$306,'DCF (2)'!KA6))</f>
        <v>0</v>
      </c>
      <c r="KB12" s="244" cm="1">
        <f t="array" ref="KB12">TRANSPOSE(SUMIFS(Графики!$I$7:$I$306,Графики!$D$7:$D$306,'DCF (2)'!KB6))</f>
        <v>0</v>
      </c>
      <c r="KC12" s="244" cm="1">
        <f t="array" ref="KC12">TRANSPOSE(SUMIFS(Графики!$I$7:$I$306,Графики!$D$7:$D$306,'DCF (2)'!KC6))</f>
        <v>0</v>
      </c>
      <c r="KD12" s="244" cm="1">
        <f t="array" ref="KD12">TRANSPOSE(SUMIFS(Графики!$I$7:$I$306,Графики!$D$7:$D$306,'DCF (2)'!KD6))</f>
        <v>0</v>
      </c>
      <c r="KE12" s="244" cm="1">
        <f t="array" ref="KE12">TRANSPOSE(SUMIFS(Графики!$I$7:$I$306,Графики!$D$7:$D$306,'DCF (2)'!KE6))</f>
        <v>0</v>
      </c>
      <c r="KF12" s="244" cm="1">
        <f t="array" ref="KF12">TRANSPOSE(SUMIFS(Графики!$I$7:$I$306,Графики!$D$7:$D$306,'DCF (2)'!KF6))</f>
        <v>0</v>
      </c>
      <c r="KG12" s="244" cm="1">
        <f t="array" ref="KG12">TRANSPOSE(SUMIFS(Графики!$I$7:$I$306,Графики!$D$7:$D$306,'DCF (2)'!KG6))</f>
        <v>0</v>
      </c>
      <c r="KH12" s="244" cm="1">
        <f t="array" ref="KH12">TRANSPOSE(SUMIFS(Графики!$I$7:$I$306,Графики!$D$7:$D$306,'DCF (2)'!KH6))</f>
        <v>0</v>
      </c>
      <c r="KI12" s="244" cm="1">
        <f t="array" ref="KI12">TRANSPOSE(SUMIFS(Графики!$I$7:$I$306,Графики!$D$7:$D$306,'DCF (2)'!KI6))</f>
        <v>0</v>
      </c>
      <c r="KJ12" s="244" cm="1">
        <f t="array" ref="KJ12">TRANSPOSE(SUMIFS(Графики!$I$7:$I$306,Графики!$D$7:$D$306,'DCF (2)'!KJ6))</f>
        <v>0</v>
      </c>
      <c r="KK12" s="244" cm="1">
        <f t="array" ref="KK12">TRANSPOSE(SUMIFS(Графики!$I$7:$I$306,Графики!$D$7:$D$306,'DCF (2)'!KK6))</f>
        <v>0</v>
      </c>
      <c r="KL12" s="244" cm="1">
        <f t="array" ref="KL12">TRANSPOSE(SUMIFS(Графики!$I$7:$I$306,Графики!$D$7:$D$306,'DCF (2)'!KL6))</f>
        <v>0</v>
      </c>
      <c r="KM12" s="244" cm="1">
        <f t="array" ref="KM12">TRANSPOSE(SUMIFS(Графики!$I$7:$I$306,Графики!$D$7:$D$306,'DCF (2)'!KM6))</f>
        <v>0</v>
      </c>
      <c r="KN12" s="244" cm="1">
        <f t="array" ref="KN12">TRANSPOSE(SUMIFS(Графики!$I$7:$I$306,Графики!$D$7:$D$306,'DCF (2)'!KN6))</f>
        <v>0</v>
      </c>
      <c r="KO12" s="244" cm="1">
        <f t="array" ref="KO12">TRANSPOSE(SUMIFS(Графики!$I$7:$I$306,Графики!$D$7:$D$306,'DCF (2)'!KO6))</f>
        <v>0</v>
      </c>
      <c r="KP12" s="244" cm="1">
        <f t="array" ref="KP12">TRANSPOSE(SUMIFS(Графики!$I$7:$I$306,Графики!$D$7:$D$306,'DCF (2)'!KP6))</f>
        <v>0</v>
      </c>
      <c r="KQ12" s="244" cm="1">
        <f t="array" ref="KQ12">TRANSPOSE(SUMIFS(Графики!$I$7:$I$306,Графики!$D$7:$D$306,'DCF (2)'!KQ6))</f>
        <v>0</v>
      </c>
    </row>
    <row r="13" spans="2:303" x14ac:dyDescent="0.35">
      <c r="B13" s="289" t="s">
        <v>37</v>
      </c>
      <c r="C13" s="241">
        <f t="shared" si="20"/>
        <v>3397215017.4741516</v>
      </c>
      <c r="D13" s="244" cm="1">
        <f t="array" ref="D13">TRANSPOSE(SUMIFS('Графики (2)'!$H$7:$H$306,'Графики (2)'!$D$7:$D$306,'DCF (2)'!D$6))</f>
        <v>0</v>
      </c>
      <c r="E13" s="244" cm="1">
        <f t="array" ref="E13">TRANSPOSE(SUMIFS('Графики (2)'!$H$7:$H$306,'Графики (2)'!$D$7:$D$306,'DCF (2)'!E$6))</f>
        <v>0</v>
      </c>
      <c r="F13" s="244" cm="1">
        <f t="array" ref="F13">TRANSPOSE(SUMIFS('Графики (2)'!$H$7:$H$306,'Графики (2)'!$D$7:$D$306,'DCF (2)'!F$6))</f>
        <v>0</v>
      </c>
      <c r="G13" s="244" cm="1">
        <f t="array" ref="G13">TRANSPOSE(SUMIFS('Графики (2)'!$H$7:$H$306,'Графики (2)'!$D$7:$D$306,'DCF (2)'!G$6))</f>
        <v>0</v>
      </c>
      <c r="H13" s="244" cm="1">
        <f t="array" ref="H13">TRANSPOSE(SUMIFS('Графики (2)'!$H$7:$H$306,'Графики (2)'!$D$7:$D$306,'DCF (2)'!H$6))</f>
        <v>0</v>
      </c>
      <c r="I13" s="244" cm="1">
        <f t="array" ref="I13">TRANSPOSE(SUMIFS('Графики (2)'!$H$7:$H$306,'Графики (2)'!$D$7:$D$306,'DCF (2)'!I$6))</f>
        <v>0</v>
      </c>
      <c r="J13" s="244" cm="1">
        <f t="array" ref="J13">TRANSPOSE(SUMIFS('Графики (2)'!$H$7:$H$306,'Графики (2)'!$D$7:$D$306,'DCF (2)'!J$6))</f>
        <v>0</v>
      </c>
      <c r="K13" s="244" cm="1">
        <f t="array" ref="K13">TRANSPOSE(SUMIFS('Графики (2)'!$H$7:$H$306,'Графики (2)'!$D$7:$D$306,'DCF (2)'!K$6))</f>
        <v>0</v>
      </c>
      <c r="L13" s="244" cm="1">
        <f t="array" ref="L13">TRANSPOSE(SUMIFS('Графики (2)'!$H$7:$H$306,'Графики (2)'!$D$7:$D$306,'DCF (2)'!L$6))</f>
        <v>0</v>
      </c>
      <c r="M13" s="244" cm="1">
        <f t="array" ref="M13">TRANSPOSE(SUMIFS('Графики (2)'!$H$7:$H$306,'Графики (2)'!$D$7:$D$306,'DCF (2)'!M$6))</f>
        <v>0</v>
      </c>
      <c r="N13" s="244" cm="1">
        <f t="array" ref="N13">TRANSPOSE(SUMIFS('Графики (2)'!$H$7:$H$306,'Графики (2)'!$D$7:$D$306,'DCF (2)'!N$6))</f>
        <v>0</v>
      </c>
      <c r="O13" s="244" cm="1">
        <f t="array" ref="O13">TRANSPOSE(SUMIFS('Графики (2)'!$H$7:$H$306,'Графики (2)'!$D$7:$D$306,'DCF (2)'!O$6))</f>
        <v>339721501.74741518</v>
      </c>
      <c r="P13" s="244" cm="1">
        <f t="array" ref="P13">TRANSPOSE(SUMIFS('Графики (2)'!$H$7:$H$306,'Графики (2)'!$D$7:$D$306,'DCF (2)'!P$6))</f>
        <v>0</v>
      </c>
      <c r="Q13" s="244" cm="1">
        <f t="array" ref="Q13">TRANSPOSE(SUMIFS('Графики (2)'!$H$7:$H$306,'Графики (2)'!$D$7:$D$306,'DCF (2)'!Q$6))</f>
        <v>0</v>
      </c>
      <c r="R13" s="244" cm="1">
        <f t="array" ref="R13">TRANSPOSE(SUMIFS('Графики (2)'!$H$7:$H$306,'Графики (2)'!$D$7:$D$306,'DCF (2)'!R$6))</f>
        <v>0</v>
      </c>
      <c r="S13" s="244" cm="1">
        <f t="array" ref="S13">TRANSPOSE(SUMIFS('Графики (2)'!$H$7:$H$306,'Графики (2)'!$D$7:$D$306,'DCF (2)'!S$6))</f>
        <v>0</v>
      </c>
      <c r="T13" s="244" cm="1">
        <f t="array" ref="T13">TRANSPOSE(SUMIFS('Графики (2)'!$H$7:$H$306,'Графики (2)'!$D$7:$D$306,'DCF (2)'!T$6))</f>
        <v>0</v>
      </c>
      <c r="U13" s="244" cm="1">
        <f t="array" ref="U13">TRANSPOSE(SUMIFS('Графики (2)'!$H$7:$H$306,'Графики (2)'!$D$7:$D$306,'DCF (2)'!U$6))</f>
        <v>0</v>
      </c>
      <c r="V13" s="244" cm="1">
        <f t="array" ref="V13">TRANSPOSE(SUMIFS('Графики (2)'!$H$7:$H$306,'Графики (2)'!$D$7:$D$306,'DCF (2)'!V$6))</f>
        <v>0</v>
      </c>
      <c r="W13" s="244" cm="1">
        <f t="array" ref="W13">TRANSPOSE(SUMIFS('Графики (2)'!$H$7:$H$306,'Графики (2)'!$D$7:$D$306,'DCF (2)'!W$6))</f>
        <v>0</v>
      </c>
      <c r="X13" s="244" cm="1">
        <f t="array" ref="X13">TRANSPOSE(SUMIFS('Графики (2)'!$H$7:$H$306,'Графики (2)'!$D$7:$D$306,'DCF (2)'!X$6))</f>
        <v>0</v>
      </c>
      <c r="Y13" s="244" cm="1">
        <f t="array" ref="Y13">TRANSPOSE(SUMIFS('Графики (2)'!$H$7:$H$306,'Графики (2)'!$D$7:$D$306,'DCF (2)'!Y$6))</f>
        <v>0</v>
      </c>
      <c r="Z13" s="244" cm="1">
        <f t="array" ref="Z13">TRANSPOSE(SUMIFS('Графики (2)'!$H$7:$H$306,'Графики (2)'!$D$7:$D$306,'DCF (2)'!Z$6))</f>
        <v>0</v>
      </c>
      <c r="AA13" s="244" cm="1">
        <f t="array" ref="AA13">TRANSPOSE(SUMIFS('Графики (2)'!$H$7:$H$306,'Графики (2)'!$D$7:$D$306,'DCF (2)'!AA$6))</f>
        <v>339721501.74741518</v>
      </c>
      <c r="AB13" s="244" cm="1">
        <f t="array" ref="AB13">TRANSPOSE(SUMIFS('Графики (2)'!$H$7:$H$306,'Графики (2)'!$D$7:$D$306,'DCF (2)'!AB$6))</f>
        <v>0</v>
      </c>
      <c r="AC13" s="244" cm="1">
        <f t="array" ref="AC13">TRANSPOSE(SUMIFS('Графики (2)'!$H$7:$H$306,'Графики (2)'!$D$7:$D$306,'DCF (2)'!AC$6))</f>
        <v>0</v>
      </c>
      <c r="AD13" s="244" cm="1">
        <f t="array" ref="AD13">TRANSPOSE(SUMIFS('Графики (2)'!$H$7:$H$306,'Графики (2)'!$D$7:$D$306,'DCF (2)'!AD$6))</f>
        <v>0</v>
      </c>
      <c r="AE13" s="244" cm="1">
        <f t="array" ref="AE13">TRANSPOSE(SUMIFS('Графики (2)'!$H$7:$H$306,'Графики (2)'!$D$7:$D$306,'DCF (2)'!AE$6))</f>
        <v>0</v>
      </c>
      <c r="AF13" s="244" cm="1">
        <f t="array" ref="AF13">TRANSPOSE(SUMIFS('Графики (2)'!$H$7:$H$306,'Графики (2)'!$D$7:$D$306,'DCF (2)'!AF$6))</f>
        <v>0</v>
      </c>
      <c r="AG13" s="244" cm="1">
        <f t="array" ref="AG13">TRANSPOSE(SUMIFS('Графики (2)'!$H$7:$H$306,'Графики (2)'!$D$7:$D$306,'DCF (2)'!AG$6))</f>
        <v>0</v>
      </c>
      <c r="AH13" s="244" cm="1">
        <f t="array" ref="AH13">TRANSPOSE(SUMIFS('Графики (2)'!$H$7:$H$306,'Графики (2)'!$D$7:$D$306,'DCF (2)'!AH$6))</f>
        <v>0</v>
      </c>
      <c r="AI13" s="244" cm="1">
        <f t="array" ref="AI13">TRANSPOSE(SUMIFS('Графики (2)'!$H$7:$H$306,'Графики (2)'!$D$7:$D$306,'DCF (2)'!AI$6))</f>
        <v>0</v>
      </c>
      <c r="AJ13" s="244" cm="1">
        <f t="array" ref="AJ13">TRANSPOSE(SUMIFS('Графики (2)'!$H$7:$H$306,'Графики (2)'!$D$7:$D$306,'DCF (2)'!AJ$6))</f>
        <v>0</v>
      </c>
      <c r="AK13" s="244" cm="1">
        <f t="array" ref="AK13">TRANSPOSE(SUMIFS('Графики (2)'!$H$7:$H$306,'Графики (2)'!$D$7:$D$306,'DCF (2)'!AK$6))</f>
        <v>0</v>
      </c>
      <c r="AL13" s="244" cm="1">
        <f t="array" ref="AL13">TRANSPOSE(SUMIFS('Графики (2)'!$H$7:$H$306,'Графики (2)'!$D$7:$D$306,'DCF (2)'!AL$6))</f>
        <v>0</v>
      </c>
      <c r="AM13" s="244" cm="1">
        <f t="array" ref="AM13">TRANSPOSE(SUMIFS('Графики (2)'!$H$7:$H$306,'Графики (2)'!$D$7:$D$306,'DCF (2)'!AM$6))</f>
        <v>339721501.74741518</v>
      </c>
      <c r="AN13" s="244" cm="1">
        <f t="array" ref="AN13">TRANSPOSE(SUMIFS('Графики (2)'!$H$7:$H$306,'Графики (2)'!$D$7:$D$306,'DCF (2)'!AN$6))</f>
        <v>0</v>
      </c>
      <c r="AO13" s="244" cm="1">
        <f t="array" ref="AO13">TRANSPOSE(SUMIFS('Графики (2)'!$H$7:$H$306,'Графики (2)'!$D$7:$D$306,'DCF (2)'!AO$6))</f>
        <v>0</v>
      </c>
      <c r="AP13" s="244" cm="1">
        <f t="array" ref="AP13">TRANSPOSE(SUMIFS('Графики (2)'!$H$7:$H$306,'Графики (2)'!$D$7:$D$306,'DCF (2)'!AP$6))</f>
        <v>0</v>
      </c>
      <c r="AQ13" s="244" cm="1">
        <f t="array" ref="AQ13">TRANSPOSE(SUMIFS('Графики (2)'!$H$7:$H$306,'Графики (2)'!$D$7:$D$306,'DCF (2)'!AQ$6))</f>
        <v>0</v>
      </c>
      <c r="AR13" s="244" cm="1">
        <f t="array" ref="AR13">TRANSPOSE(SUMIFS('Графики (2)'!$H$7:$H$306,'Графики (2)'!$D$7:$D$306,'DCF (2)'!AR$6))</f>
        <v>0</v>
      </c>
      <c r="AS13" s="244" cm="1">
        <f t="array" ref="AS13">TRANSPOSE(SUMIFS('Графики (2)'!$H$7:$H$306,'Графики (2)'!$D$7:$D$306,'DCF (2)'!AS$6))</f>
        <v>0</v>
      </c>
      <c r="AT13" s="244" cm="1">
        <f t="array" ref="AT13">TRANSPOSE(SUMIFS('Графики (2)'!$H$7:$H$306,'Графики (2)'!$D$7:$D$306,'DCF (2)'!AT$6))</f>
        <v>0</v>
      </c>
      <c r="AU13" s="244" cm="1">
        <f t="array" ref="AU13">TRANSPOSE(SUMIFS('Графики (2)'!$H$7:$H$306,'Графики (2)'!$D$7:$D$306,'DCF (2)'!AU$6))</f>
        <v>0</v>
      </c>
      <c r="AV13" s="244" cm="1">
        <f t="array" ref="AV13">TRANSPOSE(SUMIFS('Графики (2)'!$H$7:$H$306,'Графики (2)'!$D$7:$D$306,'DCF (2)'!AV$6))</f>
        <v>0</v>
      </c>
      <c r="AW13" s="244" cm="1">
        <f t="array" ref="AW13">TRANSPOSE(SUMIFS('Графики (2)'!$H$7:$H$306,'Графики (2)'!$D$7:$D$306,'DCF (2)'!AW$6))</f>
        <v>0</v>
      </c>
      <c r="AX13" s="244" cm="1">
        <f t="array" ref="AX13">TRANSPOSE(SUMIFS('Графики (2)'!$H$7:$H$306,'Графики (2)'!$D$7:$D$306,'DCF (2)'!AX$6))</f>
        <v>0</v>
      </c>
      <c r="AY13" s="244" cm="1">
        <f t="array" ref="AY13">TRANSPOSE(SUMIFS('Графики (2)'!$H$7:$H$306,'Графики (2)'!$D$7:$D$306,'DCF (2)'!AY$6))</f>
        <v>339721501.74741518</v>
      </c>
      <c r="AZ13" s="244" cm="1">
        <f t="array" ref="AZ13">TRANSPOSE(SUMIFS('Графики (2)'!$H$7:$H$306,'Графики (2)'!$D$7:$D$306,'DCF (2)'!AZ$6))</f>
        <v>0</v>
      </c>
      <c r="BA13" s="244" cm="1">
        <f t="array" ref="BA13">TRANSPOSE(SUMIFS('Графики (2)'!$H$7:$H$306,'Графики (2)'!$D$7:$D$306,'DCF (2)'!BA$6))</f>
        <v>0</v>
      </c>
      <c r="BB13" s="244" cm="1">
        <f t="array" ref="BB13">TRANSPOSE(SUMIFS('Графики (2)'!$H$7:$H$306,'Графики (2)'!$D$7:$D$306,'DCF (2)'!BB$6))</f>
        <v>0</v>
      </c>
      <c r="BC13" s="244" cm="1">
        <f t="array" ref="BC13">TRANSPOSE(SUMIFS('Графики (2)'!$H$7:$H$306,'Графики (2)'!$D$7:$D$306,'DCF (2)'!BC$6))</f>
        <v>0</v>
      </c>
      <c r="BD13" s="244" cm="1">
        <f t="array" ref="BD13">TRANSPOSE(SUMIFS('Графики (2)'!$H$7:$H$306,'Графики (2)'!$D$7:$D$306,'DCF (2)'!BD$6))</f>
        <v>0</v>
      </c>
      <c r="BE13" s="244" cm="1">
        <f t="array" ref="BE13">TRANSPOSE(SUMIFS('Графики (2)'!$H$7:$H$306,'Графики (2)'!$D$7:$D$306,'DCF (2)'!BE$6))</f>
        <v>0</v>
      </c>
      <c r="BF13" s="244" cm="1">
        <f t="array" ref="BF13">TRANSPOSE(SUMIFS('Графики (2)'!$H$7:$H$306,'Графики (2)'!$D$7:$D$306,'DCF (2)'!BF$6))</f>
        <v>0</v>
      </c>
      <c r="BG13" s="244" cm="1">
        <f t="array" ref="BG13">TRANSPOSE(SUMIFS('Графики (2)'!$H$7:$H$306,'Графики (2)'!$D$7:$D$306,'DCF (2)'!BG$6))</f>
        <v>0</v>
      </c>
      <c r="BH13" s="244" cm="1">
        <f t="array" ref="BH13">TRANSPOSE(SUMIFS('Графики (2)'!$H$7:$H$306,'Графики (2)'!$D$7:$D$306,'DCF (2)'!BH$6))</f>
        <v>0</v>
      </c>
      <c r="BI13" s="244" cm="1">
        <f t="array" ref="BI13">TRANSPOSE(SUMIFS('Графики (2)'!$H$7:$H$306,'Графики (2)'!$D$7:$D$306,'DCF (2)'!BI$6))</f>
        <v>0</v>
      </c>
      <c r="BJ13" s="244" cm="1">
        <f t="array" ref="BJ13">TRANSPOSE(SUMIFS('Графики (2)'!$H$7:$H$306,'Графики (2)'!$D$7:$D$306,'DCF (2)'!BJ$6))</f>
        <v>0</v>
      </c>
      <c r="BK13" s="244" cm="1">
        <f t="array" ref="BK13">TRANSPOSE(SUMIFS('Графики (2)'!$H$7:$H$306,'Графики (2)'!$D$7:$D$306,'DCF (2)'!BK$6))</f>
        <v>339721501.74741518</v>
      </c>
      <c r="BL13" s="244" cm="1">
        <f t="array" ref="BL13">TRANSPOSE(SUMIFS('Графики (2)'!$H$7:$H$306,'Графики (2)'!$D$7:$D$306,'DCF (2)'!BL$6))</f>
        <v>0</v>
      </c>
      <c r="BM13" s="244" cm="1">
        <f t="array" ref="BM13">TRANSPOSE(SUMIFS('Графики (2)'!$H$7:$H$306,'Графики (2)'!$D$7:$D$306,'DCF (2)'!BM$6))</f>
        <v>0</v>
      </c>
      <c r="BN13" s="244" cm="1">
        <f t="array" ref="BN13">TRANSPOSE(SUMIFS('Графики (2)'!$H$7:$H$306,'Графики (2)'!$D$7:$D$306,'DCF (2)'!BN$6))</f>
        <v>0</v>
      </c>
      <c r="BO13" s="244" cm="1">
        <f t="array" ref="BO13">TRANSPOSE(SUMIFS('Графики (2)'!$H$7:$H$306,'Графики (2)'!$D$7:$D$306,'DCF (2)'!BO$6))</f>
        <v>0</v>
      </c>
      <c r="BP13" s="244" cm="1">
        <f t="array" ref="BP13">TRANSPOSE(SUMIFS('Графики (2)'!$H$7:$H$306,'Графики (2)'!$D$7:$D$306,'DCF (2)'!BP$6))</f>
        <v>0</v>
      </c>
      <c r="BQ13" s="244" cm="1">
        <f t="array" ref="BQ13">TRANSPOSE(SUMIFS('Графики (2)'!$H$7:$H$306,'Графики (2)'!$D$7:$D$306,'DCF (2)'!BQ$6))</f>
        <v>0</v>
      </c>
      <c r="BR13" s="244" cm="1">
        <f t="array" ref="BR13">TRANSPOSE(SUMIFS('Графики (2)'!$H$7:$H$306,'Графики (2)'!$D$7:$D$306,'DCF (2)'!BR$6))</f>
        <v>0</v>
      </c>
      <c r="BS13" s="244" cm="1">
        <f t="array" ref="BS13">TRANSPOSE(SUMIFS('Графики (2)'!$H$7:$H$306,'Графики (2)'!$D$7:$D$306,'DCF (2)'!BS$6))</f>
        <v>0</v>
      </c>
      <c r="BT13" s="244" cm="1">
        <f t="array" ref="BT13">TRANSPOSE(SUMIFS('Графики (2)'!$H$7:$H$306,'Графики (2)'!$D$7:$D$306,'DCF (2)'!BT$6))</f>
        <v>0</v>
      </c>
      <c r="BU13" s="244" cm="1">
        <f t="array" ref="BU13">TRANSPOSE(SUMIFS('Графики (2)'!$H$7:$H$306,'Графики (2)'!$D$7:$D$306,'DCF (2)'!BU$6))</f>
        <v>0</v>
      </c>
      <c r="BV13" s="244" cm="1">
        <f t="array" ref="BV13">TRANSPOSE(SUMIFS('Графики (2)'!$H$7:$H$306,'Графики (2)'!$D$7:$D$306,'DCF (2)'!BV$6))</f>
        <v>0</v>
      </c>
      <c r="BW13" s="244" cm="1">
        <f t="array" ref="BW13">TRANSPOSE(SUMIFS('Графики (2)'!$H$7:$H$306,'Графики (2)'!$D$7:$D$306,'DCF (2)'!BW$6))</f>
        <v>339721501.74741518</v>
      </c>
      <c r="BX13" s="244" cm="1">
        <f t="array" ref="BX13">TRANSPOSE(SUMIFS('Графики (2)'!$H$7:$H$306,'Графики (2)'!$D$7:$D$306,'DCF (2)'!BX$6))</f>
        <v>0</v>
      </c>
      <c r="BY13" s="244" cm="1">
        <f t="array" ref="BY13">TRANSPOSE(SUMIFS('Графики (2)'!$H$7:$H$306,'Графики (2)'!$D$7:$D$306,'DCF (2)'!BY$6))</f>
        <v>0</v>
      </c>
      <c r="BZ13" s="244" cm="1">
        <f t="array" ref="BZ13">TRANSPOSE(SUMIFS('Графики (2)'!$H$7:$H$306,'Графики (2)'!$D$7:$D$306,'DCF (2)'!BZ$6))</f>
        <v>0</v>
      </c>
      <c r="CA13" s="244" cm="1">
        <f t="array" ref="CA13">TRANSPOSE(SUMIFS('Графики (2)'!$H$7:$H$306,'Графики (2)'!$D$7:$D$306,'DCF (2)'!CA$6))</f>
        <v>0</v>
      </c>
      <c r="CB13" s="244" cm="1">
        <f t="array" ref="CB13">TRANSPOSE(SUMIFS('Графики (2)'!$H$7:$H$306,'Графики (2)'!$D$7:$D$306,'DCF (2)'!CB$6))</f>
        <v>0</v>
      </c>
      <c r="CC13" s="244" cm="1">
        <f t="array" ref="CC13">TRANSPOSE(SUMIFS('Графики (2)'!$H$7:$H$306,'Графики (2)'!$D$7:$D$306,'DCF (2)'!CC$6))</f>
        <v>0</v>
      </c>
      <c r="CD13" s="244" cm="1">
        <f t="array" ref="CD13">TRANSPOSE(SUMIFS('Графики (2)'!$H$7:$H$306,'Графики (2)'!$D$7:$D$306,'DCF (2)'!CD$6))</f>
        <v>0</v>
      </c>
      <c r="CE13" s="244" cm="1">
        <f t="array" ref="CE13">TRANSPOSE(SUMIFS('Графики (2)'!$H$7:$H$306,'Графики (2)'!$D$7:$D$306,'DCF (2)'!CE$6))</f>
        <v>0</v>
      </c>
      <c r="CF13" s="244" cm="1">
        <f t="array" ref="CF13">TRANSPOSE(SUMIFS('Графики (2)'!$H$7:$H$306,'Графики (2)'!$D$7:$D$306,'DCF (2)'!CF$6))</f>
        <v>0</v>
      </c>
      <c r="CG13" s="244" cm="1">
        <f t="array" ref="CG13">TRANSPOSE(SUMIFS('Графики (2)'!$H$7:$H$306,'Графики (2)'!$D$7:$D$306,'DCF (2)'!CG$6))</f>
        <v>0</v>
      </c>
      <c r="CH13" s="244" cm="1">
        <f t="array" ref="CH13">TRANSPOSE(SUMIFS('Графики (2)'!$H$7:$H$306,'Графики (2)'!$D$7:$D$306,'DCF (2)'!CH$6))</f>
        <v>0</v>
      </c>
      <c r="CI13" s="244" cm="1">
        <f t="array" ref="CI13">TRANSPOSE(SUMIFS('Графики (2)'!$H$7:$H$306,'Графики (2)'!$D$7:$D$306,'DCF (2)'!CI$6))</f>
        <v>339721501.74741518</v>
      </c>
      <c r="CJ13" s="244" cm="1">
        <f t="array" ref="CJ13">TRANSPOSE(SUMIFS('Графики (2)'!$H$7:$H$306,'Графики (2)'!$D$7:$D$306,'DCF (2)'!CJ$6))</f>
        <v>0</v>
      </c>
      <c r="CK13" s="244" cm="1">
        <f t="array" ref="CK13">TRANSPOSE(SUMIFS('Графики (2)'!$H$7:$H$306,'Графики (2)'!$D$7:$D$306,'DCF (2)'!CK$6))</f>
        <v>0</v>
      </c>
      <c r="CL13" s="244" cm="1">
        <f t="array" ref="CL13">TRANSPOSE(SUMIFS('Графики (2)'!$H$7:$H$306,'Графики (2)'!$D$7:$D$306,'DCF (2)'!CL$6))</f>
        <v>0</v>
      </c>
      <c r="CM13" s="244" cm="1">
        <f t="array" ref="CM13">TRANSPOSE(SUMIFS('Графики (2)'!$H$7:$H$306,'Графики (2)'!$D$7:$D$306,'DCF (2)'!CM$6))</f>
        <v>0</v>
      </c>
      <c r="CN13" s="244" cm="1">
        <f t="array" ref="CN13">TRANSPOSE(SUMIFS('Графики (2)'!$H$7:$H$306,'Графики (2)'!$D$7:$D$306,'DCF (2)'!CN$6))</f>
        <v>0</v>
      </c>
      <c r="CO13" s="244" cm="1">
        <f t="array" ref="CO13">TRANSPOSE(SUMIFS('Графики (2)'!$H$7:$H$306,'Графики (2)'!$D$7:$D$306,'DCF (2)'!CO$6))</f>
        <v>0</v>
      </c>
      <c r="CP13" s="244" cm="1">
        <f t="array" ref="CP13">TRANSPOSE(SUMIFS('Графики (2)'!$H$7:$H$306,'Графики (2)'!$D$7:$D$306,'DCF (2)'!CP$6))</f>
        <v>0</v>
      </c>
      <c r="CQ13" s="244" cm="1">
        <f t="array" ref="CQ13">TRANSPOSE(SUMIFS('Графики (2)'!$H$7:$H$306,'Графики (2)'!$D$7:$D$306,'DCF (2)'!CQ$6))</f>
        <v>0</v>
      </c>
      <c r="CR13" s="244" cm="1">
        <f t="array" ref="CR13">TRANSPOSE(SUMIFS('Графики (2)'!$H$7:$H$306,'Графики (2)'!$D$7:$D$306,'DCF (2)'!CR$6))</f>
        <v>0</v>
      </c>
      <c r="CS13" s="244" cm="1">
        <f t="array" ref="CS13">TRANSPOSE(SUMIFS('Графики (2)'!$H$7:$H$306,'Графики (2)'!$D$7:$D$306,'DCF (2)'!CS$6))</f>
        <v>0</v>
      </c>
      <c r="CT13" s="244" cm="1">
        <f t="array" ref="CT13">TRANSPOSE(SUMIFS('Графики (2)'!$H$7:$H$306,'Графики (2)'!$D$7:$D$306,'DCF (2)'!CT$6))</f>
        <v>0</v>
      </c>
      <c r="CU13" s="244" cm="1">
        <f t="array" ref="CU13">TRANSPOSE(SUMIFS('Графики (2)'!$H$7:$H$306,'Графики (2)'!$D$7:$D$306,'DCF (2)'!CU$6))</f>
        <v>1019164505.2422454</v>
      </c>
      <c r="CV13" s="244" cm="1">
        <f t="array" ref="CV13">TRANSPOSE(SUMIFS('Графики (2)'!$H$7:$H$306,'Графики (2)'!$D$7:$D$306,'DCF (2)'!CV$6))</f>
        <v>0</v>
      </c>
      <c r="CW13" s="244" cm="1">
        <f t="array" ref="CW13">TRANSPOSE(SUMIFS('Графики (2)'!$H$7:$H$306,'Графики (2)'!$D$7:$D$306,'DCF (2)'!CW$6))</f>
        <v>0</v>
      </c>
      <c r="CX13" s="244" cm="1">
        <f t="array" ref="CX13">TRANSPOSE(SUMIFS('Графики (2)'!$H$7:$H$306,'Графики (2)'!$D$7:$D$306,'DCF (2)'!CX$6))</f>
        <v>0</v>
      </c>
      <c r="CY13" s="244" cm="1">
        <f t="array" ref="CY13">TRANSPOSE(SUMIFS('Графики (2)'!$H$7:$H$306,'Графики (2)'!$D$7:$D$306,'DCF (2)'!CY$6))</f>
        <v>0</v>
      </c>
      <c r="CZ13" s="244" cm="1">
        <f t="array" ref="CZ13">TRANSPOSE(SUMIFS('Графики (2)'!$H$7:$H$306,'Графики (2)'!$D$7:$D$306,'DCF (2)'!CZ$6))</f>
        <v>0</v>
      </c>
      <c r="DA13" s="244" cm="1">
        <f t="array" ref="DA13">TRANSPOSE(SUMIFS('Графики (2)'!$H$7:$H$306,'Графики (2)'!$D$7:$D$306,'DCF (2)'!DA$6))</f>
        <v>0</v>
      </c>
      <c r="DB13" s="244" cm="1">
        <f t="array" ref="DB13">TRANSPOSE(SUMIFS('Графики (2)'!$H$7:$H$306,'Графики (2)'!$D$7:$D$306,'DCF (2)'!DB$6))</f>
        <v>0</v>
      </c>
      <c r="DC13" s="244" cm="1">
        <f t="array" ref="DC13">TRANSPOSE(SUMIFS('Графики (2)'!$H$7:$H$306,'Графики (2)'!$D$7:$D$306,'DCF (2)'!DC$6))</f>
        <v>0</v>
      </c>
      <c r="DD13" s="244" cm="1">
        <f t="array" ref="DD13">TRANSPOSE(SUMIFS('Графики (2)'!$H$7:$H$306,'Графики (2)'!$D$7:$D$306,'DCF (2)'!DD$6))</f>
        <v>0</v>
      </c>
      <c r="DE13" s="244" cm="1">
        <f t="array" ref="DE13">TRANSPOSE(SUMIFS('Графики (2)'!$H$7:$H$306,'Графики (2)'!$D$7:$D$306,'DCF (2)'!DE$6))</f>
        <v>0</v>
      </c>
      <c r="DF13" s="244" cm="1">
        <f t="array" ref="DF13">TRANSPOSE(SUMIFS('Графики (2)'!$H$7:$H$306,'Графики (2)'!$D$7:$D$306,'DCF (2)'!DF$6))</f>
        <v>0</v>
      </c>
      <c r="DG13" s="244" cm="1">
        <f t="array" ref="DG13">TRANSPOSE(SUMIFS('Графики (2)'!$H$7:$H$306,'Графики (2)'!$D$7:$D$306,'DCF (2)'!DG$6))</f>
        <v>0</v>
      </c>
      <c r="DH13" s="244" cm="1">
        <f t="array" ref="DH13">TRANSPOSE(SUMIFS('Графики (2)'!$H$7:$H$306,'Графики (2)'!$D$7:$D$306,'DCF (2)'!DH$6))</f>
        <v>0</v>
      </c>
      <c r="DI13" s="244" cm="1">
        <f t="array" ref="DI13">TRANSPOSE(SUMIFS('Графики (2)'!$H$7:$H$306,'Графики (2)'!$D$7:$D$306,'DCF (2)'!DI$6))</f>
        <v>0</v>
      </c>
      <c r="DJ13" s="244" cm="1">
        <f t="array" ref="DJ13">TRANSPOSE(SUMIFS('Графики (2)'!$H$7:$H$306,'Графики (2)'!$D$7:$D$306,'DCF (2)'!DJ$6))</f>
        <v>0</v>
      </c>
      <c r="DK13" s="244" cm="1">
        <f t="array" ref="DK13">TRANSPOSE(SUMIFS('Графики (2)'!$H$7:$H$306,'Графики (2)'!$D$7:$D$306,'DCF (2)'!DK$6))</f>
        <v>0</v>
      </c>
      <c r="DL13" s="244" cm="1">
        <f t="array" ref="DL13">TRANSPOSE(SUMIFS('Графики (2)'!$H$7:$H$306,'Графики (2)'!$D$7:$D$306,'DCF (2)'!DL$6))</f>
        <v>0</v>
      </c>
      <c r="DM13" s="244" cm="1">
        <f t="array" ref="DM13">TRANSPOSE(SUMIFS('Графики (2)'!$H$7:$H$306,'Графики (2)'!$D$7:$D$306,'DCF (2)'!DM$6))</f>
        <v>0</v>
      </c>
      <c r="DN13" s="244" cm="1">
        <f t="array" ref="DN13">TRANSPOSE(SUMIFS('Графики (2)'!$H$7:$H$306,'Графики (2)'!$D$7:$D$306,'DCF (2)'!DN$6))</f>
        <v>0</v>
      </c>
      <c r="DO13" s="244" cm="1">
        <f t="array" ref="DO13">TRANSPOSE(SUMIFS('Графики (2)'!$H$7:$H$306,'Графики (2)'!$D$7:$D$306,'DCF (2)'!DO$6))</f>
        <v>0</v>
      </c>
      <c r="DP13" s="244" cm="1">
        <f t="array" ref="DP13">TRANSPOSE(SUMIFS('Графики (2)'!$H$7:$H$306,'Графики (2)'!$D$7:$D$306,'DCF (2)'!DP$6))</f>
        <v>0</v>
      </c>
      <c r="DQ13" s="244" cm="1">
        <f t="array" ref="DQ13">TRANSPOSE(SUMIFS('Графики (2)'!$H$7:$H$306,'Графики (2)'!$D$7:$D$306,'DCF (2)'!DQ$6))</f>
        <v>0</v>
      </c>
      <c r="DR13" s="244" cm="1">
        <f t="array" ref="DR13">TRANSPOSE(SUMIFS('Графики (2)'!$H$7:$H$306,'Графики (2)'!$D$7:$D$306,'DCF (2)'!DR$6))</f>
        <v>0</v>
      </c>
      <c r="DS13" s="244" cm="1">
        <f t="array" ref="DS13">TRANSPOSE(SUMIFS('Графики (2)'!$H$7:$H$306,'Графики (2)'!$D$7:$D$306,'DCF (2)'!DS$6))</f>
        <v>0</v>
      </c>
      <c r="DT13" s="244" cm="1">
        <f t="array" ref="DT13">TRANSPOSE(SUMIFS('Графики (2)'!$H$7:$H$306,'Графики (2)'!$D$7:$D$306,'DCF (2)'!DT$6))</f>
        <v>0</v>
      </c>
      <c r="DU13" s="244" cm="1">
        <f t="array" ref="DU13">TRANSPOSE(SUMIFS('Графики (2)'!$H$7:$H$306,'Графики (2)'!$D$7:$D$306,'DCF (2)'!DU$6))</f>
        <v>0</v>
      </c>
      <c r="DV13" s="244" cm="1">
        <f t="array" ref="DV13">TRANSPOSE(SUMIFS('Графики (2)'!$H$7:$H$306,'Графики (2)'!$D$7:$D$306,'DCF (2)'!DV$6))</f>
        <v>0</v>
      </c>
      <c r="DW13" s="244" cm="1">
        <f t="array" ref="DW13">TRANSPOSE(SUMIFS(Графики!$H$7:$H$306,Графики!$D$7:$D$306,'DCF (2)'!DW$6))</f>
        <v>0</v>
      </c>
      <c r="DX13" s="244" cm="1">
        <f t="array" ref="DX13">TRANSPOSE(SUMIFS(Графики!$H$7:$H$306,Графики!$D$7:$D$306,'DCF (2)'!DX$6))</f>
        <v>0</v>
      </c>
      <c r="DY13" s="244" cm="1">
        <f t="array" ref="DY13">TRANSPOSE(SUMIFS(Графики!$H$7:$H$306,Графики!$D$7:$D$306,'DCF (2)'!DY$6))</f>
        <v>0</v>
      </c>
      <c r="DZ13" s="244" cm="1">
        <f t="array" ref="DZ13">TRANSPOSE(SUMIFS(Графики!$H$7:$H$306,Графики!$D$7:$D$306,'DCF (2)'!DZ$6))</f>
        <v>0</v>
      </c>
      <c r="EA13" s="244" cm="1">
        <f t="array" ref="EA13">TRANSPOSE(SUMIFS(Графики!$H$7:$H$306,Графики!$D$7:$D$306,'DCF (2)'!EA$6))</f>
        <v>0</v>
      </c>
      <c r="EB13" s="244" cm="1">
        <f t="array" ref="EB13">TRANSPOSE(SUMIFS(Графики!$H$7:$H$306,Графики!$D$7:$D$306,'DCF (2)'!EB$6))</f>
        <v>0</v>
      </c>
      <c r="EC13" s="244" cm="1">
        <f t="array" ref="EC13">TRANSPOSE(SUMIFS(Графики!$H$7:$H$306,Графики!$D$7:$D$306,'DCF (2)'!EC$6))</f>
        <v>0</v>
      </c>
      <c r="ED13" s="244" cm="1">
        <f t="array" ref="ED13">TRANSPOSE(SUMIFS(Графики!$H$7:$H$306,Графики!$D$7:$D$306,'DCF (2)'!ED$6))</f>
        <v>0</v>
      </c>
      <c r="EE13" s="244" cm="1">
        <f t="array" ref="EE13">TRANSPOSE(SUMIFS(Графики!$H$7:$H$306,Графики!$D$7:$D$306,'DCF (2)'!EE$6))</f>
        <v>0</v>
      </c>
      <c r="EF13" s="244" cm="1">
        <f t="array" ref="EF13">TRANSPOSE(SUMIFS(Графики!$H$7:$H$306,Графики!$D$7:$D$306,'DCF (2)'!EF$6))</f>
        <v>0</v>
      </c>
      <c r="EG13" s="244" cm="1">
        <f t="array" ref="EG13">TRANSPOSE(SUMIFS(Графики!$H$7:$H$306,Графики!$D$7:$D$306,'DCF (2)'!EG$6))</f>
        <v>0</v>
      </c>
      <c r="EH13" s="244" cm="1">
        <f t="array" ref="EH13">TRANSPOSE(SUMIFS(Графики!$H$7:$H$306,Графики!$D$7:$D$306,'DCF (2)'!EH$6))</f>
        <v>0</v>
      </c>
      <c r="EI13" s="244" cm="1">
        <f t="array" ref="EI13">TRANSPOSE(SUMIFS(Графики!$H$7:$H$306,Графики!$D$7:$D$306,'DCF (2)'!EI$6))</f>
        <v>0</v>
      </c>
      <c r="EJ13" s="244" cm="1">
        <f t="array" ref="EJ13">TRANSPOSE(SUMIFS(Графики!$H$7:$H$306,Графики!$D$7:$D$306,'DCF (2)'!EJ$6))</f>
        <v>0</v>
      </c>
      <c r="EK13" s="244" cm="1">
        <f t="array" ref="EK13">TRANSPOSE(SUMIFS(Графики!$H$7:$H$306,Графики!$D$7:$D$306,'DCF (2)'!EK$6))</f>
        <v>0</v>
      </c>
      <c r="EL13" s="244" cm="1">
        <f t="array" ref="EL13">TRANSPOSE(SUMIFS(Графики!$H$7:$H$306,Графики!$D$7:$D$306,'DCF (2)'!EL$6))</f>
        <v>0</v>
      </c>
      <c r="EM13" s="244" cm="1">
        <f t="array" ref="EM13">TRANSPOSE(SUMIFS(Графики!$H$7:$H$306,Графики!$D$7:$D$306,'DCF (2)'!EM$6))</f>
        <v>0</v>
      </c>
      <c r="EN13" s="244" cm="1">
        <f t="array" ref="EN13">TRANSPOSE(SUMIFS(Графики!$H$7:$H$306,Графики!$D$7:$D$306,'DCF (2)'!EN$6))</f>
        <v>0</v>
      </c>
      <c r="EO13" s="244" cm="1">
        <f t="array" ref="EO13">TRANSPOSE(SUMIFS(Графики!$H$7:$H$306,Графики!$D$7:$D$306,'DCF (2)'!EO$6))</f>
        <v>0</v>
      </c>
      <c r="EP13" s="244" cm="1">
        <f t="array" ref="EP13">TRANSPOSE(SUMIFS(Графики!$H$7:$H$306,Графики!$D$7:$D$306,'DCF (2)'!EP$6))</f>
        <v>0</v>
      </c>
      <c r="EQ13" s="244" cm="1">
        <f t="array" ref="EQ13">TRANSPOSE(SUMIFS(Графики!$H$7:$H$306,Графики!$D$7:$D$306,'DCF (2)'!EQ$6))</f>
        <v>0</v>
      </c>
      <c r="ER13" s="244" cm="1">
        <f t="array" ref="ER13">TRANSPOSE(SUMIFS(Графики!$H$7:$H$306,Графики!$D$7:$D$306,'DCF (2)'!ER$6))</f>
        <v>0</v>
      </c>
      <c r="ES13" s="244" cm="1">
        <f t="array" ref="ES13">TRANSPOSE(SUMIFS(Графики!$H$7:$H$306,Графики!$D$7:$D$306,'DCF (2)'!ES$6))</f>
        <v>0</v>
      </c>
      <c r="ET13" s="244" cm="1">
        <f t="array" ref="ET13">TRANSPOSE(SUMIFS(Графики!$H$7:$H$306,Графики!$D$7:$D$306,'DCF (2)'!ET$6))</f>
        <v>0</v>
      </c>
      <c r="EU13" s="244" cm="1">
        <f t="array" ref="EU13">TRANSPOSE(SUMIFS(Графики!$H$7:$H$306,Графики!$D$7:$D$306,'DCF (2)'!EU$6))</f>
        <v>0</v>
      </c>
      <c r="EV13" s="244" cm="1">
        <f t="array" ref="EV13">TRANSPOSE(SUMIFS(Графики!$H$7:$H$306,Графики!$D$7:$D$306,'DCF (2)'!EV$6))</f>
        <v>0</v>
      </c>
      <c r="EW13" s="244" cm="1">
        <f t="array" ref="EW13">TRANSPOSE(SUMIFS(Графики!$H$7:$H$306,Графики!$D$7:$D$306,'DCF (2)'!EW$6))</f>
        <v>0</v>
      </c>
      <c r="EX13" s="244" cm="1">
        <f t="array" ref="EX13">TRANSPOSE(SUMIFS(Графики!$H$7:$H$306,Графики!$D$7:$D$306,'DCF (2)'!EX$6))</f>
        <v>0</v>
      </c>
      <c r="EY13" s="244" cm="1">
        <f t="array" ref="EY13">TRANSPOSE(SUMIFS(Графики!$H$7:$H$306,Графики!$D$7:$D$306,'DCF (2)'!EY$6))</f>
        <v>0</v>
      </c>
      <c r="EZ13" s="244" cm="1">
        <f t="array" ref="EZ13">TRANSPOSE(SUMIFS(Графики!$H$7:$H$306,Графики!$D$7:$D$306,'DCF (2)'!EZ$6))</f>
        <v>0</v>
      </c>
      <c r="FA13" s="244" cm="1">
        <f t="array" ref="FA13">TRANSPOSE(SUMIFS(Графики!$H$7:$H$306,Графики!$D$7:$D$306,'DCF (2)'!FA$6))</f>
        <v>0</v>
      </c>
      <c r="FB13" s="244" cm="1">
        <f t="array" ref="FB13">TRANSPOSE(SUMIFS(Графики!$H$7:$H$306,Графики!$D$7:$D$306,'DCF (2)'!FB$6))</f>
        <v>0</v>
      </c>
      <c r="FC13" s="244" cm="1">
        <f t="array" ref="FC13">TRANSPOSE(SUMIFS(Графики!$H$7:$H$306,Графики!$D$7:$D$306,'DCF (2)'!FC$6))</f>
        <v>0</v>
      </c>
      <c r="FD13" s="244" cm="1">
        <f t="array" ref="FD13">TRANSPOSE(SUMIFS(Графики!$H$7:$H$306,Графики!$D$7:$D$306,'DCF (2)'!FD$6))</f>
        <v>0</v>
      </c>
      <c r="FE13" s="244" cm="1">
        <f t="array" ref="FE13">TRANSPOSE(SUMIFS(Графики!$H$7:$H$306,Графики!$D$7:$D$306,'DCF (2)'!FE$6))</f>
        <v>0</v>
      </c>
      <c r="FF13" s="244" cm="1">
        <f t="array" ref="FF13">TRANSPOSE(SUMIFS(Графики!$H$7:$H$306,Графики!$D$7:$D$306,'DCF (2)'!FF$6))</f>
        <v>0</v>
      </c>
      <c r="FG13" s="244" cm="1">
        <f t="array" ref="FG13">TRANSPOSE(SUMIFS(Графики!$H$7:$H$306,Графики!$D$7:$D$306,'DCF (2)'!FG$6))</f>
        <v>0</v>
      </c>
      <c r="FH13" s="244" cm="1">
        <f t="array" ref="FH13">TRANSPOSE(SUMIFS(Графики!$H$7:$H$306,Графики!$D$7:$D$306,'DCF (2)'!FH$6))</f>
        <v>0</v>
      </c>
      <c r="FI13" s="244" cm="1">
        <f t="array" ref="FI13">TRANSPOSE(SUMIFS(Графики!$H$7:$H$306,Графики!$D$7:$D$306,'DCF (2)'!FI$6))</f>
        <v>0</v>
      </c>
      <c r="FJ13" s="244" cm="1">
        <f t="array" ref="FJ13">TRANSPOSE(SUMIFS(Графики!$H$7:$H$306,Графики!$D$7:$D$306,'DCF (2)'!FJ$6))</f>
        <v>0</v>
      </c>
      <c r="FK13" s="244" cm="1">
        <f t="array" ref="FK13">TRANSPOSE(SUMIFS(Графики!$H$7:$H$306,Графики!$D$7:$D$306,'DCF (2)'!FK$6))</f>
        <v>0</v>
      </c>
      <c r="FL13" s="244" cm="1">
        <f t="array" ref="FL13">TRANSPOSE(SUMIFS(Графики!$H$7:$H$306,Графики!$D$7:$D$306,'DCF (2)'!FL$6))</f>
        <v>0</v>
      </c>
      <c r="FM13" s="244" cm="1">
        <f t="array" ref="FM13">TRANSPOSE(SUMIFS(Графики!$H$7:$H$306,Графики!$D$7:$D$306,'DCF (2)'!FM$6))</f>
        <v>0</v>
      </c>
      <c r="FN13" s="244" cm="1">
        <f t="array" ref="FN13">TRANSPOSE(SUMIFS(Графики!$H$7:$H$306,Графики!$D$7:$D$306,'DCF (2)'!FN$6))</f>
        <v>0</v>
      </c>
      <c r="FO13" s="244" cm="1">
        <f t="array" ref="FO13">TRANSPOSE(SUMIFS(Графики!$H$7:$H$306,Графики!$D$7:$D$306,'DCF (2)'!FO$6))</f>
        <v>0</v>
      </c>
      <c r="FP13" s="244" cm="1">
        <f t="array" ref="FP13">TRANSPOSE(SUMIFS(Графики!$H$7:$H$306,Графики!$D$7:$D$306,'DCF (2)'!FP$6))</f>
        <v>0</v>
      </c>
      <c r="FQ13" s="244" cm="1">
        <f t="array" ref="FQ13">TRANSPOSE(SUMIFS(Графики!$H$7:$H$306,Графики!$D$7:$D$306,'DCF (2)'!FQ$6))</f>
        <v>0</v>
      </c>
      <c r="FR13" s="244" cm="1">
        <f t="array" ref="FR13">TRANSPOSE(SUMIFS(Графики!$H$7:$H$306,Графики!$D$7:$D$306,'DCF (2)'!FR$6))</f>
        <v>0</v>
      </c>
      <c r="FS13" s="244" cm="1">
        <f t="array" ref="FS13">TRANSPOSE(SUMIFS(Графики!$H$7:$H$306,Графики!$D$7:$D$306,'DCF (2)'!FS$6))</f>
        <v>0</v>
      </c>
      <c r="FT13" s="244" cm="1">
        <f t="array" ref="FT13">TRANSPOSE(SUMIFS(Графики!$H$7:$H$306,Графики!$D$7:$D$306,'DCF (2)'!FT$6))</f>
        <v>0</v>
      </c>
      <c r="FU13" s="244" cm="1">
        <f t="array" ref="FU13">TRANSPOSE(SUMIFS(Графики!$H$7:$H$306,Графики!$D$7:$D$306,'DCF (2)'!FU$6))</f>
        <v>0</v>
      </c>
      <c r="FV13" s="244" cm="1">
        <f t="array" ref="FV13">TRANSPOSE(SUMIFS(Графики!$H$7:$H$306,Графики!$D$7:$D$306,'DCF (2)'!FV$6))</f>
        <v>0</v>
      </c>
      <c r="FW13" s="244" cm="1">
        <f t="array" ref="FW13">TRANSPOSE(SUMIFS(Графики!$H$7:$H$306,Графики!$D$7:$D$306,'DCF (2)'!FW$6))</f>
        <v>0</v>
      </c>
      <c r="FX13" s="244" cm="1">
        <f t="array" ref="FX13">TRANSPOSE(SUMIFS(Графики!$H$7:$H$306,Графики!$D$7:$D$306,'DCF (2)'!FX$6))</f>
        <v>0</v>
      </c>
      <c r="FY13" s="244" cm="1">
        <f t="array" ref="FY13">TRANSPOSE(SUMIFS(Графики!$H$7:$H$306,Графики!$D$7:$D$306,'DCF (2)'!FY$6))</f>
        <v>0</v>
      </c>
      <c r="FZ13" s="244" cm="1">
        <f t="array" ref="FZ13">TRANSPOSE(SUMIFS(Графики!$H$7:$H$306,Графики!$D$7:$D$306,'DCF (2)'!FZ$6))</f>
        <v>0</v>
      </c>
      <c r="GA13" s="244" cm="1">
        <f t="array" ref="GA13">TRANSPOSE(SUMIFS(Графики!$H$7:$H$306,Графики!$D$7:$D$306,'DCF (2)'!GA$6))</f>
        <v>0</v>
      </c>
      <c r="GB13" s="244" cm="1">
        <f t="array" ref="GB13">TRANSPOSE(SUMIFS(Графики!$H$7:$H$306,Графики!$D$7:$D$306,'DCF (2)'!GB$6))</f>
        <v>0</v>
      </c>
      <c r="GC13" s="244" cm="1">
        <f t="array" ref="GC13">TRANSPOSE(SUMIFS(Графики!$H$7:$H$306,Графики!$D$7:$D$306,'DCF (2)'!GC$6))</f>
        <v>0</v>
      </c>
      <c r="GD13" s="244" cm="1">
        <f t="array" ref="GD13">TRANSPOSE(SUMIFS(Графики!$H$7:$H$306,Графики!$D$7:$D$306,'DCF (2)'!GD$6))</f>
        <v>0</v>
      </c>
      <c r="GE13" s="244" cm="1">
        <f t="array" ref="GE13">TRANSPOSE(SUMIFS(Графики!$H$7:$H$306,Графики!$D$7:$D$306,'DCF (2)'!GE$6))</f>
        <v>0</v>
      </c>
      <c r="GF13" s="244" cm="1">
        <f t="array" ref="GF13">TRANSPOSE(SUMIFS(Графики!$H$7:$H$306,Графики!$D$7:$D$306,'DCF (2)'!GF$6))</f>
        <v>0</v>
      </c>
      <c r="GG13" s="244" cm="1">
        <f t="array" ref="GG13">TRANSPOSE(SUMIFS(Графики!$H$7:$H$306,Графики!$D$7:$D$306,'DCF (2)'!GG$6))</f>
        <v>0</v>
      </c>
      <c r="GH13" s="244" cm="1">
        <f t="array" ref="GH13">TRANSPOSE(SUMIFS(Графики!$H$7:$H$306,Графики!$D$7:$D$306,'DCF (2)'!GH$6))</f>
        <v>0</v>
      </c>
      <c r="GI13" s="244" cm="1">
        <f t="array" ref="GI13">TRANSPOSE(SUMIFS(Графики!$H$7:$H$306,Графики!$D$7:$D$306,'DCF (2)'!GI$6))</f>
        <v>0</v>
      </c>
      <c r="GJ13" s="244" cm="1">
        <f t="array" ref="GJ13">TRANSPOSE(SUMIFS(Графики!$H$7:$H$306,Графики!$D$7:$D$306,'DCF (2)'!GJ$6))</f>
        <v>0</v>
      </c>
      <c r="GK13" s="244" cm="1">
        <f t="array" ref="GK13">TRANSPOSE(SUMIFS(Графики!$H$7:$H$306,Графики!$D$7:$D$306,'DCF (2)'!GK$6))</f>
        <v>0</v>
      </c>
      <c r="GL13" s="244" cm="1">
        <f t="array" ref="GL13">TRANSPOSE(SUMIFS(Графики!$H$7:$H$306,Графики!$D$7:$D$306,'DCF (2)'!GL$6))</f>
        <v>0</v>
      </c>
      <c r="GM13" s="244" cm="1">
        <f t="array" ref="GM13">TRANSPOSE(SUMIFS(Графики!$H$7:$H$306,Графики!$D$7:$D$306,'DCF (2)'!GM$6))</f>
        <v>0</v>
      </c>
      <c r="GN13" s="244" cm="1">
        <f t="array" ref="GN13">TRANSPOSE(SUMIFS(Графики!$H$7:$H$306,Графики!$D$7:$D$306,'DCF (2)'!GN$6))</f>
        <v>0</v>
      </c>
      <c r="GO13" s="244" cm="1">
        <f t="array" ref="GO13">TRANSPOSE(SUMIFS(Графики!$H$7:$H$306,Графики!$D$7:$D$306,'DCF (2)'!GO$6))</f>
        <v>0</v>
      </c>
      <c r="GP13" s="244" cm="1">
        <f t="array" ref="GP13">TRANSPOSE(SUMIFS(Графики!$H$7:$H$306,Графики!$D$7:$D$306,'DCF (2)'!GP$6))</f>
        <v>0</v>
      </c>
      <c r="GQ13" s="244" cm="1">
        <f t="array" ref="GQ13">TRANSPOSE(SUMIFS(Графики!$H$7:$H$306,Графики!$D$7:$D$306,'DCF (2)'!GQ$6))</f>
        <v>0</v>
      </c>
      <c r="GR13" s="244" cm="1">
        <f t="array" ref="GR13">TRANSPOSE(SUMIFS(Графики!$H$7:$H$306,Графики!$D$7:$D$306,'DCF (2)'!GR$6))</f>
        <v>0</v>
      </c>
      <c r="GS13" s="244" cm="1">
        <f t="array" ref="GS13">TRANSPOSE(SUMIFS(Графики!$H$7:$H$306,Графики!$D$7:$D$306,'DCF (2)'!GS$6))</f>
        <v>0</v>
      </c>
      <c r="GT13" s="244" cm="1">
        <f t="array" ref="GT13">TRANSPOSE(SUMIFS(Графики!$H$7:$H$306,Графики!$D$7:$D$306,'DCF (2)'!GT$6))</f>
        <v>0</v>
      </c>
      <c r="GU13" s="244" cm="1">
        <f t="array" ref="GU13">TRANSPOSE(SUMIFS(Графики!$H$7:$H$306,Графики!$D$7:$D$306,'DCF (2)'!GU$6))</f>
        <v>0</v>
      </c>
      <c r="GV13" s="244" cm="1">
        <f t="array" ref="GV13">TRANSPOSE(SUMIFS(Графики!$H$7:$H$306,Графики!$D$7:$D$306,'DCF (2)'!GV$6))</f>
        <v>0</v>
      </c>
      <c r="GW13" s="244" cm="1">
        <f t="array" ref="GW13">TRANSPOSE(SUMIFS(Графики!$H$7:$H$306,Графики!$D$7:$D$306,'DCF (2)'!GW$6))</f>
        <v>0</v>
      </c>
      <c r="GX13" s="244" cm="1">
        <f t="array" ref="GX13">TRANSPOSE(SUMIFS(Графики!$H$7:$H$306,Графики!$D$7:$D$306,'DCF (2)'!GX$6))</f>
        <v>0</v>
      </c>
      <c r="GY13" s="244" cm="1">
        <f t="array" ref="GY13">TRANSPOSE(SUMIFS(Графики!$H$7:$H$306,Графики!$D$7:$D$306,'DCF (2)'!GY$6))</f>
        <v>0</v>
      </c>
      <c r="GZ13" s="244" cm="1">
        <f t="array" ref="GZ13">TRANSPOSE(SUMIFS(Графики!$H$7:$H$306,Графики!$D$7:$D$306,'DCF (2)'!GZ$6))</f>
        <v>0</v>
      </c>
      <c r="HA13" s="244" cm="1">
        <f t="array" ref="HA13">TRANSPOSE(SUMIFS(Графики!$H$7:$H$306,Графики!$D$7:$D$306,'DCF (2)'!HA$6))</f>
        <v>0</v>
      </c>
      <c r="HB13" s="244" cm="1">
        <f t="array" ref="HB13">TRANSPOSE(SUMIFS(Графики!$H$7:$H$306,Графики!$D$7:$D$306,'DCF (2)'!HB$6))</f>
        <v>0</v>
      </c>
      <c r="HC13" s="244" cm="1">
        <f t="array" ref="HC13">TRANSPOSE(SUMIFS(Графики!$H$7:$H$306,Графики!$D$7:$D$306,'DCF (2)'!HC$6))</f>
        <v>0</v>
      </c>
      <c r="HD13" s="244" cm="1">
        <f t="array" ref="HD13">TRANSPOSE(SUMIFS(Графики!$H$7:$H$306,Графики!$D$7:$D$306,'DCF (2)'!HD$6))</f>
        <v>0</v>
      </c>
      <c r="HE13" s="244" cm="1">
        <f t="array" ref="HE13">TRANSPOSE(SUMIFS(Графики!$H$7:$H$306,Графики!$D$7:$D$306,'DCF (2)'!HE$6))</f>
        <v>0</v>
      </c>
      <c r="HF13" s="244" cm="1">
        <f t="array" ref="HF13">TRANSPOSE(SUMIFS(Графики!$H$7:$H$306,Графики!$D$7:$D$306,'DCF (2)'!HF$6))</f>
        <v>0</v>
      </c>
      <c r="HG13" s="244" cm="1">
        <f t="array" ref="HG13">TRANSPOSE(SUMIFS(Графики!$H$7:$H$306,Графики!$D$7:$D$306,'DCF (2)'!HG$6))</f>
        <v>0</v>
      </c>
      <c r="HH13" s="244" cm="1">
        <f t="array" ref="HH13">TRANSPOSE(SUMIFS(Графики!$H$7:$H$306,Графики!$D$7:$D$306,'DCF (2)'!HH$6))</f>
        <v>0</v>
      </c>
      <c r="HI13" s="244" cm="1">
        <f t="array" ref="HI13">TRANSPOSE(SUMIFS(Графики!$H$7:$H$306,Графики!$D$7:$D$306,'DCF (2)'!HI$6))</f>
        <v>0</v>
      </c>
      <c r="HJ13" s="244" cm="1">
        <f t="array" ref="HJ13">TRANSPOSE(SUMIFS(Графики!$H$7:$H$306,Графики!$D$7:$D$306,'DCF (2)'!HJ$6))</f>
        <v>0</v>
      </c>
      <c r="HK13" s="244" cm="1">
        <f t="array" ref="HK13">TRANSPOSE(SUMIFS(Графики!$H$7:$H$306,Графики!$D$7:$D$306,'DCF (2)'!HK$6))</f>
        <v>0</v>
      </c>
      <c r="HL13" s="244" cm="1">
        <f t="array" ref="HL13">TRANSPOSE(SUMIFS(Графики!$H$7:$H$306,Графики!$D$7:$D$306,'DCF (2)'!HL$6))</f>
        <v>0</v>
      </c>
      <c r="HM13" s="244" cm="1">
        <f t="array" ref="HM13">TRANSPOSE(SUMIFS(Графики!$H$7:$H$306,Графики!$D$7:$D$306,'DCF (2)'!HM$6))</f>
        <v>0</v>
      </c>
      <c r="HN13" s="244" cm="1">
        <f t="array" ref="HN13">TRANSPOSE(SUMIFS(Графики!$H$7:$H$306,Графики!$D$7:$D$306,'DCF (2)'!HN$6))</f>
        <v>0</v>
      </c>
      <c r="HO13" s="244" cm="1">
        <f t="array" ref="HO13">TRANSPOSE(SUMIFS(Графики!$H$7:$H$306,Графики!$D$7:$D$306,'DCF (2)'!HO$6))</f>
        <v>0</v>
      </c>
      <c r="HP13" s="244" cm="1">
        <f t="array" ref="HP13">TRANSPOSE(SUMIFS(Графики!$H$7:$H$306,Графики!$D$7:$D$306,'DCF (2)'!HP$6))</f>
        <v>0</v>
      </c>
      <c r="HQ13" s="244" cm="1">
        <f t="array" ref="HQ13">TRANSPOSE(SUMIFS(Графики!$H$7:$H$306,Графики!$D$7:$D$306,'DCF (2)'!HQ$6))</f>
        <v>0</v>
      </c>
      <c r="HR13" s="244" cm="1">
        <f t="array" ref="HR13">TRANSPOSE(SUMIFS(Графики!$H$7:$H$306,Графики!$D$7:$D$306,'DCF (2)'!HR$6))</f>
        <v>0</v>
      </c>
      <c r="HS13" s="244" cm="1">
        <f t="array" ref="HS13">TRANSPOSE(SUMIFS(Графики!$H$7:$H$306,Графики!$D$7:$D$306,'DCF (2)'!HS$6))</f>
        <v>0</v>
      </c>
      <c r="HT13" s="244" cm="1">
        <f t="array" ref="HT13">TRANSPOSE(SUMIFS(Графики!$H$7:$H$306,Графики!$D$7:$D$306,'DCF (2)'!HT$6))</f>
        <v>0</v>
      </c>
      <c r="HU13" s="244" cm="1">
        <f t="array" ref="HU13">TRANSPOSE(SUMIFS(Графики!$H$7:$H$306,Графики!$D$7:$D$306,'DCF (2)'!HU$6))</f>
        <v>0</v>
      </c>
      <c r="HV13" s="244" cm="1">
        <f t="array" ref="HV13">TRANSPOSE(SUMIFS(Графики!$H$7:$H$306,Графики!$D$7:$D$306,'DCF (2)'!HV$6))</f>
        <v>0</v>
      </c>
      <c r="HW13" s="244" cm="1">
        <f t="array" ref="HW13">TRANSPOSE(SUMIFS(Графики!$H$7:$H$306,Графики!$D$7:$D$306,'DCF (2)'!HW$6))</f>
        <v>0</v>
      </c>
      <c r="HX13" s="244" cm="1">
        <f t="array" ref="HX13">TRANSPOSE(SUMIFS(Графики!$H$7:$H$306,Графики!$D$7:$D$306,'DCF (2)'!HX$6))</f>
        <v>0</v>
      </c>
      <c r="HY13" s="244" cm="1">
        <f t="array" ref="HY13">TRANSPOSE(SUMIFS(Графики!$H$7:$H$306,Графики!$D$7:$D$306,'DCF (2)'!HY$6))</f>
        <v>0</v>
      </c>
      <c r="HZ13" s="244" cm="1">
        <f t="array" ref="HZ13">TRANSPOSE(SUMIFS(Графики!$H$7:$H$306,Графики!$D$7:$D$306,'DCF (2)'!HZ$6))</f>
        <v>0</v>
      </c>
      <c r="IA13" s="244" cm="1">
        <f t="array" ref="IA13">TRANSPOSE(SUMIFS(Графики!$H$7:$H$306,Графики!$D$7:$D$306,'DCF (2)'!IA$6))</f>
        <v>0</v>
      </c>
      <c r="IB13" s="244" cm="1">
        <f t="array" ref="IB13">TRANSPOSE(SUMIFS(Графики!$H$7:$H$306,Графики!$D$7:$D$306,'DCF (2)'!IB$6))</f>
        <v>0</v>
      </c>
      <c r="IC13" s="244" cm="1">
        <f t="array" ref="IC13">TRANSPOSE(SUMIFS(Графики!$H$7:$H$306,Графики!$D$7:$D$306,'DCF (2)'!IC$6))</f>
        <v>0</v>
      </c>
      <c r="ID13" s="244" cm="1">
        <f t="array" ref="ID13">TRANSPOSE(SUMIFS(Графики!$H$7:$H$306,Графики!$D$7:$D$306,'DCF (2)'!ID$6))</f>
        <v>0</v>
      </c>
      <c r="IE13" s="244" cm="1">
        <f t="array" ref="IE13">TRANSPOSE(SUMIFS(Графики!$H$7:$H$306,Графики!$D$7:$D$306,'DCF (2)'!IE$6))</f>
        <v>0</v>
      </c>
      <c r="IF13" s="244" cm="1">
        <f t="array" ref="IF13">TRANSPOSE(SUMIFS(Графики!$H$7:$H$306,Графики!$D$7:$D$306,'DCF (2)'!IF$6))</f>
        <v>0</v>
      </c>
      <c r="IG13" s="244" cm="1">
        <f t="array" ref="IG13">TRANSPOSE(SUMIFS(Графики!$H$7:$H$306,Графики!$D$7:$D$306,'DCF (2)'!IG$6))</f>
        <v>0</v>
      </c>
      <c r="IH13" s="244" cm="1">
        <f t="array" ref="IH13">TRANSPOSE(SUMIFS(Графики!$H$7:$H$306,Графики!$D$7:$D$306,'DCF (2)'!IH$6))</f>
        <v>0</v>
      </c>
      <c r="II13" s="244" cm="1">
        <f t="array" ref="II13">TRANSPOSE(SUMIFS(Графики!$H$7:$H$306,Графики!$D$7:$D$306,'DCF (2)'!II$6))</f>
        <v>0</v>
      </c>
      <c r="IJ13" s="244" cm="1">
        <f t="array" ref="IJ13">TRANSPOSE(SUMIFS(Графики!$H$7:$H$306,Графики!$D$7:$D$306,'DCF (2)'!IJ$6))</f>
        <v>0</v>
      </c>
      <c r="IK13" s="244" cm="1">
        <f t="array" ref="IK13">TRANSPOSE(SUMIFS(Графики!$H$7:$H$306,Графики!$D$7:$D$306,'DCF (2)'!IK$6))</f>
        <v>0</v>
      </c>
      <c r="IL13" s="244" cm="1">
        <f t="array" ref="IL13">TRANSPOSE(SUMIFS(Графики!$H$7:$H$306,Графики!$D$7:$D$306,'DCF (2)'!IL$6))</f>
        <v>0</v>
      </c>
      <c r="IM13" s="244" cm="1">
        <f t="array" ref="IM13">TRANSPOSE(SUMIFS(Графики!$H$7:$H$306,Графики!$D$7:$D$306,'DCF (2)'!IM$6))</f>
        <v>0</v>
      </c>
      <c r="IN13" s="244" cm="1">
        <f t="array" ref="IN13">TRANSPOSE(SUMIFS(Графики!$H$7:$H$306,Графики!$D$7:$D$306,'DCF (2)'!IN$6))</f>
        <v>0</v>
      </c>
      <c r="IO13" s="244" cm="1">
        <f t="array" ref="IO13">TRANSPOSE(SUMIFS(Графики!$H$7:$H$306,Графики!$D$7:$D$306,'DCF (2)'!IO$6))</f>
        <v>0</v>
      </c>
      <c r="IP13" s="244" cm="1">
        <f t="array" ref="IP13">TRANSPOSE(SUMIFS(Графики!$H$7:$H$306,Графики!$D$7:$D$306,'DCF (2)'!IP$6))</f>
        <v>0</v>
      </c>
      <c r="IQ13" s="244" cm="1">
        <f t="array" ref="IQ13">TRANSPOSE(SUMIFS(Графики!$H$7:$H$306,Графики!$D$7:$D$306,'DCF (2)'!IQ$6))</f>
        <v>0</v>
      </c>
      <c r="IR13" s="244" cm="1">
        <f t="array" ref="IR13">TRANSPOSE(SUMIFS(Графики!$H$7:$H$306,Графики!$D$7:$D$306,'DCF (2)'!IR$6))</f>
        <v>0</v>
      </c>
      <c r="IS13" s="244" cm="1">
        <f t="array" ref="IS13">TRANSPOSE(SUMIFS(Графики!$H$7:$H$306,Графики!$D$7:$D$306,'DCF (2)'!IS$6))</f>
        <v>0</v>
      </c>
      <c r="IT13" s="244" cm="1">
        <f t="array" ref="IT13">TRANSPOSE(SUMIFS(Графики!$H$7:$H$306,Графики!$D$7:$D$306,'DCF (2)'!IT$6))</f>
        <v>0</v>
      </c>
      <c r="IU13" s="244" cm="1">
        <f t="array" ref="IU13">TRANSPOSE(SUMIFS(Графики!$H$7:$H$306,Графики!$D$7:$D$306,'DCF (2)'!IU$6))</f>
        <v>0</v>
      </c>
      <c r="IV13" s="244" cm="1">
        <f t="array" ref="IV13">TRANSPOSE(SUMIFS(Графики!$H$7:$H$306,Графики!$D$7:$D$306,'DCF (2)'!IV$6))</f>
        <v>0</v>
      </c>
      <c r="IW13" s="244" cm="1">
        <f t="array" ref="IW13">TRANSPOSE(SUMIFS(Графики!$H$7:$H$306,Графики!$D$7:$D$306,'DCF (2)'!IW$6))</f>
        <v>0</v>
      </c>
      <c r="IX13" s="244" cm="1">
        <f t="array" ref="IX13">TRANSPOSE(SUMIFS(Графики!$H$7:$H$306,Графики!$D$7:$D$306,'DCF (2)'!IX$6))</f>
        <v>0</v>
      </c>
      <c r="IY13" s="244" cm="1">
        <f t="array" ref="IY13">TRANSPOSE(SUMIFS(Графики!$H$7:$H$306,Графики!$D$7:$D$306,'DCF (2)'!IY$6))</f>
        <v>0</v>
      </c>
      <c r="IZ13" s="244" cm="1">
        <f t="array" ref="IZ13">TRANSPOSE(SUMIFS(Графики!$H$7:$H$306,Графики!$D$7:$D$306,'DCF (2)'!IZ$6))</f>
        <v>0</v>
      </c>
      <c r="JA13" s="244" cm="1">
        <f t="array" ref="JA13">TRANSPOSE(SUMIFS(Графики!$H$7:$H$306,Графики!$D$7:$D$306,'DCF (2)'!JA$6))</f>
        <v>0</v>
      </c>
      <c r="JB13" s="244" cm="1">
        <f t="array" ref="JB13">TRANSPOSE(SUMIFS(Графики!$H$7:$H$306,Графики!$D$7:$D$306,'DCF (2)'!JB$6))</f>
        <v>0</v>
      </c>
      <c r="JC13" s="244" cm="1">
        <f t="array" ref="JC13">TRANSPOSE(SUMIFS(Графики!$H$7:$H$306,Графики!$D$7:$D$306,'DCF (2)'!JC$6))</f>
        <v>0</v>
      </c>
      <c r="JD13" s="244" cm="1">
        <f t="array" ref="JD13">TRANSPOSE(SUMIFS(Графики!$H$7:$H$306,Графики!$D$7:$D$306,'DCF (2)'!JD$6))</f>
        <v>0</v>
      </c>
      <c r="JE13" s="244" cm="1">
        <f t="array" ref="JE13">TRANSPOSE(SUMIFS(Графики!$H$7:$H$306,Графики!$D$7:$D$306,'DCF (2)'!JE$6))</f>
        <v>0</v>
      </c>
      <c r="JF13" s="244" cm="1">
        <f t="array" ref="JF13">TRANSPOSE(SUMIFS(Графики!$H$7:$H$306,Графики!$D$7:$D$306,'DCF (2)'!JF$6))</f>
        <v>0</v>
      </c>
      <c r="JG13" s="244" cm="1">
        <f t="array" ref="JG13">TRANSPOSE(SUMIFS(Графики!$H$7:$H$306,Графики!$D$7:$D$306,'DCF (2)'!JG$6))</f>
        <v>0</v>
      </c>
      <c r="JH13" s="244" cm="1">
        <f t="array" ref="JH13">TRANSPOSE(SUMIFS(Графики!$H$7:$H$306,Графики!$D$7:$D$306,'DCF (2)'!JH$6))</f>
        <v>0</v>
      </c>
      <c r="JI13" s="244" cm="1">
        <f t="array" ref="JI13">TRANSPOSE(SUMIFS(Графики!$H$7:$H$306,Графики!$D$7:$D$306,'DCF (2)'!JI$6))</f>
        <v>0</v>
      </c>
      <c r="JJ13" s="244" cm="1">
        <f t="array" ref="JJ13">TRANSPOSE(SUMIFS(Графики!$H$7:$H$306,Графики!$D$7:$D$306,'DCF (2)'!JJ$6))</f>
        <v>0</v>
      </c>
      <c r="JK13" s="244" cm="1">
        <f t="array" ref="JK13">TRANSPOSE(SUMIFS(Графики!$H$7:$H$306,Графики!$D$7:$D$306,'DCF (2)'!JK$6))</f>
        <v>0</v>
      </c>
      <c r="JL13" s="244" cm="1">
        <f t="array" ref="JL13">TRANSPOSE(SUMIFS(Графики!$H$7:$H$306,Графики!$D$7:$D$306,'DCF (2)'!JL$6))</f>
        <v>0</v>
      </c>
      <c r="JM13" s="244" cm="1">
        <f t="array" ref="JM13">TRANSPOSE(SUMIFS(Графики!$H$7:$H$306,Графики!$D$7:$D$306,'DCF (2)'!JM$6))</f>
        <v>0</v>
      </c>
      <c r="JN13" s="244" cm="1">
        <f t="array" ref="JN13">TRANSPOSE(SUMIFS(Графики!$H$7:$H$306,Графики!$D$7:$D$306,'DCF (2)'!JN$6))</f>
        <v>0</v>
      </c>
      <c r="JO13" s="244" cm="1">
        <f t="array" ref="JO13">TRANSPOSE(SUMIFS(Графики!$H$7:$H$306,Графики!$D$7:$D$306,'DCF (2)'!JO$6))</f>
        <v>0</v>
      </c>
      <c r="JP13" s="244" cm="1">
        <f t="array" ref="JP13">TRANSPOSE(SUMIFS(Графики!$H$7:$H$306,Графики!$D$7:$D$306,'DCF (2)'!JP$6))</f>
        <v>0</v>
      </c>
      <c r="JQ13" s="244" cm="1">
        <f t="array" ref="JQ13">TRANSPOSE(SUMIFS(Графики!$H$7:$H$306,Графики!$D$7:$D$306,'DCF (2)'!JQ$6))</f>
        <v>0</v>
      </c>
      <c r="JR13" s="244" cm="1">
        <f t="array" ref="JR13">TRANSPOSE(SUMIFS(Графики!$H$7:$H$306,Графики!$D$7:$D$306,'DCF (2)'!JR$6))</f>
        <v>0</v>
      </c>
      <c r="JS13" s="244" cm="1">
        <f t="array" ref="JS13">TRANSPOSE(SUMIFS(Графики!$H$7:$H$306,Графики!$D$7:$D$306,'DCF (2)'!JS$6))</f>
        <v>0</v>
      </c>
      <c r="JT13" s="244" cm="1">
        <f t="array" ref="JT13">TRANSPOSE(SUMIFS(Графики!$H$7:$H$306,Графики!$D$7:$D$306,'DCF (2)'!JT$6))</f>
        <v>0</v>
      </c>
      <c r="JU13" s="244" cm="1">
        <f t="array" ref="JU13">TRANSPOSE(SUMIFS(Графики!$H$7:$H$306,Графики!$D$7:$D$306,'DCF (2)'!JU$6))</f>
        <v>0</v>
      </c>
      <c r="JV13" s="244" cm="1">
        <f t="array" ref="JV13">TRANSPOSE(SUMIFS(Графики!$H$7:$H$306,Графики!$D$7:$D$306,'DCF (2)'!JV$6))</f>
        <v>0</v>
      </c>
      <c r="JW13" s="244" cm="1">
        <f t="array" ref="JW13">TRANSPOSE(SUMIFS(Графики!$H$7:$H$306,Графики!$D$7:$D$306,'DCF (2)'!JW$6))</f>
        <v>0</v>
      </c>
      <c r="JX13" s="244" cm="1">
        <f t="array" ref="JX13">TRANSPOSE(SUMIFS(Графики!$H$7:$H$306,Графики!$D$7:$D$306,'DCF (2)'!JX$6))</f>
        <v>0</v>
      </c>
      <c r="JY13" s="244" cm="1">
        <f t="array" ref="JY13">TRANSPOSE(SUMIFS(Графики!$H$7:$H$306,Графики!$D$7:$D$306,'DCF (2)'!JY$6))</f>
        <v>0</v>
      </c>
      <c r="JZ13" s="244" cm="1">
        <f t="array" ref="JZ13">TRANSPOSE(SUMIFS(Графики!$H$7:$H$306,Графики!$D$7:$D$306,'DCF (2)'!JZ$6))</f>
        <v>0</v>
      </c>
      <c r="KA13" s="244" cm="1">
        <f t="array" ref="KA13">TRANSPOSE(SUMIFS(Графики!$H$7:$H$306,Графики!$D$7:$D$306,'DCF (2)'!KA$6))</f>
        <v>0</v>
      </c>
      <c r="KB13" s="244" cm="1">
        <f t="array" ref="KB13">TRANSPOSE(SUMIFS(Графики!$H$7:$H$306,Графики!$D$7:$D$306,'DCF (2)'!KB$6))</f>
        <v>0</v>
      </c>
      <c r="KC13" s="244" cm="1">
        <f t="array" ref="KC13">TRANSPOSE(SUMIFS(Графики!$H$7:$H$306,Графики!$D$7:$D$306,'DCF (2)'!KC$6))</f>
        <v>0</v>
      </c>
      <c r="KD13" s="244" cm="1">
        <f t="array" ref="KD13">TRANSPOSE(SUMIFS(Графики!$H$7:$H$306,Графики!$D$7:$D$306,'DCF (2)'!KD$6))</f>
        <v>0</v>
      </c>
      <c r="KE13" s="244" cm="1">
        <f t="array" ref="KE13">TRANSPOSE(SUMIFS(Графики!$H$7:$H$306,Графики!$D$7:$D$306,'DCF (2)'!KE$6))</f>
        <v>0</v>
      </c>
      <c r="KF13" s="244" cm="1">
        <f t="array" ref="KF13">TRANSPOSE(SUMIFS(Графики!$H$7:$H$306,Графики!$D$7:$D$306,'DCF (2)'!KF$6))</f>
        <v>0</v>
      </c>
      <c r="KG13" s="244" cm="1">
        <f t="array" ref="KG13">TRANSPOSE(SUMIFS(Графики!$H$7:$H$306,Графики!$D$7:$D$306,'DCF (2)'!KG$6))</f>
        <v>0</v>
      </c>
      <c r="KH13" s="244" cm="1">
        <f t="array" ref="KH13">TRANSPOSE(SUMIFS(Графики!$H$7:$H$306,Графики!$D$7:$D$306,'DCF (2)'!KH$6))</f>
        <v>0</v>
      </c>
      <c r="KI13" s="244" cm="1">
        <f t="array" ref="KI13">TRANSPOSE(SUMIFS(Графики!$H$7:$H$306,Графики!$D$7:$D$306,'DCF (2)'!KI$6))</f>
        <v>0</v>
      </c>
      <c r="KJ13" s="244" cm="1">
        <f t="array" ref="KJ13">TRANSPOSE(SUMIFS(Графики!$H$7:$H$306,Графики!$D$7:$D$306,'DCF (2)'!KJ$6))</f>
        <v>0</v>
      </c>
      <c r="KK13" s="244" cm="1">
        <f t="array" ref="KK13">TRANSPOSE(SUMIFS(Графики!$H$7:$H$306,Графики!$D$7:$D$306,'DCF (2)'!KK$6))</f>
        <v>0</v>
      </c>
      <c r="KL13" s="244" cm="1">
        <f t="array" ref="KL13">TRANSPOSE(SUMIFS(Графики!$H$7:$H$306,Графики!$D$7:$D$306,'DCF (2)'!KL$6))</f>
        <v>0</v>
      </c>
      <c r="KM13" s="244" cm="1">
        <f t="array" ref="KM13">TRANSPOSE(SUMIFS(Графики!$H$7:$H$306,Графики!$D$7:$D$306,'DCF (2)'!KM$6))</f>
        <v>0</v>
      </c>
      <c r="KN13" s="244" cm="1">
        <f t="array" ref="KN13">TRANSPOSE(SUMIFS(Графики!$H$7:$H$306,Графики!$D$7:$D$306,'DCF (2)'!KN$6))</f>
        <v>0</v>
      </c>
      <c r="KO13" s="244" cm="1">
        <f t="array" ref="KO13">TRANSPOSE(SUMIFS(Графики!$H$7:$H$306,Графики!$D$7:$D$306,'DCF (2)'!KO$6))</f>
        <v>0</v>
      </c>
      <c r="KP13" s="244" cm="1">
        <f t="array" ref="KP13">TRANSPOSE(SUMIFS(Графики!$H$7:$H$306,Графики!$D$7:$D$306,'DCF (2)'!KP$6))</f>
        <v>0</v>
      </c>
      <c r="KQ13" s="244" cm="1">
        <f t="array" ref="KQ13">TRANSPOSE(SUMIFS(Графики!$H$7:$H$306,Графики!$D$7:$D$306,'DCF (2)'!KQ$6))</f>
        <v>0</v>
      </c>
    </row>
    <row r="14" spans="2:303" x14ac:dyDescent="0.35">
      <c r="B14" s="289" t="s">
        <v>110</v>
      </c>
      <c r="C14" s="241">
        <f t="shared" si="20"/>
        <v>0</v>
      </c>
      <c r="D14" s="244" cm="1">
        <f t="array" ref="D14">TRANSPOSE(SUMIFS(Графики!$J$7:$J$306,Графики!$D$7:$D$306,'DCF (2)'!D$6))*0</f>
        <v>0</v>
      </c>
      <c r="E14" s="244" cm="1">
        <f t="array" ref="E14">TRANSPOSE(SUMIFS(Графики!$J$7:$J$306,Графики!$D$7:$D$306,'DCF (2)'!E$6))*0</f>
        <v>0</v>
      </c>
      <c r="F14" s="244" cm="1">
        <f t="array" ref="F14">TRANSPOSE(SUMIFS(Графики!$J$7:$J$306,Графики!$D$7:$D$306,'DCF (2)'!F$6))*0</f>
        <v>0</v>
      </c>
      <c r="G14" s="244" cm="1">
        <f t="array" ref="G14">TRANSPOSE(SUMIFS(Графики!$J$7:$J$306,Графики!$D$7:$D$306,'DCF (2)'!G$6))*0</f>
        <v>0</v>
      </c>
      <c r="H14" s="244" cm="1">
        <f t="array" ref="H14">TRANSPOSE(SUMIFS(Графики!$J$7:$J$306,Графики!$D$7:$D$306,'DCF (2)'!H$6))*0</f>
        <v>0</v>
      </c>
      <c r="I14" s="244" cm="1">
        <f t="array" ref="I14">TRANSPOSE(SUMIFS(Графики!$J$7:$J$306,Графики!$D$7:$D$306,'DCF (2)'!I$6))*0</f>
        <v>0</v>
      </c>
      <c r="J14" s="244" cm="1">
        <f t="array" ref="J14">TRANSPOSE(SUMIFS(Графики!$J$7:$J$306,Графики!$D$7:$D$306,'DCF (2)'!J$6))*0</f>
        <v>0</v>
      </c>
      <c r="K14" s="244" cm="1">
        <f t="array" ref="K14">TRANSPOSE(SUMIFS(Графики!$J$7:$J$306,Графики!$D$7:$D$306,'DCF (2)'!K$6))*0</f>
        <v>0</v>
      </c>
      <c r="L14" s="244" cm="1">
        <f t="array" ref="L14">TRANSPOSE(SUMIFS(Графики!$J$7:$J$306,Графики!$D$7:$D$306,'DCF (2)'!L$6))*0</f>
        <v>0</v>
      </c>
      <c r="M14" s="244" cm="1">
        <f t="array" ref="M14">TRANSPOSE(SUMIFS(Графики!$J$7:$J$306,Графики!$D$7:$D$306,'DCF (2)'!M$6))*0</f>
        <v>0</v>
      </c>
      <c r="N14" s="244" cm="1">
        <f t="array" ref="N14">TRANSPOSE(SUMIFS(Графики!$J$7:$J$306,Графики!$D$7:$D$306,'DCF (2)'!N$6))*0</f>
        <v>0</v>
      </c>
      <c r="O14" s="244" cm="1">
        <f t="array" ref="O14">TRANSPOSE(SUMIFS(Графики!$J$7:$J$306,Графики!$D$7:$D$306,'DCF (2)'!O$6))*0</f>
        <v>0</v>
      </c>
      <c r="P14" s="244" cm="1">
        <f t="array" ref="P14">TRANSPOSE(SUMIFS(Графики!$J$7:$J$306,Графики!$D$7:$D$306,'DCF (2)'!P$6))*0</f>
        <v>0</v>
      </c>
      <c r="Q14" s="244" cm="1">
        <f t="array" ref="Q14">TRANSPOSE(SUMIFS(Графики!$J$7:$J$306,Графики!$D$7:$D$306,'DCF (2)'!Q$6))*0</f>
        <v>0</v>
      </c>
      <c r="R14" s="244" cm="1">
        <f t="array" ref="R14">TRANSPOSE(SUMIFS(Графики!$J$7:$J$306,Графики!$D$7:$D$306,'DCF (2)'!R$6))*0</f>
        <v>0</v>
      </c>
      <c r="S14" s="244" cm="1">
        <f t="array" ref="S14">TRANSPOSE(SUMIFS(Графики!$J$7:$J$306,Графики!$D$7:$D$306,'DCF (2)'!S$6))*0</f>
        <v>0</v>
      </c>
      <c r="T14" s="244" cm="1">
        <f t="array" ref="T14">TRANSPOSE(SUMIFS(Графики!$J$7:$J$306,Графики!$D$7:$D$306,'DCF (2)'!T$6))*0</f>
        <v>0</v>
      </c>
      <c r="U14" s="244" cm="1">
        <f t="array" ref="U14">TRANSPOSE(SUMIFS(Графики!$J$7:$J$306,Графики!$D$7:$D$306,'DCF (2)'!U$6))*0</f>
        <v>0</v>
      </c>
      <c r="V14" s="244" cm="1">
        <f t="array" ref="V14">TRANSPOSE(SUMIFS(Графики!$J$7:$J$306,Графики!$D$7:$D$306,'DCF (2)'!V$6))*0</f>
        <v>0</v>
      </c>
      <c r="W14" s="244" cm="1">
        <f t="array" ref="W14">TRANSPOSE(SUMIFS(Графики!$J$7:$J$306,Графики!$D$7:$D$306,'DCF (2)'!W$6))*0</f>
        <v>0</v>
      </c>
      <c r="X14" s="244" cm="1">
        <f t="array" ref="X14">TRANSPOSE(SUMIFS(Графики!$J$7:$J$306,Графики!$D$7:$D$306,'DCF (2)'!X$6))*0</f>
        <v>0</v>
      </c>
      <c r="Y14" s="244" cm="1">
        <f t="array" ref="Y14">TRANSPOSE(SUMIFS(Графики!$J$7:$J$306,Графики!$D$7:$D$306,'DCF (2)'!Y$6))*0</f>
        <v>0</v>
      </c>
      <c r="Z14" s="244" cm="1">
        <f t="array" ref="Z14">TRANSPOSE(SUMIFS(Графики!$J$7:$J$306,Графики!$D$7:$D$306,'DCF (2)'!Z$6))*0</f>
        <v>0</v>
      </c>
      <c r="AA14" s="244" cm="1">
        <f t="array" ref="AA14">TRANSPOSE(SUMIFS(Графики!$J$7:$J$306,Графики!$D$7:$D$306,'DCF (2)'!AA$6))*0</f>
        <v>0</v>
      </c>
      <c r="AB14" s="244" cm="1">
        <f t="array" ref="AB14">TRANSPOSE(SUMIFS(Графики!$J$7:$J$306,Графики!$D$7:$D$306,'DCF (2)'!AB$6))*0</f>
        <v>0</v>
      </c>
      <c r="AC14" s="244" cm="1">
        <f t="array" ref="AC14">TRANSPOSE(SUMIFS(Графики!$J$7:$J$306,Графики!$D$7:$D$306,'DCF (2)'!AC$6))*0</f>
        <v>0</v>
      </c>
      <c r="AD14" s="244" cm="1">
        <f t="array" ref="AD14">TRANSPOSE(SUMIFS(Графики!$J$7:$J$306,Графики!$D$7:$D$306,'DCF (2)'!AD$6))*0</f>
        <v>0</v>
      </c>
      <c r="AE14" s="244" cm="1">
        <f t="array" ref="AE14">TRANSPOSE(SUMIFS(Графики!$J$7:$J$306,Графики!$D$7:$D$306,'DCF (2)'!AE$6))*0</f>
        <v>0</v>
      </c>
      <c r="AF14" s="244" cm="1">
        <f t="array" ref="AF14">TRANSPOSE(SUMIFS(Графики!$J$7:$J$306,Графики!$D$7:$D$306,'DCF (2)'!AF$6))*0</f>
        <v>0</v>
      </c>
      <c r="AG14" s="244" cm="1">
        <f t="array" ref="AG14">TRANSPOSE(SUMIFS(Графики!$J$7:$J$306,Графики!$D$7:$D$306,'DCF (2)'!AG$6))*0</f>
        <v>0</v>
      </c>
      <c r="AH14" s="244" cm="1">
        <f t="array" ref="AH14">TRANSPOSE(SUMIFS(Графики!$J$7:$J$306,Графики!$D$7:$D$306,'DCF (2)'!AH$6))*0</f>
        <v>0</v>
      </c>
      <c r="AI14" s="244" cm="1">
        <f t="array" ref="AI14">TRANSPOSE(SUMIFS(Графики!$J$7:$J$306,Графики!$D$7:$D$306,'DCF (2)'!AI$6))*0</f>
        <v>0</v>
      </c>
      <c r="AJ14" s="244" cm="1">
        <f t="array" ref="AJ14">TRANSPOSE(SUMIFS(Графики!$J$7:$J$306,Графики!$D$7:$D$306,'DCF (2)'!AJ$6))*0</f>
        <v>0</v>
      </c>
      <c r="AK14" s="244" cm="1">
        <f t="array" ref="AK14">TRANSPOSE(SUMIFS(Графики!$J$7:$J$306,Графики!$D$7:$D$306,'DCF (2)'!AK$6))*0</f>
        <v>0</v>
      </c>
      <c r="AL14" s="244" cm="1">
        <f t="array" ref="AL14">TRANSPOSE(SUMIFS(Графики!$J$7:$J$306,Графики!$D$7:$D$306,'DCF (2)'!AL$6))*0</f>
        <v>0</v>
      </c>
      <c r="AM14" s="244" cm="1">
        <f t="array" ref="AM14">TRANSPOSE(SUMIFS(Графики!$J$7:$J$306,Графики!$D$7:$D$306,'DCF (2)'!AM$6))*0</f>
        <v>0</v>
      </c>
      <c r="AN14" s="244" cm="1">
        <f t="array" ref="AN14">TRANSPOSE(SUMIFS(Графики!$J$7:$J$306,Графики!$D$7:$D$306,'DCF (2)'!AN$6))*0</f>
        <v>0</v>
      </c>
      <c r="AO14" s="244" cm="1">
        <f t="array" ref="AO14">TRANSPOSE(SUMIFS(Графики!$J$7:$J$306,Графики!$D$7:$D$306,'DCF (2)'!AO$6))*0</f>
        <v>0</v>
      </c>
      <c r="AP14" s="244" cm="1">
        <f t="array" ref="AP14">TRANSPOSE(SUMIFS(Графики!$J$7:$J$306,Графики!$D$7:$D$306,'DCF (2)'!AP$6))*0</f>
        <v>0</v>
      </c>
      <c r="AQ14" s="244" cm="1">
        <f t="array" ref="AQ14">TRANSPOSE(SUMIFS(Графики!$J$7:$J$306,Графики!$D$7:$D$306,'DCF (2)'!AQ$6))*0</f>
        <v>0</v>
      </c>
      <c r="AR14" s="244" cm="1">
        <f t="array" ref="AR14">TRANSPOSE(SUMIFS(Графики!$J$7:$J$306,Графики!$D$7:$D$306,'DCF (2)'!AR$6))*0</f>
        <v>0</v>
      </c>
      <c r="AS14" s="244" cm="1">
        <f t="array" ref="AS14">TRANSPOSE(SUMIFS(Графики!$J$7:$J$306,Графики!$D$7:$D$306,'DCF (2)'!AS$6))*0</f>
        <v>0</v>
      </c>
      <c r="AT14" s="244" cm="1">
        <f t="array" ref="AT14">TRANSPOSE(SUMIFS(Графики!$J$7:$J$306,Графики!$D$7:$D$306,'DCF (2)'!AT$6))*0</f>
        <v>0</v>
      </c>
      <c r="AU14" s="244" cm="1">
        <f t="array" ref="AU14">TRANSPOSE(SUMIFS(Графики!$J$7:$J$306,Графики!$D$7:$D$306,'DCF (2)'!AU$6))*0</f>
        <v>0</v>
      </c>
      <c r="AV14" s="244" cm="1">
        <f t="array" ref="AV14">TRANSPOSE(SUMIFS(Графики!$J$7:$J$306,Графики!$D$7:$D$306,'DCF (2)'!AV$6))*0</f>
        <v>0</v>
      </c>
      <c r="AW14" s="244" cm="1">
        <f t="array" ref="AW14">TRANSPOSE(SUMIFS(Графики!$J$7:$J$306,Графики!$D$7:$D$306,'DCF (2)'!AW$6))*0</f>
        <v>0</v>
      </c>
      <c r="AX14" s="244" cm="1">
        <f t="array" ref="AX14">TRANSPOSE(SUMIFS(Графики!$J$7:$J$306,Графики!$D$7:$D$306,'DCF (2)'!AX$6))*0</f>
        <v>0</v>
      </c>
      <c r="AY14" s="244" cm="1">
        <f t="array" ref="AY14">TRANSPOSE(SUMIFS(Графики!$J$7:$J$306,Графики!$D$7:$D$306,'DCF (2)'!AY$6))*0</f>
        <v>0</v>
      </c>
      <c r="AZ14" s="244" cm="1">
        <f t="array" ref="AZ14">TRANSPOSE(SUMIFS(Графики!$J$7:$J$306,Графики!$D$7:$D$306,'DCF (2)'!AZ$6))*0</f>
        <v>0</v>
      </c>
      <c r="BA14" s="244" cm="1">
        <f t="array" ref="BA14">TRANSPOSE(SUMIFS(Графики!$J$7:$J$306,Графики!$D$7:$D$306,'DCF (2)'!BA$6))*0</f>
        <v>0</v>
      </c>
      <c r="BB14" s="244" cm="1">
        <f t="array" ref="BB14">TRANSPOSE(SUMIFS(Графики!$J$7:$J$306,Графики!$D$7:$D$306,'DCF (2)'!BB$6))*0</f>
        <v>0</v>
      </c>
      <c r="BC14" s="244" cm="1">
        <f t="array" ref="BC14">TRANSPOSE(SUMIFS(Графики!$J$7:$J$306,Графики!$D$7:$D$306,'DCF (2)'!BC$6))*0</f>
        <v>0</v>
      </c>
      <c r="BD14" s="244" cm="1">
        <f t="array" ref="BD14">TRANSPOSE(SUMIFS(Графики!$J$7:$J$306,Графики!$D$7:$D$306,'DCF (2)'!BD$6))*0</f>
        <v>0</v>
      </c>
      <c r="BE14" s="244" cm="1">
        <f t="array" ref="BE14">TRANSPOSE(SUMIFS(Графики!$J$7:$J$306,Графики!$D$7:$D$306,'DCF (2)'!BE$6))*0</f>
        <v>0</v>
      </c>
      <c r="BF14" s="244" cm="1">
        <f t="array" ref="BF14">TRANSPOSE(SUMIFS(Графики!$J$7:$J$306,Графики!$D$7:$D$306,'DCF (2)'!BF$6))*0</f>
        <v>0</v>
      </c>
      <c r="BG14" s="244" cm="1">
        <f t="array" ref="BG14">TRANSPOSE(SUMIFS(Графики!$J$7:$J$306,Графики!$D$7:$D$306,'DCF (2)'!BG$6))*0</f>
        <v>0</v>
      </c>
      <c r="BH14" s="244" cm="1">
        <f t="array" ref="BH14">TRANSPOSE(SUMIFS(Графики!$J$7:$J$306,Графики!$D$7:$D$306,'DCF (2)'!BH$6))*0</f>
        <v>0</v>
      </c>
      <c r="BI14" s="244" cm="1">
        <f t="array" ref="BI14">TRANSPOSE(SUMIFS(Графики!$J$7:$J$306,Графики!$D$7:$D$306,'DCF (2)'!BI$6))*0</f>
        <v>0</v>
      </c>
      <c r="BJ14" s="244" cm="1">
        <f t="array" ref="BJ14">TRANSPOSE(SUMIFS(Графики!$J$7:$J$306,Графики!$D$7:$D$306,'DCF (2)'!BJ$6))*0</f>
        <v>0</v>
      </c>
      <c r="BK14" s="244" cm="1">
        <f t="array" ref="BK14">TRANSPOSE(SUMIFS(Графики!$J$7:$J$306,Графики!$D$7:$D$306,'DCF (2)'!BK$6))*0</f>
        <v>0</v>
      </c>
      <c r="BL14" s="244" cm="1">
        <f t="array" ref="BL14">TRANSPOSE(SUMIFS(Графики!$J$7:$J$306,Графики!$D$7:$D$306,'DCF (2)'!BL$6))*0</f>
        <v>0</v>
      </c>
      <c r="BM14" s="244" cm="1">
        <f t="array" ref="BM14">TRANSPOSE(SUMIFS(Графики!$J$7:$J$306,Графики!$D$7:$D$306,'DCF (2)'!BM$6))*0</f>
        <v>0</v>
      </c>
      <c r="BN14" s="244" cm="1">
        <f t="array" ref="BN14">TRANSPOSE(SUMIFS(Графики!$J$7:$J$306,Графики!$D$7:$D$306,'DCF (2)'!BN$6))*0</f>
        <v>0</v>
      </c>
      <c r="BO14" s="244" cm="1">
        <f t="array" ref="BO14">TRANSPOSE(SUMIFS(Графики!$J$7:$J$306,Графики!$D$7:$D$306,'DCF (2)'!BO$6))*0</f>
        <v>0</v>
      </c>
      <c r="BP14" s="244" cm="1">
        <f t="array" ref="BP14">TRANSPOSE(SUMIFS(Графики!$J$7:$J$306,Графики!$D$7:$D$306,'DCF (2)'!BP$6))*0</f>
        <v>0</v>
      </c>
      <c r="BQ14" s="244" cm="1">
        <f t="array" ref="BQ14">TRANSPOSE(SUMIFS(Графики!$J$7:$J$306,Графики!$D$7:$D$306,'DCF (2)'!BQ$6))*0</f>
        <v>0</v>
      </c>
      <c r="BR14" s="244" cm="1">
        <f t="array" ref="BR14">TRANSPOSE(SUMIFS(Графики!$J$7:$J$306,Графики!$D$7:$D$306,'DCF (2)'!BR$6))*0</f>
        <v>0</v>
      </c>
      <c r="BS14" s="244" cm="1">
        <f t="array" ref="BS14">TRANSPOSE(SUMIFS(Графики!$J$7:$J$306,Графики!$D$7:$D$306,'DCF (2)'!BS$6))*0</f>
        <v>0</v>
      </c>
      <c r="BT14" s="244" cm="1">
        <f t="array" ref="BT14">TRANSPOSE(SUMIFS(Графики!$J$7:$J$306,Графики!$D$7:$D$306,'DCF (2)'!BT$6))*0</f>
        <v>0</v>
      </c>
      <c r="BU14" s="244" cm="1">
        <f t="array" ref="BU14">TRANSPOSE(SUMIFS(Графики!$J$7:$J$306,Графики!$D$7:$D$306,'DCF (2)'!BU$6))*0</f>
        <v>0</v>
      </c>
      <c r="BV14" s="244" cm="1">
        <f t="array" ref="BV14">TRANSPOSE(SUMIFS(Графики!$J$7:$J$306,Графики!$D$7:$D$306,'DCF (2)'!BV$6))*0</f>
        <v>0</v>
      </c>
      <c r="BW14" s="244" cm="1">
        <f t="array" ref="BW14">TRANSPOSE(SUMIFS(Графики!$J$7:$J$306,Графики!$D$7:$D$306,'DCF (2)'!BW$6))*0</f>
        <v>0</v>
      </c>
      <c r="BX14" s="244" cm="1">
        <f t="array" ref="BX14">TRANSPOSE(SUMIFS(Графики!$J$7:$J$306,Графики!$D$7:$D$306,'DCF (2)'!BX$6))*0</f>
        <v>0</v>
      </c>
      <c r="BY14" s="244" cm="1">
        <f t="array" ref="BY14">TRANSPOSE(SUMIFS(Графики!$J$7:$J$306,Графики!$D$7:$D$306,'DCF (2)'!BY$6))*0</f>
        <v>0</v>
      </c>
      <c r="BZ14" s="244" cm="1">
        <f t="array" ref="BZ14">TRANSPOSE(SUMIFS(Графики!$J$7:$J$306,Графики!$D$7:$D$306,'DCF (2)'!BZ$6))*0</f>
        <v>0</v>
      </c>
      <c r="CA14" s="244" cm="1">
        <f t="array" ref="CA14">TRANSPOSE(SUMIFS(Графики!$J$7:$J$306,Графики!$D$7:$D$306,'DCF (2)'!CA$6))*0</f>
        <v>0</v>
      </c>
      <c r="CB14" s="244" cm="1">
        <f t="array" ref="CB14">TRANSPOSE(SUMIFS(Графики!$J$7:$J$306,Графики!$D$7:$D$306,'DCF (2)'!CB$6))*0</f>
        <v>0</v>
      </c>
      <c r="CC14" s="244" cm="1">
        <f t="array" ref="CC14">TRANSPOSE(SUMIFS(Графики!$J$7:$J$306,Графики!$D$7:$D$306,'DCF (2)'!CC$6))*0</f>
        <v>0</v>
      </c>
      <c r="CD14" s="244" cm="1">
        <f t="array" ref="CD14">TRANSPOSE(SUMIFS(Графики!$J$7:$J$306,Графики!$D$7:$D$306,'DCF (2)'!CD$6))*0</f>
        <v>0</v>
      </c>
      <c r="CE14" s="244" cm="1">
        <f t="array" ref="CE14">TRANSPOSE(SUMIFS(Графики!$J$7:$J$306,Графики!$D$7:$D$306,'DCF (2)'!CE$6))*0</f>
        <v>0</v>
      </c>
      <c r="CF14" s="244" cm="1">
        <f t="array" ref="CF14">TRANSPOSE(SUMIFS(Графики!$J$7:$J$306,Графики!$D$7:$D$306,'DCF (2)'!CF$6))*0</f>
        <v>0</v>
      </c>
      <c r="CG14" s="244" cm="1">
        <f t="array" ref="CG14">TRANSPOSE(SUMIFS(Графики!$J$7:$J$306,Графики!$D$7:$D$306,'DCF (2)'!CG$6))*0</f>
        <v>0</v>
      </c>
      <c r="CH14" s="244" cm="1">
        <f t="array" ref="CH14">TRANSPOSE(SUMIFS(Графики!$J$7:$J$306,Графики!$D$7:$D$306,'DCF (2)'!CH$6))*0</f>
        <v>0</v>
      </c>
      <c r="CI14" s="244" cm="1">
        <f t="array" ref="CI14">TRANSPOSE(SUMIFS(Графики!$J$7:$J$306,Графики!$D$7:$D$306,'DCF (2)'!CI$6))*0</f>
        <v>0</v>
      </c>
      <c r="CJ14" s="244" cm="1">
        <f t="array" ref="CJ14">TRANSPOSE(SUMIFS(Графики!$J$7:$J$306,Графики!$D$7:$D$306,'DCF (2)'!CJ$6))</f>
        <v>0</v>
      </c>
      <c r="CK14" s="244" cm="1">
        <f t="array" ref="CK14">TRANSPOSE(SUMIFS(Графики!$J$7:$J$306,Графики!$D$7:$D$306,'DCF (2)'!CK$6))</f>
        <v>0</v>
      </c>
      <c r="CL14" s="244" cm="1">
        <f t="array" ref="CL14">TRANSPOSE(SUMIFS(Графики!$J$7:$J$306,Графики!$D$7:$D$306,'DCF (2)'!CL$6))</f>
        <v>0</v>
      </c>
      <c r="CM14" s="244" cm="1">
        <f t="array" ref="CM14">TRANSPOSE(SUMIFS(Графики!$J$7:$J$306,Графики!$D$7:$D$306,'DCF (2)'!CM$6))</f>
        <v>0</v>
      </c>
      <c r="CN14" s="244" cm="1">
        <f t="array" ref="CN14">TRANSPOSE(SUMIFS(Графики!$J$7:$J$306,Графики!$D$7:$D$306,'DCF (2)'!CN$6))</f>
        <v>0</v>
      </c>
      <c r="CO14" s="244" cm="1">
        <f t="array" ref="CO14">TRANSPOSE(SUMIFS(Графики!$J$7:$J$306,Графики!$D$7:$D$306,'DCF (2)'!CO$6))</f>
        <v>0</v>
      </c>
      <c r="CP14" s="244" cm="1">
        <f t="array" ref="CP14">TRANSPOSE(SUMIFS(Графики!$J$7:$J$306,Графики!$D$7:$D$306,'DCF (2)'!CP$6))</f>
        <v>0</v>
      </c>
      <c r="CQ14" s="244" cm="1">
        <f t="array" ref="CQ14">TRANSPOSE(SUMIFS(Графики!$J$7:$J$306,Графики!$D$7:$D$306,'DCF (2)'!CQ$6))</f>
        <v>0</v>
      </c>
      <c r="CR14" s="244" cm="1">
        <f t="array" ref="CR14">TRANSPOSE(SUMIFS(Графики!$J$7:$J$306,Графики!$D$7:$D$306,'DCF (2)'!CR$6))</f>
        <v>0</v>
      </c>
      <c r="CS14" s="244" cm="1">
        <f t="array" ref="CS14">TRANSPOSE(SUMIFS(Графики!$J$7:$J$306,Графики!$D$7:$D$306,'DCF (2)'!CS$6))</f>
        <v>0</v>
      </c>
      <c r="CT14" s="244" cm="1">
        <f t="array" ref="CT14">TRANSPOSE(SUMIFS(Графики!$J$7:$J$306,Графики!$D$7:$D$306,'DCF (2)'!CT$6))</f>
        <v>0</v>
      </c>
      <c r="CU14" s="244" cm="1">
        <f t="array" ref="CU14">TRANSPOSE(SUMIFS(Графики!$J$7:$J$306,Графики!$D$7:$D$306,'DCF (2)'!CU$6))</f>
        <v>0</v>
      </c>
      <c r="CV14" s="244" cm="1">
        <f t="array" ref="CV14">TRANSPOSE(SUMIFS(Графики!$J$7:$J$306,Графики!$D$7:$D$306,'DCF (2)'!CV$6))</f>
        <v>0</v>
      </c>
      <c r="CW14" s="244" cm="1">
        <f t="array" ref="CW14">TRANSPOSE(SUMIFS(Графики!$J$7:$J$306,Графики!$D$7:$D$306,'DCF (2)'!CW$6))</f>
        <v>0</v>
      </c>
      <c r="CX14" s="244" cm="1">
        <f t="array" ref="CX14">TRANSPOSE(SUMIFS(Графики!$J$7:$J$306,Графики!$D$7:$D$306,'DCF (2)'!CX$6))</f>
        <v>0</v>
      </c>
      <c r="CY14" s="244" cm="1">
        <f t="array" ref="CY14">TRANSPOSE(SUMIFS(Графики!$J$7:$J$306,Графики!$D$7:$D$306,'DCF (2)'!CY$6))</f>
        <v>0</v>
      </c>
      <c r="CZ14" s="244" cm="1">
        <f t="array" ref="CZ14">TRANSPOSE(SUMIFS(Графики!$J$7:$J$306,Графики!$D$7:$D$306,'DCF (2)'!CZ$6))</f>
        <v>0</v>
      </c>
      <c r="DA14" s="244" cm="1">
        <f t="array" ref="DA14">TRANSPOSE(SUMIFS(Графики!$J$7:$J$306,Графики!$D$7:$D$306,'DCF (2)'!DA$6))</f>
        <v>0</v>
      </c>
      <c r="DB14" s="244" cm="1">
        <f t="array" ref="DB14">TRANSPOSE(SUMIFS(Графики!$J$7:$J$306,Графики!$D$7:$D$306,'DCF (2)'!DB$6))</f>
        <v>0</v>
      </c>
      <c r="DC14" s="244" cm="1">
        <f t="array" ref="DC14">TRANSPOSE(SUMIFS(Графики!$J$7:$J$306,Графики!$D$7:$D$306,'DCF (2)'!DC$6))</f>
        <v>0</v>
      </c>
      <c r="DD14" s="244" cm="1">
        <f t="array" ref="DD14">TRANSPOSE(SUMIFS(Графики!$J$7:$J$306,Графики!$D$7:$D$306,'DCF (2)'!DD$6))</f>
        <v>0</v>
      </c>
      <c r="DE14" s="244" cm="1">
        <f t="array" ref="DE14">TRANSPOSE(SUMIFS(Графики!$J$7:$J$306,Графики!$D$7:$D$306,'DCF (2)'!DE$6))</f>
        <v>0</v>
      </c>
      <c r="DF14" s="244" cm="1">
        <f t="array" ref="DF14">TRANSPOSE(SUMIFS(Графики!$J$7:$J$306,Графики!$D$7:$D$306,'DCF (2)'!DF$6))</f>
        <v>0</v>
      </c>
      <c r="DG14" s="244" cm="1">
        <f t="array" ref="DG14">TRANSPOSE(SUMIFS(Графики!$J$7:$J$306,Графики!$D$7:$D$306,'DCF (2)'!DG$6))</f>
        <v>0</v>
      </c>
      <c r="DH14" s="244" cm="1">
        <f t="array" ref="DH14">TRANSPOSE(SUMIFS(Графики!$J$7:$J$306,Графики!$D$7:$D$306,'DCF (2)'!DH$6))</f>
        <v>0</v>
      </c>
      <c r="DI14" s="244" cm="1">
        <f t="array" ref="DI14">TRANSPOSE(SUMIFS(Графики!$J$7:$J$306,Графики!$D$7:$D$306,'DCF (2)'!DI$6))</f>
        <v>0</v>
      </c>
      <c r="DJ14" s="244" cm="1">
        <f t="array" ref="DJ14">TRANSPOSE(SUMIFS(Графики!$J$7:$J$306,Графики!$D$7:$D$306,'DCF (2)'!DJ$6))</f>
        <v>0</v>
      </c>
      <c r="DK14" s="244" cm="1">
        <f t="array" ref="DK14">TRANSPOSE(SUMIFS(Графики!$J$7:$J$306,Графики!$D$7:$D$306,'DCF (2)'!DK$6))</f>
        <v>0</v>
      </c>
      <c r="DL14" s="244" cm="1">
        <f t="array" ref="DL14">TRANSPOSE(SUMIFS(Графики!$J$7:$J$306,Графики!$D$7:$D$306,'DCF (2)'!DL$6))</f>
        <v>0</v>
      </c>
      <c r="DM14" s="244" cm="1">
        <f t="array" ref="DM14">TRANSPOSE(SUMIFS(Графики!$J$7:$J$306,Графики!$D$7:$D$306,'DCF (2)'!DM$6))</f>
        <v>0</v>
      </c>
      <c r="DN14" s="244" cm="1">
        <f t="array" ref="DN14">TRANSPOSE(SUMIFS(Графики!$J$7:$J$306,Графики!$D$7:$D$306,'DCF (2)'!DN$6))</f>
        <v>0</v>
      </c>
      <c r="DO14" s="244" cm="1">
        <f t="array" ref="DO14">TRANSPOSE(SUMIFS(Графики!$J$7:$J$306,Графики!$D$7:$D$306,'DCF (2)'!DO$6))</f>
        <v>0</v>
      </c>
      <c r="DP14" s="244" cm="1">
        <f t="array" ref="DP14">TRANSPOSE(SUMIFS(Графики!$J$7:$J$306,Графики!$D$7:$D$306,'DCF (2)'!DP$6))</f>
        <v>0</v>
      </c>
      <c r="DQ14" s="244" cm="1">
        <f t="array" ref="DQ14">TRANSPOSE(SUMIFS(Графики!$J$7:$J$306,Графики!$D$7:$D$306,'DCF (2)'!DQ$6))</f>
        <v>0</v>
      </c>
      <c r="DR14" s="244" cm="1">
        <f t="array" ref="DR14">TRANSPOSE(SUMIFS(Графики!$J$7:$J$306,Графики!$D$7:$D$306,'DCF (2)'!DR$6))</f>
        <v>0</v>
      </c>
      <c r="DS14" s="244" cm="1">
        <f t="array" ref="DS14">TRANSPOSE(SUMIFS(Графики!$J$7:$J$306,Графики!$D$7:$D$306,'DCF (2)'!DS$6))</f>
        <v>0</v>
      </c>
      <c r="DT14" s="244" cm="1">
        <f t="array" ref="DT14">TRANSPOSE(SUMIFS(Графики!$J$7:$J$306,Графики!$D$7:$D$306,'DCF (2)'!DT$6))</f>
        <v>0</v>
      </c>
      <c r="DU14" s="244" cm="1">
        <f t="array" ref="DU14">TRANSPOSE(SUMIFS(Графики!$J$7:$J$306,Графики!$D$7:$D$306,'DCF (2)'!DU$6))</f>
        <v>0</v>
      </c>
      <c r="DV14" s="244" cm="1">
        <f t="array" ref="DV14">TRANSPOSE(SUMIFS(Графики!$J$7:$J$306,Графики!$D$7:$D$306,'DCF (2)'!DV$6))</f>
        <v>0</v>
      </c>
      <c r="DW14" s="244" cm="1">
        <f t="array" ref="DW14">TRANSPOSE(SUMIFS(Графики!$J$7:$J$306,Графики!$D$7:$D$306,'DCF (2)'!DW$6))</f>
        <v>0</v>
      </c>
      <c r="DX14" s="244" cm="1">
        <f t="array" ref="DX14">TRANSPOSE(SUMIFS(Графики!$J$7:$J$306,Графики!$D$7:$D$306,'DCF (2)'!DX$6))</f>
        <v>0</v>
      </c>
      <c r="DY14" s="244" cm="1">
        <f t="array" ref="DY14">TRANSPOSE(SUMIFS(Графики!$J$7:$J$306,Графики!$D$7:$D$306,'DCF (2)'!DY$6))</f>
        <v>0</v>
      </c>
      <c r="DZ14" s="244" cm="1">
        <f t="array" ref="DZ14">TRANSPOSE(SUMIFS(Графики!$J$7:$J$306,Графики!$D$7:$D$306,'DCF (2)'!DZ$6))</f>
        <v>0</v>
      </c>
      <c r="EA14" s="244" cm="1">
        <f t="array" ref="EA14">TRANSPOSE(SUMIFS(Графики!$J$7:$J$306,Графики!$D$7:$D$306,'DCF (2)'!EA$6))</f>
        <v>0</v>
      </c>
      <c r="EB14" s="244" cm="1">
        <f t="array" ref="EB14">TRANSPOSE(SUMIFS(Графики!$J$7:$J$306,Графики!$D$7:$D$306,'DCF (2)'!EB$6))</f>
        <v>0</v>
      </c>
      <c r="EC14" s="244" cm="1">
        <f t="array" ref="EC14">TRANSPOSE(SUMIFS(Графики!$J$7:$J$306,Графики!$D$7:$D$306,'DCF (2)'!EC$6))</f>
        <v>0</v>
      </c>
      <c r="ED14" s="244" cm="1">
        <f t="array" ref="ED14">TRANSPOSE(SUMIFS(Графики!$J$7:$J$306,Графики!$D$7:$D$306,'DCF (2)'!ED$6))</f>
        <v>0</v>
      </c>
      <c r="EE14" s="244" cm="1">
        <f t="array" ref="EE14">TRANSPOSE(SUMIFS(Графики!$J$7:$J$306,Графики!$D$7:$D$306,'DCF (2)'!EE$6))</f>
        <v>0</v>
      </c>
      <c r="EF14" s="244" cm="1">
        <f t="array" ref="EF14">TRANSPOSE(SUMIFS(Графики!$J$7:$J$306,Графики!$D$7:$D$306,'DCF (2)'!EF$6))</f>
        <v>0</v>
      </c>
      <c r="EG14" s="244" cm="1">
        <f t="array" ref="EG14">TRANSPOSE(SUMIFS(Графики!$J$7:$J$306,Графики!$D$7:$D$306,'DCF (2)'!EG$6))</f>
        <v>0</v>
      </c>
      <c r="EH14" s="244" cm="1">
        <f t="array" ref="EH14">TRANSPOSE(SUMIFS(Графики!$J$7:$J$306,Графики!$D$7:$D$306,'DCF (2)'!EH$6))</f>
        <v>0</v>
      </c>
      <c r="EI14" s="244" cm="1">
        <f t="array" ref="EI14">TRANSPOSE(SUMIFS(Графики!$J$7:$J$306,Графики!$D$7:$D$306,'DCF (2)'!EI$6))</f>
        <v>0</v>
      </c>
      <c r="EJ14" s="244" cm="1">
        <f t="array" ref="EJ14">TRANSPOSE(SUMIFS(Графики!$J$7:$J$306,Графики!$D$7:$D$306,'DCF (2)'!EJ$6))</f>
        <v>0</v>
      </c>
      <c r="EK14" s="244" cm="1">
        <f t="array" ref="EK14">TRANSPOSE(SUMIFS(Графики!$J$7:$J$306,Графики!$D$7:$D$306,'DCF (2)'!EK$6))</f>
        <v>0</v>
      </c>
      <c r="EL14" s="244" cm="1">
        <f t="array" ref="EL14">TRANSPOSE(SUMIFS(Графики!$J$7:$J$306,Графики!$D$7:$D$306,'DCF (2)'!EL$6))</f>
        <v>0</v>
      </c>
      <c r="EM14" s="244" cm="1">
        <f t="array" ref="EM14">TRANSPOSE(SUMIFS(Графики!$J$7:$J$306,Графики!$D$7:$D$306,'DCF (2)'!EM$6))</f>
        <v>0</v>
      </c>
      <c r="EN14" s="244" cm="1">
        <f t="array" ref="EN14">TRANSPOSE(SUMIFS(Графики!$J$7:$J$306,Графики!$D$7:$D$306,'DCF (2)'!EN$6))</f>
        <v>0</v>
      </c>
      <c r="EO14" s="244" cm="1">
        <f t="array" ref="EO14">TRANSPOSE(SUMIFS(Графики!$J$7:$J$306,Графики!$D$7:$D$306,'DCF (2)'!EO$6))</f>
        <v>0</v>
      </c>
      <c r="EP14" s="244" cm="1">
        <f t="array" ref="EP14">TRANSPOSE(SUMIFS(Графики!$J$7:$J$306,Графики!$D$7:$D$306,'DCF (2)'!EP$6))</f>
        <v>0</v>
      </c>
      <c r="EQ14" s="244" cm="1">
        <f t="array" ref="EQ14">TRANSPOSE(SUMIFS(Графики!$J$7:$J$306,Графики!$D$7:$D$306,'DCF (2)'!EQ$6))</f>
        <v>0</v>
      </c>
      <c r="ER14" s="244" cm="1">
        <f t="array" ref="ER14">TRANSPOSE(SUMIFS(Графики!$J$7:$J$306,Графики!$D$7:$D$306,'DCF (2)'!ER$6))</f>
        <v>0</v>
      </c>
      <c r="ES14" s="244" cm="1">
        <f t="array" ref="ES14">TRANSPOSE(SUMIFS(Графики!$J$7:$J$306,Графики!$D$7:$D$306,'DCF (2)'!ES$6))</f>
        <v>0</v>
      </c>
      <c r="ET14" s="244" cm="1">
        <f t="array" ref="ET14">TRANSPOSE(SUMIFS(Графики!$J$7:$J$306,Графики!$D$7:$D$306,'DCF (2)'!ET$6))</f>
        <v>0</v>
      </c>
      <c r="EU14" s="244" cm="1">
        <f t="array" ref="EU14">TRANSPOSE(SUMIFS(Графики!$J$7:$J$306,Графики!$D$7:$D$306,'DCF (2)'!EU$6))</f>
        <v>0</v>
      </c>
      <c r="EV14" s="244" cm="1">
        <f t="array" ref="EV14">TRANSPOSE(SUMIFS(Графики!$J$7:$J$306,Графики!$D$7:$D$306,'DCF (2)'!EV$6))</f>
        <v>0</v>
      </c>
      <c r="EW14" s="244" cm="1">
        <f t="array" ref="EW14">TRANSPOSE(SUMIFS(Графики!$J$7:$J$306,Графики!$D$7:$D$306,'DCF (2)'!EW$6))</f>
        <v>0</v>
      </c>
      <c r="EX14" s="244" cm="1">
        <f t="array" ref="EX14">TRANSPOSE(SUMIFS(Графики!$J$7:$J$306,Графики!$D$7:$D$306,'DCF (2)'!EX$6))</f>
        <v>0</v>
      </c>
      <c r="EY14" s="244" cm="1">
        <f t="array" ref="EY14">TRANSPOSE(SUMIFS(Графики!$J$7:$J$306,Графики!$D$7:$D$306,'DCF (2)'!EY$6))</f>
        <v>0</v>
      </c>
      <c r="EZ14" s="244" cm="1">
        <f t="array" ref="EZ14">TRANSPOSE(SUMIFS(Графики!$J$7:$J$306,Графики!$D$7:$D$306,'DCF (2)'!EZ$6))</f>
        <v>0</v>
      </c>
      <c r="FA14" s="244" cm="1">
        <f t="array" ref="FA14">TRANSPOSE(SUMIFS(Графики!$J$7:$J$306,Графики!$D$7:$D$306,'DCF (2)'!FA$6))</f>
        <v>0</v>
      </c>
      <c r="FB14" s="244" cm="1">
        <f t="array" ref="FB14">TRANSPOSE(SUMIFS(Графики!$J$7:$J$306,Графики!$D$7:$D$306,'DCF (2)'!FB$6))</f>
        <v>0</v>
      </c>
      <c r="FC14" s="244" cm="1">
        <f t="array" ref="FC14">TRANSPOSE(SUMIFS(Графики!$J$7:$J$306,Графики!$D$7:$D$306,'DCF (2)'!FC$6))</f>
        <v>0</v>
      </c>
      <c r="FD14" s="244" cm="1">
        <f t="array" ref="FD14">TRANSPOSE(SUMIFS(Графики!$J$7:$J$306,Графики!$D$7:$D$306,'DCF (2)'!FD$6))</f>
        <v>0</v>
      </c>
      <c r="FE14" s="244" cm="1">
        <f t="array" ref="FE14">TRANSPOSE(SUMIFS(Графики!$J$7:$J$306,Графики!$D$7:$D$306,'DCF (2)'!FE$6))</f>
        <v>0</v>
      </c>
      <c r="FF14" s="244" cm="1">
        <f t="array" ref="FF14">TRANSPOSE(SUMIFS(Графики!$J$7:$J$306,Графики!$D$7:$D$306,'DCF (2)'!FF$6))</f>
        <v>0</v>
      </c>
      <c r="FG14" s="244" cm="1">
        <f t="array" ref="FG14">TRANSPOSE(SUMIFS(Графики!$J$7:$J$306,Графики!$D$7:$D$306,'DCF (2)'!FG$6))</f>
        <v>0</v>
      </c>
      <c r="FH14" s="244" cm="1">
        <f t="array" ref="FH14">TRANSPOSE(SUMIFS(Графики!$J$7:$J$306,Графики!$D$7:$D$306,'DCF (2)'!FH$6))</f>
        <v>0</v>
      </c>
      <c r="FI14" s="244" cm="1">
        <f t="array" ref="FI14">TRANSPOSE(SUMIFS(Графики!$J$7:$J$306,Графики!$D$7:$D$306,'DCF (2)'!FI$6))</f>
        <v>0</v>
      </c>
      <c r="FJ14" s="244" cm="1">
        <f t="array" ref="FJ14">TRANSPOSE(SUMIFS(Графики!$J$7:$J$306,Графики!$D$7:$D$306,'DCF (2)'!FJ$6))</f>
        <v>0</v>
      </c>
      <c r="FK14" s="244" cm="1">
        <f t="array" ref="FK14">TRANSPOSE(SUMIFS(Графики!$J$7:$J$306,Графики!$D$7:$D$306,'DCF (2)'!FK$6))</f>
        <v>0</v>
      </c>
      <c r="FL14" s="244" cm="1">
        <f t="array" ref="FL14">TRANSPOSE(SUMIFS(Графики!$J$7:$J$306,Графики!$D$7:$D$306,'DCF (2)'!FL$6))</f>
        <v>0</v>
      </c>
      <c r="FM14" s="244" cm="1">
        <f t="array" ref="FM14">TRANSPOSE(SUMIFS(Графики!$J$7:$J$306,Графики!$D$7:$D$306,'DCF (2)'!FM$6))</f>
        <v>0</v>
      </c>
      <c r="FN14" s="244" cm="1">
        <f t="array" ref="FN14">TRANSPOSE(SUMIFS(Графики!$J$7:$J$306,Графики!$D$7:$D$306,'DCF (2)'!FN$6))</f>
        <v>0</v>
      </c>
      <c r="FO14" s="244" cm="1">
        <f t="array" ref="FO14">TRANSPOSE(SUMIFS(Графики!$J$7:$J$306,Графики!$D$7:$D$306,'DCF (2)'!FO$6))</f>
        <v>0</v>
      </c>
      <c r="FP14" s="244" cm="1">
        <f t="array" ref="FP14">TRANSPOSE(SUMIFS(Графики!$J$7:$J$306,Графики!$D$7:$D$306,'DCF (2)'!FP$6))</f>
        <v>0</v>
      </c>
      <c r="FQ14" s="244" cm="1">
        <f t="array" ref="FQ14">TRANSPOSE(SUMIFS(Графики!$J$7:$J$306,Графики!$D$7:$D$306,'DCF (2)'!FQ$6))</f>
        <v>0</v>
      </c>
      <c r="FR14" s="244" cm="1">
        <f t="array" ref="FR14">TRANSPOSE(SUMIFS(Графики!$J$7:$J$306,Графики!$D$7:$D$306,'DCF (2)'!FR$6))</f>
        <v>0</v>
      </c>
      <c r="FS14" s="244" cm="1">
        <f t="array" ref="FS14">TRANSPOSE(SUMIFS(Графики!$J$7:$J$306,Графики!$D$7:$D$306,'DCF (2)'!FS$6))</f>
        <v>0</v>
      </c>
      <c r="FT14" s="244" cm="1">
        <f t="array" ref="FT14">TRANSPOSE(SUMIFS(Графики!$J$7:$J$306,Графики!$D$7:$D$306,'DCF (2)'!FT$6))</f>
        <v>0</v>
      </c>
      <c r="FU14" s="244" cm="1">
        <f t="array" ref="FU14">TRANSPOSE(SUMIFS(Графики!$J$7:$J$306,Графики!$D$7:$D$306,'DCF (2)'!FU$6))</f>
        <v>0</v>
      </c>
      <c r="FV14" s="244" cm="1">
        <f t="array" ref="FV14">TRANSPOSE(SUMIFS(Графики!$J$7:$J$306,Графики!$D$7:$D$306,'DCF (2)'!FV$6))</f>
        <v>0</v>
      </c>
      <c r="FW14" s="244" cm="1">
        <f t="array" ref="FW14">TRANSPOSE(SUMIFS(Графики!$J$7:$J$306,Графики!$D$7:$D$306,'DCF (2)'!FW$6))</f>
        <v>0</v>
      </c>
      <c r="FX14" s="244" cm="1">
        <f t="array" ref="FX14">TRANSPOSE(SUMIFS(Графики!$J$7:$J$306,Графики!$D$7:$D$306,'DCF (2)'!FX$6))</f>
        <v>0</v>
      </c>
      <c r="FY14" s="244" cm="1">
        <f t="array" ref="FY14">TRANSPOSE(SUMIFS(Графики!$J$7:$J$306,Графики!$D$7:$D$306,'DCF (2)'!FY$6))</f>
        <v>0</v>
      </c>
      <c r="FZ14" s="244" cm="1">
        <f t="array" ref="FZ14">TRANSPOSE(SUMIFS(Графики!$J$7:$J$306,Графики!$D$7:$D$306,'DCF (2)'!FZ$6))</f>
        <v>0</v>
      </c>
      <c r="GA14" s="244" cm="1">
        <f t="array" ref="GA14">TRANSPOSE(SUMIFS(Графики!$J$7:$J$306,Графики!$D$7:$D$306,'DCF (2)'!GA$6))</f>
        <v>0</v>
      </c>
      <c r="GB14" s="244" cm="1">
        <f t="array" ref="GB14">TRANSPOSE(SUMIFS(Графики!$J$7:$J$306,Графики!$D$7:$D$306,'DCF (2)'!GB$6))</f>
        <v>0</v>
      </c>
      <c r="GC14" s="244" cm="1">
        <f t="array" ref="GC14">TRANSPOSE(SUMIFS(Графики!$J$7:$J$306,Графики!$D$7:$D$306,'DCF (2)'!GC$6))</f>
        <v>0</v>
      </c>
      <c r="GD14" s="244" cm="1">
        <f t="array" ref="GD14">TRANSPOSE(SUMIFS(Графики!$J$7:$J$306,Графики!$D$7:$D$306,'DCF (2)'!GD$6))</f>
        <v>0</v>
      </c>
      <c r="GE14" s="244" cm="1">
        <f t="array" ref="GE14">TRANSPOSE(SUMIFS(Графики!$J$7:$J$306,Графики!$D$7:$D$306,'DCF (2)'!GE$6))</f>
        <v>0</v>
      </c>
      <c r="GF14" s="244" cm="1">
        <f t="array" ref="GF14">TRANSPOSE(SUMIFS(Графики!$J$7:$J$306,Графики!$D$7:$D$306,'DCF (2)'!GF$6))</f>
        <v>0</v>
      </c>
      <c r="GG14" s="244" cm="1">
        <f t="array" ref="GG14">TRANSPOSE(SUMIFS(Графики!$J$7:$J$306,Графики!$D$7:$D$306,'DCF (2)'!GG$6))</f>
        <v>0</v>
      </c>
      <c r="GH14" s="244" cm="1">
        <f t="array" ref="GH14">TRANSPOSE(SUMIFS(Графики!$J$7:$J$306,Графики!$D$7:$D$306,'DCF (2)'!GH$6))</f>
        <v>0</v>
      </c>
      <c r="GI14" s="244" cm="1">
        <f t="array" ref="GI14">TRANSPOSE(SUMIFS(Графики!$J$7:$J$306,Графики!$D$7:$D$306,'DCF (2)'!GI$6))</f>
        <v>0</v>
      </c>
      <c r="GJ14" s="244" cm="1">
        <f t="array" ref="GJ14">TRANSPOSE(SUMIFS(Графики!$J$7:$J$306,Графики!$D$7:$D$306,'DCF (2)'!GJ$6))</f>
        <v>0</v>
      </c>
      <c r="GK14" s="244" cm="1">
        <f t="array" ref="GK14">TRANSPOSE(SUMIFS(Графики!$J$7:$J$306,Графики!$D$7:$D$306,'DCF (2)'!GK$6))</f>
        <v>0</v>
      </c>
      <c r="GL14" s="244" cm="1">
        <f t="array" ref="GL14">TRANSPOSE(SUMIFS(Графики!$J$7:$J$306,Графики!$D$7:$D$306,'DCF (2)'!GL$6))</f>
        <v>0</v>
      </c>
      <c r="GM14" s="244" cm="1">
        <f t="array" ref="GM14">TRANSPOSE(SUMIFS(Графики!$J$7:$J$306,Графики!$D$7:$D$306,'DCF (2)'!GM$6))</f>
        <v>0</v>
      </c>
      <c r="GN14" s="244" cm="1">
        <f t="array" ref="GN14">TRANSPOSE(SUMIFS(Графики!$J$7:$J$306,Графики!$D$7:$D$306,'DCF (2)'!GN$6))</f>
        <v>0</v>
      </c>
      <c r="GO14" s="244" cm="1">
        <f t="array" ref="GO14">TRANSPOSE(SUMIFS(Графики!$J$7:$J$306,Графики!$D$7:$D$306,'DCF (2)'!GO$6))</f>
        <v>0</v>
      </c>
      <c r="GP14" s="244" cm="1">
        <f t="array" ref="GP14">TRANSPOSE(SUMIFS(Графики!$J$7:$J$306,Графики!$D$7:$D$306,'DCF (2)'!GP$6))</f>
        <v>0</v>
      </c>
      <c r="GQ14" s="244" cm="1">
        <f t="array" ref="GQ14">TRANSPOSE(SUMIFS(Графики!$J$7:$J$306,Графики!$D$7:$D$306,'DCF (2)'!GQ$6))</f>
        <v>0</v>
      </c>
      <c r="GR14" s="244" cm="1">
        <f t="array" ref="GR14">TRANSPOSE(SUMIFS(Графики!$J$7:$J$306,Графики!$D$7:$D$306,'DCF (2)'!GR$6))</f>
        <v>0</v>
      </c>
      <c r="GS14" s="244" cm="1">
        <f t="array" ref="GS14">TRANSPOSE(SUMIFS(Графики!$J$7:$J$306,Графики!$D$7:$D$306,'DCF (2)'!GS$6))</f>
        <v>0</v>
      </c>
      <c r="GT14" s="244" cm="1">
        <f t="array" ref="GT14">TRANSPOSE(SUMIFS(Графики!$J$7:$J$306,Графики!$D$7:$D$306,'DCF (2)'!GT$6))</f>
        <v>0</v>
      </c>
      <c r="GU14" s="244" cm="1">
        <f t="array" ref="GU14">TRANSPOSE(SUMIFS(Графики!$J$7:$J$306,Графики!$D$7:$D$306,'DCF (2)'!GU$6))</f>
        <v>0</v>
      </c>
      <c r="GV14" s="244" cm="1">
        <f t="array" ref="GV14">TRANSPOSE(SUMIFS(Графики!$J$7:$J$306,Графики!$D$7:$D$306,'DCF (2)'!GV$6))</f>
        <v>0</v>
      </c>
      <c r="GW14" s="244" cm="1">
        <f t="array" ref="GW14">TRANSPOSE(SUMIFS(Графики!$J$7:$J$306,Графики!$D$7:$D$306,'DCF (2)'!GW$6))</f>
        <v>0</v>
      </c>
      <c r="GX14" s="244" cm="1">
        <f t="array" ref="GX14">TRANSPOSE(SUMIFS(Графики!$J$7:$J$306,Графики!$D$7:$D$306,'DCF (2)'!GX$6))</f>
        <v>0</v>
      </c>
      <c r="GY14" s="244" cm="1">
        <f t="array" ref="GY14">TRANSPOSE(SUMIFS(Графики!$J$7:$J$306,Графики!$D$7:$D$306,'DCF (2)'!GY$6))</f>
        <v>0</v>
      </c>
      <c r="GZ14" s="244" cm="1">
        <f t="array" ref="GZ14">TRANSPOSE(SUMIFS(Графики!$J$7:$J$306,Графики!$D$7:$D$306,'DCF (2)'!GZ$6))</f>
        <v>0</v>
      </c>
      <c r="HA14" s="244" cm="1">
        <f t="array" ref="HA14">TRANSPOSE(SUMIFS(Графики!$J$7:$J$306,Графики!$D$7:$D$306,'DCF (2)'!HA$6))</f>
        <v>0</v>
      </c>
      <c r="HB14" s="244" cm="1">
        <f t="array" ref="HB14">TRANSPOSE(SUMIFS(Графики!$J$7:$J$306,Графики!$D$7:$D$306,'DCF (2)'!HB$6))</f>
        <v>0</v>
      </c>
      <c r="HC14" s="244" cm="1">
        <f t="array" ref="HC14">TRANSPOSE(SUMIFS(Графики!$J$7:$J$306,Графики!$D$7:$D$306,'DCF (2)'!HC$6))</f>
        <v>0</v>
      </c>
      <c r="HD14" s="244" cm="1">
        <f t="array" ref="HD14">TRANSPOSE(SUMIFS(Графики!$J$7:$J$306,Графики!$D$7:$D$306,'DCF (2)'!HD$6))</f>
        <v>0</v>
      </c>
      <c r="HE14" s="244" cm="1">
        <f t="array" ref="HE14">TRANSPOSE(SUMIFS(Графики!$J$7:$J$306,Графики!$D$7:$D$306,'DCF (2)'!HE$6))</f>
        <v>0</v>
      </c>
      <c r="HF14" s="244" cm="1">
        <f t="array" ref="HF14">TRANSPOSE(SUMIFS(Графики!$J$7:$J$306,Графики!$D$7:$D$306,'DCF (2)'!HF$6))</f>
        <v>0</v>
      </c>
      <c r="HG14" s="244" cm="1">
        <f t="array" ref="HG14">TRANSPOSE(SUMIFS(Графики!$J$7:$J$306,Графики!$D$7:$D$306,'DCF (2)'!HG$6))</f>
        <v>0</v>
      </c>
      <c r="HH14" s="244" cm="1">
        <f t="array" ref="HH14">TRANSPOSE(SUMIFS(Графики!$J$7:$J$306,Графики!$D$7:$D$306,'DCF (2)'!HH$6))</f>
        <v>0</v>
      </c>
      <c r="HI14" s="244" cm="1">
        <f t="array" ref="HI14">TRANSPOSE(SUMIFS(Графики!$J$7:$J$306,Графики!$D$7:$D$306,'DCF (2)'!HI$6))</f>
        <v>0</v>
      </c>
      <c r="HJ14" s="244" cm="1">
        <f t="array" ref="HJ14">TRANSPOSE(SUMIFS(Графики!$J$7:$J$306,Графики!$D$7:$D$306,'DCF (2)'!HJ$6))</f>
        <v>0</v>
      </c>
      <c r="HK14" s="244" cm="1">
        <f t="array" ref="HK14">TRANSPOSE(SUMIFS(Графики!$J$7:$J$306,Графики!$D$7:$D$306,'DCF (2)'!HK$6))</f>
        <v>0</v>
      </c>
      <c r="HL14" s="244" cm="1">
        <f t="array" ref="HL14">TRANSPOSE(SUMIFS(Графики!$J$7:$J$306,Графики!$D$7:$D$306,'DCF (2)'!HL$6))</f>
        <v>0</v>
      </c>
      <c r="HM14" s="244" cm="1">
        <f t="array" ref="HM14">TRANSPOSE(SUMIFS(Графики!$J$7:$J$306,Графики!$D$7:$D$306,'DCF (2)'!HM$6))</f>
        <v>0</v>
      </c>
      <c r="HN14" s="244" cm="1">
        <f t="array" ref="HN14">TRANSPOSE(SUMIFS(Графики!$J$7:$J$306,Графики!$D$7:$D$306,'DCF (2)'!HN$6))</f>
        <v>0</v>
      </c>
      <c r="HO14" s="244" cm="1">
        <f t="array" ref="HO14">TRANSPOSE(SUMIFS(Графики!$J$7:$J$306,Графики!$D$7:$D$306,'DCF (2)'!HO$6))</f>
        <v>0</v>
      </c>
      <c r="HP14" s="244" cm="1">
        <f t="array" ref="HP14">TRANSPOSE(SUMIFS(Графики!$J$7:$J$306,Графики!$D$7:$D$306,'DCF (2)'!HP$6))</f>
        <v>0</v>
      </c>
      <c r="HQ14" s="244" cm="1">
        <f t="array" ref="HQ14">TRANSPOSE(SUMIFS(Графики!$J$7:$J$306,Графики!$D$7:$D$306,'DCF (2)'!HQ$6))</f>
        <v>0</v>
      </c>
      <c r="HR14" s="244" cm="1">
        <f t="array" ref="HR14">TRANSPOSE(SUMIFS(Графики!$J$7:$J$306,Графики!$D$7:$D$306,'DCF (2)'!HR$6))</f>
        <v>0</v>
      </c>
      <c r="HS14" s="244" cm="1">
        <f t="array" ref="HS14">TRANSPOSE(SUMIFS(Графики!$J$7:$J$306,Графики!$D$7:$D$306,'DCF (2)'!HS$6))</f>
        <v>0</v>
      </c>
      <c r="HT14" s="244" cm="1">
        <f t="array" ref="HT14">TRANSPOSE(SUMIFS(Графики!$J$7:$J$306,Графики!$D$7:$D$306,'DCF (2)'!HT$6))</f>
        <v>0</v>
      </c>
      <c r="HU14" s="244" cm="1">
        <f t="array" ref="HU14">TRANSPOSE(SUMIFS(Графики!$J$7:$J$306,Графики!$D$7:$D$306,'DCF (2)'!HU$6))</f>
        <v>0</v>
      </c>
      <c r="HV14" s="244" cm="1">
        <f t="array" ref="HV14">TRANSPOSE(SUMIFS(Графики!$J$7:$J$306,Графики!$D$7:$D$306,'DCF (2)'!HV$6))</f>
        <v>0</v>
      </c>
      <c r="HW14" s="244" cm="1">
        <f t="array" ref="HW14">TRANSPOSE(SUMIFS(Графики!$J$7:$J$306,Графики!$D$7:$D$306,'DCF (2)'!HW$6))</f>
        <v>0</v>
      </c>
      <c r="HX14" s="244" cm="1">
        <f t="array" ref="HX14">TRANSPOSE(SUMIFS(Графики!$J$7:$J$306,Графики!$D$7:$D$306,'DCF (2)'!HX$6))</f>
        <v>0</v>
      </c>
      <c r="HY14" s="244" cm="1">
        <f t="array" ref="HY14">TRANSPOSE(SUMIFS(Графики!$J$7:$J$306,Графики!$D$7:$D$306,'DCF (2)'!HY$6))</f>
        <v>0</v>
      </c>
      <c r="HZ14" s="244" cm="1">
        <f t="array" ref="HZ14">TRANSPOSE(SUMIFS(Графики!$J$7:$J$306,Графики!$D$7:$D$306,'DCF (2)'!HZ$6))</f>
        <v>0</v>
      </c>
      <c r="IA14" s="244" cm="1">
        <f t="array" ref="IA14">TRANSPOSE(SUMIFS(Графики!$J$7:$J$306,Графики!$D$7:$D$306,'DCF (2)'!IA$6))</f>
        <v>0</v>
      </c>
      <c r="IB14" s="244" cm="1">
        <f t="array" ref="IB14">TRANSPOSE(SUMIFS(Графики!$J$7:$J$306,Графики!$D$7:$D$306,'DCF (2)'!IB$6))</f>
        <v>0</v>
      </c>
      <c r="IC14" s="244" cm="1">
        <f t="array" ref="IC14">TRANSPOSE(SUMIFS(Графики!$J$7:$J$306,Графики!$D$7:$D$306,'DCF (2)'!IC$6))</f>
        <v>0</v>
      </c>
      <c r="ID14" s="244" cm="1">
        <f t="array" ref="ID14">TRANSPOSE(SUMIFS(Графики!$J$7:$J$306,Графики!$D$7:$D$306,'DCF (2)'!ID$6))</f>
        <v>0</v>
      </c>
      <c r="IE14" s="244" cm="1">
        <f t="array" ref="IE14">TRANSPOSE(SUMIFS(Графики!$J$7:$J$306,Графики!$D$7:$D$306,'DCF (2)'!IE$6))</f>
        <v>0</v>
      </c>
      <c r="IF14" s="244" cm="1">
        <f t="array" ref="IF14">TRANSPOSE(SUMIFS(Графики!$J$7:$J$306,Графики!$D$7:$D$306,'DCF (2)'!IF$6))</f>
        <v>0</v>
      </c>
      <c r="IG14" s="244" cm="1">
        <f t="array" ref="IG14">TRANSPOSE(SUMIFS(Графики!$J$7:$J$306,Графики!$D$7:$D$306,'DCF (2)'!IG$6))</f>
        <v>0</v>
      </c>
      <c r="IH14" s="244" cm="1">
        <f t="array" ref="IH14">TRANSPOSE(SUMIFS(Графики!$J$7:$J$306,Графики!$D$7:$D$306,'DCF (2)'!IH$6))</f>
        <v>0</v>
      </c>
      <c r="II14" s="244" cm="1">
        <f t="array" ref="II14">TRANSPOSE(SUMIFS(Графики!$J$7:$J$306,Графики!$D$7:$D$306,'DCF (2)'!II$6))</f>
        <v>0</v>
      </c>
      <c r="IJ14" s="244" cm="1">
        <f t="array" ref="IJ14">TRANSPOSE(SUMIFS(Графики!$J$7:$J$306,Графики!$D$7:$D$306,'DCF (2)'!IJ$6))</f>
        <v>0</v>
      </c>
      <c r="IK14" s="244" cm="1">
        <f t="array" ref="IK14">TRANSPOSE(SUMIFS(Графики!$J$7:$J$306,Графики!$D$7:$D$306,'DCF (2)'!IK$6))</f>
        <v>0</v>
      </c>
      <c r="IL14" s="244" cm="1">
        <f t="array" ref="IL14">TRANSPOSE(SUMIFS(Графики!$J$7:$J$306,Графики!$D$7:$D$306,'DCF (2)'!IL$6))</f>
        <v>0</v>
      </c>
      <c r="IM14" s="244" cm="1">
        <f t="array" ref="IM14">TRANSPOSE(SUMIFS(Графики!$J$7:$J$306,Графики!$D$7:$D$306,'DCF (2)'!IM$6))</f>
        <v>0</v>
      </c>
      <c r="IN14" s="244" cm="1">
        <f t="array" ref="IN14">TRANSPOSE(SUMIFS(Графики!$J$7:$J$306,Графики!$D$7:$D$306,'DCF (2)'!IN$6))</f>
        <v>0</v>
      </c>
      <c r="IO14" s="244" cm="1">
        <f t="array" ref="IO14">TRANSPOSE(SUMIFS(Графики!$J$7:$J$306,Графики!$D$7:$D$306,'DCF (2)'!IO$6))</f>
        <v>0</v>
      </c>
      <c r="IP14" s="244" cm="1">
        <f t="array" ref="IP14">TRANSPOSE(SUMIFS(Графики!$J$7:$J$306,Графики!$D$7:$D$306,'DCF (2)'!IP$6))</f>
        <v>0</v>
      </c>
      <c r="IQ14" s="244" cm="1">
        <f t="array" ref="IQ14">TRANSPOSE(SUMIFS(Графики!$J$7:$J$306,Графики!$D$7:$D$306,'DCF (2)'!IQ$6))</f>
        <v>0</v>
      </c>
      <c r="IR14" s="244" cm="1">
        <f t="array" ref="IR14">TRANSPOSE(SUMIFS(Графики!$J$7:$J$306,Графики!$D$7:$D$306,'DCF (2)'!IR$6))</f>
        <v>0</v>
      </c>
      <c r="IS14" s="244" cm="1">
        <f t="array" ref="IS14">TRANSPOSE(SUMIFS(Графики!$J$7:$J$306,Графики!$D$7:$D$306,'DCF (2)'!IS$6))</f>
        <v>0</v>
      </c>
      <c r="IT14" s="244" cm="1">
        <f t="array" ref="IT14">TRANSPOSE(SUMIFS(Графики!$J$7:$J$306,Графики!$D$7:$D$306,'DCF (2)'!IT$6))</f>
        <v>0</v>
      </c>
      <c r="IU14" s="244" cm="1">
        <f t="array" ref="IU14">TRANSPOSE(SUMIFS(Графики!$J$7:$J$306,Графики!$D$7:$D$306,'DCF (2)'!IU$6))</f>
        <v>0</v>
      </c>
      <c r="IV14" s="244" cm="1">
        <f t="array" ref="IV14">TRANSPOSE(SUMIFS(Графики!$J$7:$J$306,Графики!$D$7:$D$306,'DCF (2)'!IV$6))</f>
        <v>0</v>
      </c>
      <c r="IW14" s="244" cm="1">
        <f t="array" ref="IW14">TRANSPOSE(SUMIFS(Графики!$J$7:$J$306,Графики!$D$7:$D$306,'DCF (2)'!IW$6))</f>
        <v>0</v>
      </c>
      <c r="IX14" s="244" cm="1">
        <f t="array" ref="IX14">TRANSPOSE(SUMIFS(Графики!$J$7:$J$306,Графики!$D$7:$D$306,'DCF (2)'!IX$6))</f>
        <v>0</v>
      </c>
      <c r="IY14" s="244" cm="1">
        <f t="array" ref="IY14">TRANSPOSE(SUMIFS(Графики!$J$7:$J$306,Графики!$D$7:$D$306,'DCF (2)'!IY$6))</f>
        <v>0</v>
      </c>
      <c r="IZ14" s="244" cm="1">
        <f t="array" ref="IZ14">TRANSPOSE(SUMIFS(Графики!$J$7:$J$306,Графики!$D$7:$D$306,'DCF (2)'!IZ$6))</f>
        <v>0</v>
      </c>
      <c r="JA14" s="244" cm="1">
        <f t="array" ref="JA14">TRANSPOSE(SUMIFS(Графики!$J$7:$J$306,Графики!$D$7:$D$306,'DCF (2)'!JA$6))</f>
        <v>0</v>
      </c>
      <c r="JB14" s="244" cm="1">
        <f t="array" ref="JB14">TRANSPOSE(SUMIFS(Графики!$J$7:$J$306,Графики!$D$7:$D$306,'DCF (2)'!JB$6))</f>
        <v>0</v>
      </c>
      <c r="JC14" s="244" cm="1">
        <f t="array" ref="JC14">TRANSPOSE(SUMIFS(Графики!$J$7:$J$306,Графики!$D$7:$D$306,'DCF (2)'!JC$6))</f>
        <v>0</v>
      </c>
      <c r="JD14" s="244" cm="1">
        <f t="array" ref="JD14">TRANSPOSE(SUMIFS(Графики!$J$7:$J$306,Графики!$D$7:$D$306,'DCF (2)'!JD$6))</f>
        <v>0</v>
      </c>
      <c r="JE14" s="244" cm="1">
        <f t="array" ref="JE14">TRANSPOSE(SUMIFS(Графики!$J$7:$J$306,Графики!$D$7:$D$306,'DCF (2)'!JE$6))</f>
        <v>0</v>
      </c>
      <c r="JF14" s="244" cm="1">
        <f t="array" ref="JF14">TRANSPOSE(SUMIFS(Графики!$J$7:$J$306,Графики!$D$7:$D$306,'DCF (2)'!JF$6))</f>
        <v>0</v>
      </c>
      <c r="JG14" s="244" cm="1">
        <f t="array" ref="JG14">TRANSPOSE(SUMIFS(Графики!$J$7:$J$306,Графики!$D$7:$D$306,'DCF (2)'!JG$6))</f>
        <v>0</v>
      </c>
      <c r="JH14" s="244" cm="1">
        <f t="array" ref="JH14">TRANSPOSE(SUMIFS(Графики!$J$7:$J$306,Графики!$D$7:$D$306,'DCF (2)'!JH$6))</f>
        <v>0</v>
      </c>
      <c r="JI14" s="244" cm="1">
        <f t="array" ref="JI14">TRANSPOSE(SUMIFS(Графики!$J$7:$J$306,Графики!$D$7:$D$306,'DCF (2)'!JI$6))</f>
        <v>0</v>
      </c>
      <c r="JJ14" s="244" cm="1">
        <f t="array" ref="JJ14">TRANSPOSE(SUMIFS(Графики!$J$7:$J$306,Графики!$D$7:$D$306,'DCF (2)'!JJ$6))</f>
        <v>0</v>
      </c>
      <c r="JK14" s="244" cm="1">
        <f t="array" ref="JK14">TRANSPOSE(SUMIFS(Графики!$J$7:$J$306,Графики!$D$7:$D$306,'DCF (2)'!JK$6))</f>
        <v>0</v>
      </c>
      <c r="JL14" s="244" cm="1">
        <f t="array" ref="JL14">TRANSPOSE(SUMIFS(Графики!$J$7:$J$306,Графики!$D$7:$D$306,'DCF (2)'!JL$6))</f>
        <v>0</v>
      </c>
      <c r="JM14" s="244" cm="1">
        <f t="array" ref="JM14">TRANSPOSE(SUMIFS(Графики!$J$7:$J$306,Графики!$D$7:$D$306,'DCF (2)'!JM$6))</f>
        <v>0</v>
      </c>
      <c r="JN14" s="244" cm="1">
        <f t="array" ref="JN14">TRANSPOSE(SUMIFS(Графики!$J$7:$J$306,Графики!$D$7:$D$306,'DCF (2)'!JN$6))</f>
        <v>0</v>
      </c>
      <c r="JO14" s="244" cm="1">
        <f t="array" ref="JO14">TRANSPOSE(SUMIFS(Графики!$J$7:$J$306,Графики!$D$7:$D$306,'DCF (2)'!JO$6))</f>
        <v>0</v>
      </c>
      <c r="JP14" s="244" cm="1">
        <f t="array" ref="JP14">TRANSPOSE(SUMIFS(Графики!$J$7:$J$306,Графики!$D$7:$D$306,'DCF (2)'!JP$6))</f>
        <v>0</v>
      </c>
      <c r="JQ14" s="244" cm="1">
        <f t="array" ref="JQ14">TRANSPOSE(SUMIFS(Графики!$J$7:$J$306,Графики!$D$7:$D$306,'DCF (2)'!JQ$6))</f>
        <v>0</v>
      </c>
      <c r="JR14" s="244" cm="1">
        <f t="array" ref="JR14">TRANSPOSE(SUMIFS(Графики!$J$7:$J$306,Графики!$D$7:$D$306,'DCF (2)'!JR$6))</f>
        <v>0</v>
      </c>
      <c r="JS14" s="244" cm="1">
        <f t="array" ref="JS14">TRANSPOSE(SUMIFS(Графики!$J$7:$J$306,Графики!$D$7:$D$306,'DCF (2)'!JS$6))</f>
        <v>0</v>
      </c>
      <c r="JT14" s="244" cm="1">
        <f t="array" ref="JT14">TRANSPOSE(SUMIFS(Графики!$J$7:$J$306,Графики!$D$7:$D$306,'DCF (2)'!JT$6))</f>
        <v>0</v>
      </c>
      <c r="JU14" s="244" cm="1">
        <f t="array" ref="JU14">TRANSPOSE(SUMIFS(Графики!$J$7:$J$306,Графики!$D$7:$D$306,'DCF (2)'!JU$6))</f>
        <v>0</v>
      </c>
      <c r="JV14" s="244" cm="1">
        <f t="array" ref="JV14">TRANSPOSE(SUMIFS(Графики!$J$7:$J$306,Графики!$D$7:$D$306,'DCF (2)'!JV$6))</f>
        <v>0</v>
      </c>
      <c r="JW14" s="244" cm="1">
        <f t="array" ref="JW14">TRANSPOSE(SUMIFS(Графики!$J$7:$J$306,Графики!$D$7:$D$306,'DCF (2)'!JW$6))</f>
        <v>0</v>
      </c>
      <c r="JX14" s="244" cm="1">
        <f t="array" ref="JX14">TRANSPOSE(SUMIFS(Графики!$J$7:$J$306,Графики!$D$7:$D$306,'DCF (2)'!JX$6))</f>
        <v>0</v>
      </c>
      <c r="JY14" s="244" cm="1">
        <f t="array" ref="JY14">TRANSPOSE(SUMIFS(Графики!$J$7:$J$306,Графики!$D$7:$D$306,'DCF (2)'!JY$6))</f>
        <v>0</v>
      </c>
      <c r="JZ14" s="244" cm="1">
        <f t="array" ref="JZ14">TRANSPOSE(SUMIFS(Графики!$J$7:$J$306,Графики!$D$7:$D$306,'DCF (2)'!JZ$6))</f>
        <v>0</v>
      </c>
      <c r="KA14" s="244" cm="1">
        <f t="array" ref="KA14">TRANSPOSE(SUMIFS(Графики!$J$7:$J$306,Графики!$D$7:$D$306,'DCF (2)'!KA$6))</f>
        <v>0</v>
      </c>
      <c r="KB14" s="244" cm="1">
        <f t="array" ref="KB14">TRANSPOSE(SUMIFS(Графики!$J$7:$J$306,Графики!$D$7:$D$306,'DCF (2)'!KB$6))</f>
        <v>0</v>
      </c>
      <c r="KC14" s="244" cm="1">
        <f t="array" ref="KC14">TRANSPOSE(SUMIFS(Графики!$J$7:$J$306,Графики!$D$7:$D$306,'DCF (2)'!KC$6))</f>
        <v>0</v>
      </c>
      <c r="KD14" s="244" cm="1">
        <f t="array" ref="KD14">TRANSPOSE(SUMIFS(Графики!$J$7:$J$306,Графики!$D$7:$D$306,'DCF (2)'!KD$6))</f>
        <v>0</v>
      </c>
      <c r="KE14" s="244" cm="1">
        <f t="array" ref="KE14">TRANSPOSE(SUMIFS(Графики!$J$7:$J$306,Графики!$D$7:$D$306,'DCF (2)'!KE$6))</f>
        <v>0</v>
      </c>
      <c r="KF14" s="244" cm="1">
        <f t="array" ref="KF14">TRANSPOSE(SUMIFS(Графики!$J$7:$J$306,Графики!$D$7:$D$306,'DCF (2)'!KF$6))</f>
        <v>0</v>
      </c>
      <c r="KG14" s="244" cm="1">
        <f t="array" ref="KG14">TRANSPOSE(SUMIFS(Графики!$J$7:$J$306,Графики!$D$7:$D$306,'DCF (2)'!KG$6))</f>
        <v>0</v>
      </c>
      <c r="KH14" s="244" cm="1">
        <f t="array" ref="KH14">TRANSPOSE(SUMIFS(Графики!$J$7:$J$306,Графики!$D$7:$D$306,'DCF (2)'!KH$6))</f>
        <v>0</v>
      </c>
      <c r="KI14" s="244" cm="1">
        <f t="array" ref="KI14">TRANSPOSE(SUMIFS(Графики!$J$7:$J$306,Графики!$D$7:$D$306,'DCF (2)'!KI$6))</f>
        <v>0</v>
      </c>
      <c r="KJ14" s="244" cm="1">
        <f t="array" ref="KJ14">TRANSPOSE(SUMIFS(Графики!$J$7:$J$306,Графики!$D$7:$D$306,'DCF (2)'!KJ$6))</f>
        <v>0</v>
      </c>
      <c r="KK14" s="244" cm="1">
        <f t="array" ref="KK14">TRANSPOSE(SUMIFS(Графики!$J$7:$J$306,Графики!$D$7:$D$306,'DCF (2)'!KK$6))</f>
        <v>0</v>
      </c>
      <c r="KL14" s="244" cm="1">
        <f t="array" ref="KL14">TRANSPOSE(SUMIFS(Графики!$J$7:$J$306,Графики!$D$7:$D$306,'DCF (2)'!KL$6))</f>
        <v>0</v>
      </c>
      <c r="KM14" s="244" cm="1">
        <f t="array" ref="KM14">TRANSPOSE(SUMIFS(Графики!$J$7:$J$306,Графики!$D$7:$D$306,'DCF (2)'!KM$6))</f>
        <v>0</v>
      </c>
      <c r="KN14" s="244" cm="1">
        <f t="array" ref="KN14">TRANSPOSE(SUMIFS(Графики!$J$7:$J$306,Графики!$D$7:$D$306,'DCF (2)'!KN$6))</f>
        <v>0</v>
      </c>
      <c r="KO14" s="244" cm="1">
        <f t="array" ref="KO14">TRANSPOSE(SUMIFS(Графики!$J$7:$J$306,Графики!$D$7:$D$306,'DCF (2)'!KO$6))</f>
        <v>0</v>
      </c>
      <c r="KP14" s="244" cm="1">
        <f t="array" ref="KP14">TRANSPOSE(SUMIFS(Графики!$J$7:$J$306,Графики!$D$7:$D$306,'DCF (2)'!KP$6))</f>
        <v>0</v>
      </c>
      <c r="KQ14" s="244" cm="1">
        <f t="array" ref="KQ14">TRANSPOSE(SUMIFS(Графики!$J$7:$J$306,Графики!$D$7:$D$306,'DCF (2)'!KQ$6))</f>
        <v>0</v>
      </c>
    </row>
    <row r="15" spans="2:303" x14ac:dyDescent="0.35">
      <c r="B15" s="245" t="s">
        <v>111</v>
      </c>
      <c r="C15" s="239">
        <f t="shared" si="20"/>
        <v>-53855721754.243362</v>
      </c>
      <c r="D15" s="246">
        <f t="shared" ref="D15:BO15" si="36">D11-SUM(D12:D14)</f>
        <v>321399000</v>
      </c>
      <c r="E15" s="246">
        <f t="shared" si="36"/>
        <v>139946714.1663819</v>
      </c>
      <c r="F15" s="246">
        <f t="shared" si="36"/>
        <v>122753927.69396815</v>
      </c>
      <c r="G15" s="246">
        <f t="shared" si="36"/>
        <v>139946714.1663819</v>
      </c>
      <c r="H15" s="246">
        <f t="shared" si="36"/>
        <v>150660014.1663819</v>
      </c>
      <c r="I15" s="246">
        <f t="shared" si="36"/>
        <v>72983132.416095465</v>
      </c>
      <c r="J15" s="246">
        <f t="shared" si="36"/>
        <v>-605391176.80702674</v>
      </c>
      <c r="K15" s="246">
        <f t="shared" si="36"/>
        <v>-605391176.80702674</v>
      </c>
      <c r="L15" s="246">
        <f t="shared" si="36"/>
        <v>-611870663.27944052</v>
      </c>
      <c r="M15" s="246">
        <f t="shared" si="36"/>
        <v>-594677876.80702674</v>
      </c>
      <c r="N15" s="246">
        <f t="shared" si="36"/>
        <v>-594677876.80702674</v>
      </c>
      <c r="O15" s="246">
        <f t="shared" si="36"/>
        <v>-739897831.55430138</v>
      </c>
      <c r="P15" s="246">
        <f t="shared" si="36"/>
        <v>-382983543.33447242</v>
      </c>
      <c r="Q15" s="246">
        <f t="shared" si="36"/>
        <v>-372270243.33447242</v>
      </c>
      <c r="R15" s="246">
        <f t="shared" si="36"/>
        <v>-389463029.8068862</v>
      </c>
      <c r="S15" s="246">
        <f t="shared" si="36"/>
        <v>-372270243.33447242</v>
      </c>
      <c r="T15" s="246">
        <f t="shared" si="36"/>
        <v>-372270243.33447242</v>
      </c>
      <c r="U15" s="246">
        <f t="shared" si="36"/>
        <v>-389463029.8068862</v>
      </c>
      <c r="V15" s="246">
        <f t="shared" si="36"/>
        <v>43762906.665527463</v>
      </c>
      <c r="W15" s="246">
        <f t="shared" si="36"/>
        <v>43762906.665527463</v>
      </c>
      <c r="X15" s="246">
        <f t="shared" si="36"/>
        <v>26570120.193113707</v>
      </c>
      <c r="Y15" s="246">
        <f t="shared" si="36"/>
        <v>43762906.665527463</v>
      </c>
      <c r="Z15" s="246">
        <f t="shared" si="36"/>
        <v>43762906.665527463</v>
      </c>
      <c r="AA15" s="246">
        <f t="shared" si="36"/>
        <v>-313151381.5543015</v>
      </c>
      <c r="AB15" s="246">
        <f t="shared" si="36"/>
        <v>-725809143.33447242</v>
      </c>
      <c r="AC15" s="246">
        <f t="shared" si="36"/>
        <v>-725809143.33447242</v>
      </c>
      <c r="AD15" s="246">
        <f t="shared" si="36"/>
        <v>-743001929.8068862</v>
      </c>
      <c r="AE15" s="246">
        <f t="shared" si="36"/>
        <v>-725809143.33447242</v>
      </c>
      <c r="AF15" s="246">
        <f t="shared" si="36"/>
        <v>-725809143.33447242</v>
      </c>
      <c r="AG15" s="246">
        <f t="shared" si="36"/>
        <v>-803486025.08475876</v>
      </c>
      <c r="AH15" s="246">
        <f t="shared" si="36"/>
        <v>-786293238.61234498</v>
      </c>
      <c r="AI15" s="246">
        <f t="shared" si="36"/>
        <v>-786293238.61234498</v>
      </c>
      <c r="AJ15" s="246">
        <f t="shared" si="36"/>
        <v>-803486025.08475876</v>
      </c>
      <c r="AK15" s="246">
        <f t="shared" si="36"/>
        <v>-816535286.25128138</v>
      </c>
      <c r="AL15" s="246">
        <f t="shared" si="36"/>
        <v>-816535286.25128138</v>
      </c>
      <c r="AM15" s="246">
        <f t="shared" si="36"/>
        <v>-1173449574.4711103</v>
      </c>
      <c r="AN15" s="246">
        <f t="shared" si="36"/>
        <v>-816535286.25128138</v>
      </c>
      <c r="AO15" s="246">
        <f t="shared" si="36"/>
        <v>-816535286.25128138</v>
      </c>
      <c r="AP15" s="246">
        <f t="shared" si="36"/>
        <v>-833728072.72369516</v>
      </c>
      <c r="AQ15" s="246">
        <f t="shared" si="36"/>
        <v>-816535286.25128138</v>
      </c>
      <c r="AR15" s="246">
        <f t="shared" si="36"/>
        <v>-816535286.25128138</v>
      </c>
      <c r="AS15" s="246">
        <f t="shared" si="36"/>
        <v>-833728072.72369516</v>
      </c>
      <c r="AT15" s="246">
        <f t="shared" si="36"/>
        <v>-816535286.25128138</v>
      </c>
      <c r="AU15" s="246">
        <f t="shared" si="36"/>
        <v>-816535286.25128138</v>
      </c>
      <c r="AV15" s="246">
        <f t="shared" si="36"/>
        <v>-833728072.72369516</v>
      </c>
      <c r="AW15" s="246">
        <f t="shared" si="36"/>
        <v>-816535286.25128138</v>
      </c>
      <c r="AX15" s="246">
        <f t="shared" si="36"/>
        <v>-816535286.25128138</v>
      </c>
      <c r="AY15" s="246">
        <f t="shared" si="36"/>
        <v>-1173449574.4711103</v>
      </c>
      <c r="AZ15" s="246">
        <f t="shared" si="36"/>
        <v>-816535286.25128138</v>
      </c>
      <c r="BA15" s="246">
        <f t="shared" si="36"/>
        <v>-816535286.25128138</v>
      </c>
      <c r="BB15" s="246">
        <f t="shared" si="36"/>
        <v>-833728072.72369516</v>
      </c>
      <c r="BC15" s="246">
        <f t="shared" si="36"/>
        <v>-816535286.25128138</v>
      </c>
      <c r="BD15" s="246">
        <f t="shared" si="36"/>
        <v>-816535286.25128138</v>
      </c>
      <c r="BE15" s="246">
        <f t="shared" si="36"/>
        <v>-833728072.72369516</v>
      </c>
      <c r="BF15" s="246">
        <f t="shared" si="36"/>
        <v>-816535286.25128138</v>
      </c>
      <c r="BG15" s="246">
        <f t="shared" si="36"/>
        <v>-816535286.25128138</v>
      </c>
      <c r="BH15" s="246">
        <f t="shared" si="36"/>
        <v>-833728072.72369516</v>
      </c>
      <c r="BI15" s="246">
        <f t="shared" si="36"/>
        <v>-816535286.25128138</v>
      </c>
      <c r="BJ15" s="246">
        <f t="shared" si="36"/>
        <v>-816535286.25128138</v>
      </c>
      <c r="BK15" s="246">
        <f t="shared" si="36"/>
        <v>-1173449574.4711103</v>
      </c>
      <c r="BL15" s="246">
        <f t="shared" si="36"/>
        <v>-816535286.25128138</v>
      </c>
      <c r="BM15" s="246">
        <f t="shared" si="36"/>
        <v>-816535286.25128138</v>
      </c>
      <c r="BN15" s="246">
        <f t="shared" si="36"/>
        <v>-833728072.72369516</v>
      </c>
      <c r="BO15" s="246">
        <f t="shared" si="36"/>
        <v>-816535286.25128138</v>
      </c>
      <c r="BP15" s="246">
        <f t="shared" ref="BP15:EA15" si="37">BP11-SUM(BP12:BP14)</f>
        <v>-816535286.25128138</v>
      </c>
      <c r="BQ15" s="246">
        <f t="shared" si="37"/>
        <v>-833728072.72369516</v>
      </c>
      <c r="BR15" s="246">
        <f t="shared" si="37"/>
        <v>-816535286.25128138</v>
      </c>
      <c r="BS15" s="246">
        <f t="shared" si="37"/>
        <v>-816535286.25128138</v>
      </c>
      <c r="BT15" s="246">
        <f t="shared" si="37"/>
        <v>-833728072.72369516</v>
      </c>
      <c r="BU15" s="246">
        <f t="shared" si="37"/>
        <v>-816535286.25128138</v>
      </c>
      <c r="BV15" s="246">
        <f t="shared" si="37"/>
        <v>-816535286.25128138</v>
      </c>
      <c r="BW15" s="246">
        <f t="shared" si="37"/>
        <v>-1173449574.4711103</v>
      </c>
      <c r="BX15" s="246">
        <f t="shared" si="37"/>
        <v>-816535286.25128138</v>
      </c>
      <c r="BY15" s="246">
        <f t="shared" si="37"/>
        <v>-816535286.25128138</v>
      </c>
      <c r="BZ15" s="246">
        <f t="shared" si="37"/>
        <v>-850920859.19610894</v>
      </c>
      <c r="CA15" s="246">
        <f t="shared" si="37"/>
        <v>-816535286.25128138</v>
      </c>
      <c r="CB15" s="246">
        <f t="shared" si="37"/>
        <v>-816535286.25128138</v>
      </c>
      <c r="CC15" s="246">
        <f t="shared" si="37"/>
        <v>-850920859.19610894</v>
      </c>
      <c r="CD15" s="246">
        <f t="shared" si="37"/>
        <v>-267858136.23057833</v>
      </c>
      <c r="CE15" s="246">
        <f t="shared" si="37"/>
        <v>-267858136.23057833</v>
      </c>
      <c r="CF15" s="246">
        <f t="shared" si="37"/>
        <v>-302243709.17540586</v>
      </c>
      <c r="CG15" s="246">
        <f t="shared" si="37"/>
        <v>-267858136.23057833</v>
      </c>
      <c r="CH15" s="246">
        <f t="shared" si="37"/>
        <v>-267858136.23057833</v>
      </c>
      <c r="CI15" s="246">
        <f t="shared" si="37"/>
        <v>-641965210.92282104</v>
      </c>
      <c r="CJ15" s="246">
        <f t="shared" si="37"/>
        <v>-267858136.23057833</v>
      </c>
      <c r="CK15" s="246">
        <f t="shared" si="37"/>
        <v>0</v>
      </c>
      <c r="CL15" s="246">
        <f t="shared" si="37"/>
        <v>-34385572.944827512</v>
      </c>
      <c r="CM15" s="246">
        <f t="shared" si="37"/>
        <v>0</v>
      </c>
      <c r="CN15" s="246">
        <f t="shared" si="37"/>
        <v>0</v>
      </c>
      <c r="CO15" s="246">
        <f t="shared" si="37"/>
        <v>-34385572.944827512</v>
      </c>
      <c r="CP15" s="246">
        <f t="shared" si="37"/>
        <v>0</v>
      </c>
      <c r="CQ15" s="246">
        <f t="shared" si="37"/>
        <v>0</v>
      </c>
      <c r="CR15" s="246">
        <f t="shared" si="37"/>
        <v>-34385572.944827512</v>
      </c>
      <c r="CS15" s="246">
        <f t="shared" si="37"/>
        <v>0</v>
      </c>
      <c r="CT15" s="246">
        <f t="shared" si="37"/>
        <v>0</v>
      </c>
      <c r="CU15" s="246">
        <f t="shared" si="37"/>
        <v>-1053550078.187073</v>
      </c>
      <c r="CV15" s="246">
        <f t="shared" si="37"/>
        <v>0</v>
      </c>
      <c r="CW15" s="246">
        <f t="shared" si="37"/>
        <v>0</v>
      </c>
      <c r="CX15" s="246">
        <f t="shared" si="37"/>
        <v>0</v>
      </c>
      <c r="CY15" s="246">
        <f t="shared" si="37"/>
        <v>0</v>
      </c>
      <c r="CZ15" s="246">
        <f t="shared" si="37"/>
        <v>0</v>
      </c>
      <c r="DA15" s="246">
        <f t="shared" si="37"/>
        <v>0</v>
      </c>
      <c r="DB15" s="246">
        <f t="shared" si="37"/>
        <v>0</v>
      </c>
      <c r="DC15" s="246">
        <f t="shared" si="37"/>
        <v>0</v>
      </c>
      <c r="DD15" s="246">
        <f t="shared" si="37"/>
        <v>0</v>
      </c>
      <c r="DE15" s="246">
        <f t="shared" si="37"/>
        <v>0</v>
      </c>
      <c r="DF15" s="246">
        <f t="shared" si="37"/>
        <v>0</v>
      </c>
      <c r="DG15" s="246">
        <f t="shared" si="37"/>
        <v>0</v>
      </c>
      <c r="DH15" s="246">
        <f t="shared" si="37"/>
        <v>0</v>
      </c>
      <c r="DI15" s="246">
        <f t="shared" si="37"/>
        <v>0</v>
      </c>
      <c r="DJ15" s="246">
        <f t="shared" si="37"/>
        <v>0</v>
      </c>
      <c r="DK15" s="246">
        <f t="shared" si="37"/>
        <v>0</v>
      </c>
      <c r="DL15" s="246">
        <f t="shared" si="37"/>
        <v>0</v>
      </c>
      <c r="DM15" s="246">
        <f t="shared" si="37"/>
        <v>0</v>
      </c>
      <c r="DN15" s="246">
        <f t="shared" si="37"/>
        <v>0</v>
      </c>
      <c r="DO15" s="246">
        <f t="shared" si="37"/>
        <v>0</v>
      </c>
      <c r="DP15" s="246">
        <f t="shared" si="37"/>
        <v>0</v>
      </c>
      <c r="DQ15" s="246">
        <f t="shared" si="37"/>
        <v>0</v>
      </c>
      <c r="DR15" s="246">
        <f t="shared" si="37"/>
        <v>0</v>
      </c>
      <c r="DS15" s="246">
        <f t="shared" si="37"/>
        <v>0</v>
      </c>
      <c r="DT15" s="246">
        <f t="shared" si="37"/>
        <v>0</v>
      </c>
      <c r="DU15" s="246">
        <f t="shared" si="37"/>
        <v>0</v>
      </c>
      <c r="DV15" s="246">
        <f t="shared" si="37"/>
        <v>0</v>
      </c>
      <c r="DW15" s="246">
        <f t="shared" si="37"/>
        <v>0</v>
      </c>
      <c r="DX15" s="246">
        <f t="shared" si="37"/>
        <v>0</v>
      </c>
      <c r="DY15" s="246">
        <f t="shared" si="37"/>
        <v>0</v>
      </c>
      <c r="DZ15" s="246">
        <f t="shared" si="37"/>
        <v>0</v>
      </c>
      <c r="EA15" s="246">
        <f t="shared" si="37"/>
        <v>0</v>
      </c>
      <c r="EB15" s="246">
        <f t="shared" ref="EB15:GM15" si="38">EB11-SUM(EB12:EB14)</f>
        <v>0</v>
      </c>
      <c r="EC15" s="246">
        <f t="shared" si="38"/>
        <v>0</v>
      </c>
      <c r="ED15" s="246">
        <f t="shared" si="38"/>
        <v>0</v>
      </c>
      <c r="EE15" s="246">
        <f t="shared" si="38"/>
        <v>0</v>
      </c>
      <c r="EF15" s="246">
        <f t="shared" si="38"/>
        <v>0</v>
      </c>
      <c r="EG15" s="246">
        <f t="shared" si="38"/>
        <v>0</v>
      </c>
      <c r="EH15" s="246">
        <f t="shared" si="38"/>
        <v>0</v>
      </c>
      <c r="EI15" s="246">
        <f t="shared" si="38"/>
        <v>0</v>
      </c>
      <c r="EJ15" s="246">
        <f t="shared" si="38"/>
        <v>0</v>
      </c>
      <c r="EK15" s="246">
        <f t="shared" si="38"/>
        <v>0</v>
      </c>
      <c r="EL15" s="246">
        <f t="shared" si="38"/>
        <v>0</v>
      </c>
      <c r="EM15" s="246">
        <f t="shared" si="38"/>
        <v>0</v>
      </c>
      <c r="EN15" s="246">
        <f t="shared" si="38"/>
        <v>0</v>
      </c>
      <c r="EO15" s="246">
        <f t="shared" si="38"/>
        <v>0</v>
      </c>
      <c r="EP15" s="246">
        <f t="shared" si="38"/>
        <v>0</v>
      </c>
      <c r="EQ15" s="246">
        <f t="shared" si="38"/>
        <v>0</v>
      </c>
      <c r="ER15" s="246">
        <f t="shared" si="38"/>
        <v>0</v>
      </c>
      <c r="ES15" s="246">
        <f t="shared" si="38"/>
        <v>0</v>
      </c>
      <c r="ET15" s="246">
        <f t="shared" si="38"/>
        <v>0</v>
      </c>
      <c r="EU15" s="246">
        <f t="shared" si="38"/>
        <v>0</v>
      </c>
      <c r="EV15" s="246">
        <f t="shared" si="38"/>
        <v>0</v>
      </c>
      <c r="EW15" s="246">
        <f t="shared" si="38"/>
        <v>0</v>
      </c>
      <c r="EX15" s="246">
        <f t="shared" si="38"/>
        <v>0</v>
      </c>
      <c r="EY15" s="246">
        <f t="shared" si="38"/>
        <v>0</v>
      </c>
      <c r="EZ15" s="246">
        <f t="shared" si="38"/>
        <v>0</v>
      </c>
      <c r="FA15" s="246">
        <f t="shared" si="38"/>
        <v>0</v>
      </c>
      <c r="FB15" s="246">
        <f t="shared" si="38"/>
        <v>0</v>
      </c>
      <c r="FC15" s="246">
        <f t="shared" si="38"/>
        <v>0</v>
      </c>
      <c r="FD15" s="246">
        <f t="shared" si="38"/>
        <v>0</v>
      </c>
      <c r="FE15" s="246">
        <f t="shared" si="38"/>
        <v>0</v>
      </c>
      <c r="FF15" s="246">
        <f t="shared" si="38"/>
        <v>0</v>
      </c>
      <c r="FG15" s="246">
        <f t="shared" si="38"/>
        <v>0</v>
      </c>
      <c r="FH15" s="246">
        <f t="shared" si="38"/>
        <v>0</v>
      </c>
      <c r="FI15" s="246">
        <f t="shared" si="38"/>
        <v>0</v>
      </c>
      <c r="FJ15" s="246">
        <f t="shared" si="38"/>
        <v>0</v>
      </c>
      <c r="FK15" s="246">
        <f t="shared" si="38"/>
        <v>0</v>
      </c>
      <c r="FL15" s="246">
        <f t="shared" si="38"/>
        <v>0</v>
      </c>
      <c r="FM15" s="246">
        <f t="shared" si="38"/>
        <v>0</v>
      </c>
      <c r="FN15" s="246">
        <f t="shared" si="38"/>
        <v>0</v>
      </c>
      <c r="FO15" s="246">
        <f t="shared" si="38"/>
        <v>0</v>
      </c>
      <c r="FP15" s="246">
        <f t="shared" si="38"/>
        <v>0</v>
      </c>
      <c r="FQ15" s="246">
        <f t="shared" si="38"/>
        <v>0</v>
      </c>
      <c r="FR15" s="246">
        <f t="shared" si="38"/>
        <v>0</v>
      </c>
      <c r="FS15" s="246">
        <f t="shared" si="38"/>
        <v>0</v>
      </c>
      <c r="FT15" s="246">
        <f t="shared" si="38"/>
        <v>0</v>
      </c>
      <c r="FU15" s="246">
        <f t="shared" si="38"/>
        <v>0</v>
      </c>
      <c r="FV15" s="246">
        <f t="shared" si="38"/>
        <v>0</v>
      </c>
      <c r="FW15" s="246">
        <f t="shared" si="38"/>
        <v>0</v>
      </c>
      <c r="FX15" s="246">
        <f t="shared" si="38"/>
        <v>0</v>
      </c>
      <c r="FY15" s="246">
        <f t="shared" si="38"/>
        <v>0</v>
      </c>
      <c r="FZ15" s="246">
        <f t="shared" si="38"/>
        <v>0</v>
      </c>
      <c r="GA15" s="246">
        <f t="shared" si="38"/>
        <v>0</v>
      </c>
      <c r="GB15" s="246">
        <f t="shared" si="38"/>
        <v>0</v>
      </c>
      <c r="GC15" s="246">
        <f t="shared" si="38"/>
        <v>0</v>
      </c>
      <c r="GD15" s="246">
        <f t="shared" si="38"/>
        <v>0</v>
      </c>
      <c r="GE15" s="246">
        <f t="shared" si="38"/>
        <v>0</v>
      </c>
      <c r="GF15" s="246">
        <f t="shared" si="38"/>
        <v>0</v>
      </c>
      <c r="GG15" s="246">
        <f t="shared" si="38"/>
        <v>0</v>
      </c>
      <c r="GH15" s="246">
        <f t="shared" si="38"/>
        <v>0</v>
      </c>
      <c r="GI15" s="246">
        <f t="shared" si="38"/>
        <v>0</v>
      </c>
      <c r="GJ15" s="246">
        <f t="shared" si="38"/>
        <v>0</v>
      </c>
      <c r="GK15" s="246">
        <f t="shared" si="38"/>
        <v>0</v>
      </c>
      <c r="GL15" s="246">
        <f t="shared" si="38"/>
        <v>0</v>
      </c>
      <c r="GM15" s="246">
        <f t="shared" si="38"/>
        <v>0</v>
      </c>
      <c r="GN15" s="246">
        <f t="shared" ref="GN15:IY15" si="39">GN11-SUM(GN12:GN14)</f>
        <v>0</v>
      </c>
      <c r="GO15" s="246">
        <f t="shared" si="39"/>
        <v>0</v>
      </c>
      <c r="GP15" s="246">
        <f t="shared" si="39"/>
        <v>0</v>
      </c>
      <c r="GQ15" s="246">
        <f t="shared" si="39"/>
        <v>0</v>
      </c>
      <c r="GR15" s="246">
        <f t="shared" si="39"/>
        <v>0</v>
      </c>
      <c r="GS15" s="246">
        <f t="shared" si="39"/>
        <v>0</v>
      </c>
      <c r="GT15" s="246">
        <f t="shared" si="39"/>
        <v>0</v>
      </c>
      <c r="GU15" s="246">
        <f t="shared" si="39"/>
        <v>0</v>
      </c>
      <c r="GV15" s="246">
        <f t="shared" si="39"/>
        <v>0</v>
      </c>
      <c r="GW15" s="246">
        <f t="shared" si="39"/>
        <v>0</v>
      </c>
      <c r="GX15" s="246">
        <f t="shared" si="39"/>
        <v>0</v>
      </c>
      <c r="GY15" s="246">
        <f t="shared" si="39"/>
        <v>0</v>
      </c>
      <c r="GZ15" s="246">
        <f t="shared" si="39"/>
        <v>0</v>
      </c>
      <c r="HA15" s="246">
        <f t="shared" si="39"/>
        <v>0</v>
      </c>
      <c r="HB15" s="246">
        <f t="shared" si="39"/>
        <v>0</v>
      </c>
      <c r="HC15" s="246">
        <f t="shared" si="39"/>
        <v>0</v>
      </c>
      <c r="HD15" s="246">
        <f t="shared" si="39"/>
        <v>0</v>
      </c>
      <c r="HE15" s="246">
        <f t="shared" si="39"/>
        <v>0</v>
      </c>
      <c r="HF15" s="246">
        <f t="shared" si="39"/>
        <v>0</v>
      </c>
      <c r="HG15" s="246">
        <f t="shared" si="39"/>
        <v>0</v>
      </c>
      <c r="HH15" s="246">
        <f t="shared" si="39"/>
        <v>0</v>
      </c>
      <c r="HI15" s="246">
        <f t="shared" si="39"/>
        <v>0</v>
      </c>
      <c r="HJ15" s="246">
        <f t="shared" si="39"/>
        <v>0</v>
      </c>
      <c r="HK15" s="246">
        <f t="shared" si="39"/>
        <v>0</v>
      </c>
      <c r="HL15" s="246">
        <f t="shared" si="39"/>
        <v>0</v>
      </c>
      <c r="HM15" s="246">
        <f t="shared" si="39"/>
        <v>0</v>
      </c>
      <c r="HN15" s="246">
        <f t="shared" si="39"/>
        <v>0</v>
      </c>
      <c r="HO15" s="246">
        <f t="shared" si="39"/>
        <v>0</v>
      </c>
      <c r="HP15" s="246">
        <f t="shared" si="39"/>
        <v>0</v>
      </c>
      <c r="HQ15" s="246">
        <f t="shared" si="39"/>
        <v>0</v>
      </c>
      <c r="HR15" s="246">
        <f t="shared" si="39"/>
        <v>0</v>
      </c>
      <c r="HS15" s="246">
        <f t="shared" si="39"/>
        <v>0</v>
      </c>
      <c r="HT15" s="246">
        <f t="shared" si="39"/>
        <v>0</v>
      </c>
      <c r="HU15" s="246">
        <f t="shared" si="39"/>
        <v>0</v>
      </c>
      <c r="HV15" s="246">
        <f t="shared" si="39"/>
        <v>0</v>
      </c>
      <c r="HW15" s="246">
        <f t="shared" si="39"/>
        <v>0</v>
      </c>
      <c r="HX15" s="246">
        <f t="shared" si="39"/>
        <v>0</v>
      </c>
      <c r="HY15" s="246">
        <f t="shared" si="39"/>
        <v>0</v>
      </c>
      <c r="HZ15" s="246">
        <f t="shared" si="39"/>
        <v>0</v>
      </c>
      <c r="IA15" s="246">
        <f t="shared" si="39"/>
        <v>0</v>
      </c>
      <c r="IB15" s="246">
        <f t="shared" si="39"/>
        <v>0</v>
      </c>
      <c r="IC15" s="246">
        <f t="shared" si="39"/>
        <v>0</v>
      </c>
      <c r="ID15" s="246">
        <f t="shared" si="39"/>
        <v>0</v>
      </c>
      <c r="IE15" s="246">
        <f t="shared" si="39"/>
        <v>0</v>
      </c>
      <c r="IF15" s="246">
        <f t="shared" si="39"/>
        <v>0</v>
      </c>
      <c r="IG15" s="246">
        <f t="shared" si="39"/>
        <v>0</v>
      </c>
      <c r="IH15" s="246">
        <f t="shared" si="39"/>
        <v>0</v>
      </c>
      <c r="II15" s="246">
        <f t="shared" si="39"/>
        <v>0</v>
      </c>
      <c r="IJ15" s="246">
        <f t="shared" si="39"/>
        <v>0</v>
      </c>
      <c r="IK15" s="246">
        <f t="shared" si="39"/>
        <v>0</v>
      </c>
      <c r="IL15" s="246">
        <f t="shared" si="39"/>
        <v>0</v>
      </c>
      <c r="IM15" s="246">
        <f t="shared" si="39"/>
        <v>0</v>
      </c>
      <c r="IN15" s="246">
        <f t="shared" si="39"/>
        <v>0</v>
      </c>
      <c r="IO15" s="246">
        <f t="shared" si="39"/>
        <v>0</v>
      </c>
      <c r="IP15" s="246">
        <f t="shared" si="39"/>
        <v>0</v>
      </c>
      <c r="IQ15" s="246">
        <f t="shared" si="39"/>
        <v>0</v>
      </c>
      <c r="IR15" s="246">
        <f t="shared" si="39"/>
        <v>0</v>
      </c>
      <c r="IS15" s="246">
        <f t="shared" si="39"/>
        <v>0</v>
      </c>
      <c r="IT15" s="246">
        <f t="shared" si="39"/>
        <v>0</v>
      </c>
      <c r="IU15" s="246">
        <f t="shared" si="39"/>
        <v>0</v>
      </c>
      <c r="IV15" s="246">
        <f t="shared" si="39"/>
        <v>0</v>
      </c>
      <c r="IW15" s="246">
        <f t="shared" si="39"/>
        <v>0</v>
      </c>
      <c r="IX15" s="246">
        <f t="shared" si="39"/>
        <v>0</v>
      </c>
      <c r="IY15" s="246">
        <f t="shared" si="39"/>
        <v>0</v>
      </c>
      <c r="IZ15" s="246">
        <f t="shared" ref="IZ15:KQ15" si="40">IZ11-SUM(IZ12:IZ14)</f>
        <v>0</v>
      </c>
      <c r="JA15" s="246">
        <f t="shared" si="40"/>
        <v>0</v>
      </c>
      <c r="JB15" s="246">
        <f t="shared" si="40"/>
        <v>0</v>
      </c>
      <c r="JC15" s="246">
        <f t="shared" si="40"/>
        <v>0</v>
      </c>
      <c r="JD15" s="246">
        <f t="shared" si="40"/>
        <v>0</v>
      </c>
      <c r="JE15" s="246">
        <f t="shared" si="40"/>
        <v>0</v>
      </c>
      <c r="JF15" s="246">
        <f t="shared" si="40"/>
        <v>0</v>
      </c>
      <c r="JG15" s="246">
        <f t="shared" si="40"/>
        <v>0</v>
      </c>
      <c r="JH15" s="246">
        <f t="shared" si="40"/>
        <v>0</v>
      </c>
      <c r="JI15" s="246">
        <f t="shared" si="40"/>
        <v>0</v>
      </c>
      <c r="JJ15" s="246">
        <f t="shared" si="40"/>
        <v>0</v>
      </c>
      <c r="JK15" s="246">
        <f t="shared" si="40"/>
        <v>0</v>
      </c>
      <c r="JL15" s="246">
        <f t="shared" si="40"/>
        <v>0</v>
      </c>
      <c r="JM15" s="246">
        <f t="shared" si="40"/>
        <v>0</v>
      </c>
      <c r="JN15" s="246">
        <f t="shared" si="40"/>
        <v>0</v>
      </c>
      <c r="JO15" s="246">
        <f t="shared" si="40"/>
        <v>0</v>
      </c>
      <c r="JP15" s="246">
        <f t="shared" si="40"/>
        <v>0</v>
      </c>
      <c r="JQ15" s="246">
        <f t="shared" si="40"/>
        <v>0</v>
      </c>
      <c r="JR15" s="246">
        <f t="shared" si="40"/>
        <v>0</v>
      </c>
      <c r="JS15" s="246">
        <f t="shared" si="40"/>
        <v>0</v>
      </c>
      <c r="JT15" s="246">
        <f t="shared" si="40"/>
        <v>0</v>
      </c>
      <c r="JU15" s="246">
        <f t="shared" si="40"/>
        <v>0</v>
      </c>
      <c r="JV15" s="246">
        <f t="shared" si="40"/>
        <v>0</v>
      </c>
      <c r="JW15" s="246">
        <f t="shared" si="40"/>
        <v>0</v>
      </c>
      <c r="JX15" s="246">
        <f t="shared" si="40"/>
        <v>0</v>
      </c>
      <c r="JY15" s="246">
        <f t="shared" si="40"/>
        <v>0</v>
      </c>
      <c r="JZ15" s="246">
        <f t="shared" si="40"/>
        <v>0</v>
      </c>
      <c r="KA15" s="246">
        <f t="shared" si="40"/>
        <v>0</v>
      </c>
      <c r="KB15" s="246">
        <f t="shared" si="40"/>
        <v>0</v>
      </c>
      <c r="KC15" s="246">
        <f t="shared" si="40"/>
        <v>0</v>
      </c>
      <c r="KD15" s="246">
        <f t="shared" si="40"/>
        <v>0</v>
      </c>
      <c r="KE15" s="246">
        <f t="shared" si="40"/>
        <v>0</v>
      </c>
      <c r="KF15" s="246">
        <f t="shared" si="40"/>
        <v>0</v>
      </c>
      <c r="KG15" s="246">
        <f t="shared" si="40"/>
        <v>0</v>
      </c>
      <c r="KH15" s="246">
        <f t="shared" si="40"/>
        <v>0</v>
      </c>
      <c r="KI15" s="246">
        <f t="shared" si="40"/>
        <v>0</v>
      </c>
      <c r="KJ15" s="246">
        <f t="shared" si="40"/>
        <v>0</v>
      </c>
      <c r="KK15" s="246">
        <f t="shared" si="40"/>
        <v>0</v>
      </c>
      <c r="KL15" s="246">
        <f t="shared" si="40"/>
        <v>0</v>
      </c>
      <c r="KM15" s="246">
        <f t="shared" si="40"/>
        <v>0</v>
      </c>
      <c r="KN15" s="246">
        <f t="shared" si="40"/>
        <v>0</v>
      </c>
      <c r="KO15" s="246">
        <f t="shared" si="40"/>
        <v>0</v>
      </c>
      <c r="KP15" s="246">
        <f t="shared" si="40"/>
        <v>0</v>
      </c>
      <c r="KQ15" s="246">
        <f t="shared" si="40"/>
        <v>0</v>
      </c>
    </row>
    <row r="16" spans="2:303" x14ac:dyDescent="0.35"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</row>
    <row r="17" spans="2:303" x14ac:dyDescent="0.35">
      <c r="B17" s="289" t="s">
        <v>112</v>
      </c>
      <c r="C17" s="241">
        <f>SUM(D17:KQ17)</f>
        <v>10013100000</v>
      </c>
      <c r="D17" s="247" cm="1">
        <f t="array" ref="D17">TRANSPOSE(SUMIFS('Графики (2)'!$E$7:$E$306,'Графики (2)'!$D$7:$D$306,'DCF (2)'!D$6))</f>
        <v>5006550000</v>
      </c>
      <c r="E17" s="247" cm="1">
        <f t="array" ref="E17">TRANSPOSE(SUMIFS('Графики (2)'!$E$7:$E$306,'Графики (2)'!$D$7:$D$306,'DCF (2)'!E$6))</f>
        <v>0</v>
      </c>
      <c r="F17" s="247" cm="1">
        <f t="array" ref="F17">TRANSPOSE(SUMIFS('Графики (2)'!$E$7:$E$306,'Графики (2)'!$D$7:$D$306,'DCF (2)'!F$6))</f>
        <v>0</v>
      </c>
      <c r="G17" s="247" cm="1">
        <f t="array" ref="G17">TRANSPOSE(SUMIFS('Графики (2)'!$E$7:$E$306,'Графики (2)'!$D$7:$D$306,'DCF (2)'!G$6))</f>
        <v>0</v>
      </c>
      <c r="H17" s="247" cm="1">
        <f t="array" ref="H17">TRANSPOSE(SUMIFS('Графики (2)'!$E$7:$E$306,'Графики (2)'!$D$7:$D$306,'DCF (2)'!H$6))</f>
        <v>0</v>
      </c>
      <c r="I17" s="247" cm="1">
        <f t="array" ref="I17">TRANSPOSE(SUMIFS('Графики (2)'!$E$7:$E$306,'Графики (2)'!$D$7:$D$306,'DCF (2)'!I$6))</f>
        <v>0</v>
      </c>
      <c r="J17" s="247" cm="1">
        <f t="array" ref="J17">TRANSPOSE(SUMIFS('Графики (2)'!$E$7:$E$306,'Графики (2)'!$D$7:$D$306,'DCF (2)'!J$6))</f>
        <v>0</v>
      </c>
      <c r="K17" s="247" cm="1">
        <f t="array" ref="K17">TRANSPOSE(SUMIFS('Графики (2)'!$E$7:$E$306,'Графики (2)'!$D$7:$D$306,'DCF (2)'!K$6))</f>
        <v>0</v>
      </c>
      <c r="L17" s="247" cm="1">
        <f t="array" ref="L17">TRANSPOSE(SUMIFS('Графики (2)'!$E$7:$E$306,'Графики (2)'!$D$7:$D$306,'DCF (2)'!L$6))</f>
        <v>0</v>
      </c>
      <c r="M17" s="247" cm="1">
        <f t="array" ref="M17">TRANSPOSE(SUMIFS('Графики (2)'!$E$7:$E$306,'Графики (2)'!$D$7:$D$306,'DCF (2)'!M$6))</f>
        <v>0</v>
      </c>
      <c r="N17" s="247" cm="1">
        <f t="array" ref="N17">TRANSPOSE(SUMIFS('Графики (2)'!$E$7:$E$306,'Графики (2)'!$D$7:$D$306,'DCF (2)'!N$6))</f>
        <v>0</v>
      </c>
      <c r="O17" s="247" cm="1">
        <f t="array" ref="O17">TRANSPOSE(SUMIFS('Графики (2)'!$E$7:$E$306,'Графики (2)'!$D$7:$D$306,'DCF (2)'!O$6))</f>
        <v>0</v>
      </c>
      <c r="P17" s="247" cm="1">
        <f t="array" ref="P17">TRANSPOSE(SUMIFS('Графики (2)'!$E$7:$E$306,'Графики (2)'!$D$7:$D$306,'DCF (2)'!P$6))</f>
        <v>0</v>
      </c>
      <c r="Q17" s="247" cm="1">
        <f t="array" ref="Q17">TRANSPOSE(SUMIFS('Графики (2)'!$E$7:$E$306,'Графики (2)'!$D$7:$D$306,'DCF (2)'!Q$6))</f>
        <v>0</v>
      </c>
      <c r="R17" s="247" cm="1">
        <f t="array" ref="R17">TRANSPOSE(SUMIFS('Графики (2)'!$E$7:$E$306,'Графики (2)'!$D$7:$D$306,'DCF (2)'!R$6))</f>
        <v>0</v>
      </c>
      <c r="S17" s="247" cm="1">
        <f t="array" ref="S17">TRANSPOSE(SUMIFS('Графики (2)'!$E$7:$E$306,'Графики (2)'!$D$7:$D$306,'DCF (2)'!S$6))</f>
        <v>0</v>
      </c>
      <c r="T17" s="247" cm="1">
        <f t="array" ref="T17">TRANSPOSE(SUMIFS('Графики (2)'!$E$7:$E$306,'Графики (2)'!$D$7:$D$306,'DCF (2)'!T$6))</f>
        <v>0</v>
      </c>
      <c r="U17" s="247" cm="1">
        <f t="array" ref="U17">TRANSPOSE(SUMIFS('Графики (2)'!$E$7:$E$306,'Графики (2)'!$D$7:$D$306,'DCF (2)'!U$6))</f>
        <v>0</v>
      </c>
      <c r="V17" s="247" cm="1">
        <f t="array" ref="V17">TRANSPOSE(SUMIFS('Графики (2)'!$E$7:$E$306,'Графики (2)'!$D$7:$D$306,'DCF (2)'!V$6))</f>
        <v>0</v>
      </c>
      <c r="W17" s="247" cm="1">
        <f t="array" ref="W17">TRANSPOSE(SUMIFS('Графики (2)'!$E$7:$E$306,'Графики (2)'!$D$7:$D$306,'DCF (2)'!W$6))</f>
        <v>0</v>
      </c>
      <c r="X17" s="247" cm="1">
        <f t="array" ref="X17">TRANSPOSE(SUMIFS('Графики (2)'!$E$7:$E$306,'Графики (2)'!$D$7:$D$306,'DCF (2)'!X$6))</f>
        <v>0</v>
      </c>
      <c r="Y17" s="247" cm="1">
        <f t="array" ref="Y17">TRANSPOSE(SUMIFS('Графики (2)'!$E$7:$E$306,'Графики (2)'!$D$7:$D$306,'DCF (2)'!Y$6))</f>
        <v>0</v>
      </c>
      <c r="Z17" s="247" cm="1">
        <f t="array" ref="Z17">TRANSPOSE(SUMIFS('Графики (2)'!$E$7:$E$306,'Графики (2)'!$D$7:$D$306,'DCF (2)'!Z$6))</f>
        <v>0</v>
      </c>
      <c r="AA17" s="247" cm="1">
        <f t="array" ref="AA17">TRANSPOSE(SUMIFS('Графики (2)'!$E$7:$E$306,'Графики (2)'!$D$7:$D$306,'DCF (2)'!AA$6))</f>
        <v>0</v>
      </c>
      <c r="AB17" s="247" cm="1">
        <f t="array" ref="AB17">TRANSPOSE(SUMIFS('Графики (2)'!$E$7:$E$306,'Графики (2)'!$D$7:$D$306,'DCF (2)'!AB$6))</f>
        <v>0</v>
      </c>
      <c r="AC17" s="247" cm="1">
        <f t="array" ref="AC17">TRANSPOSE(SUMIFS('Графики (2)'!$E$7:$E$306,'Графики (2)'!$D$7:$D$306,'DCF (2)'!AC$6))</f>
        <v>0</v>
      </c>
      <c r="AD17" s="247" cm="1">
        <f t="array" ref="AD17">TRANSPOSE(SUMIFS('Графики (2)'!$E$7:$E$306,'Графики (2)'!$D$7:$D$306,'DCF (2)'!AD$6))</f>
        <v>0</v>
      </c>
      <c r="AE17" s="247" cm="1">
        <f t="array" ref="AE17">TRANSPOSE(SUMIFS('Графики (2)'!$E$7:$E$306,'Графики (2)'!$D$7:$D$306,'DCF (2)'!AE$6))</f>
        <v>0</v>
      </c>
      <c r="AF17" s="247" cm="1">
        <f t="array" ref="AF17">TRANSPOSE(SUMIFS('Графики (2)'!$E$7:$E$306,'Графики (2)'!$D$7:$D$306,'DCF (2)'!AF$6))</f>
        <v>0</v>
      </c>
      <c r="AG17" s="247" cm="1">
        <f t="array" ref="AG17">TRANSPOSE(SUMIFS('Графики (2)'!$E$7:$E$306,'Графики (2)'!$D$7:$D$306,'DCF (2)'!AG$6))</f>
        <v>0</v>
      </c>
      <c r="AH17" s="247" cm="1">
        <f t="array" ref="AH17">TRANSPOSE(SUMIFS('Графики (2)'!$E$7:$E$306,'Графики (2)'!$D$7:$D$306,'DCF (2)'!AH$6))</f>
        <v>0</v>
      </c>
      <c r="AI17" s="247" cm="1">
        <f t="array" ref="AI17">TRANSPOSE(SUMIFS('Графики (2)'!$E$7:$E$306,'Графики (2)'!$D$7:$D$306,'DCF (2)'!AI$6))</f>
        <v>0</v>
      </c>
      <c r="AJ17" s="247" cm="1">
        <f t="array" ref="AJ17">TRANSPOSE(SUMIFS('Графики (2)'!$E$7:$E$306,'Графики (2)'!$D$7:$D$306,'DCF (2)'!AJ$6))</f>
        <v>0</v>
      </c>
      <c r="AK17" s="247" cm="1">
        <f t="array" ref="AK17">TRANSPOSE(SUMIFS('Графики (2)'!$E$7:$E$306,'Графики (2)'!$D$7:$D$306,'DCF (2)'!AK$6))</f>
        <v>0</v>
      </c>
      <c r="AL17" s="247" cm="1">
        <f t="array" ref="AL17">TRANSPOSE(SUMIFS('Графики (2)'!$E$7:$E$306,'Графики (2)'!$D$7:$D$306,'DCF (2)'!AL$6))</f>
        <v>0</v>
      </c>
      <c r="AM17" s="247" cm="1">
        <f t="array" ref="AM17">TRANSPOSE(SUMIFS('Графики (2)'!$E$7:$E$306,'Графики (2)'!$D$7:$D$306,'DCF (2)'!AM$6))</f>
        <v>0</v>
      </c>
      <c r="AN17" s="247" cm="1">
        <f t="array" ref="AN17">TRANSPOSE(SUMIFS('Графики (2)'!$E$7:$E$306,'Графики (2)'!$D$7:$D$306,'DCF (2)'!AN$6))</f>
        <v>0</v>
      </c>
      <c r="AO17" s="247" cm="1">
        <f t="array" ref="AO17">TRANSPOSE(SUMIFS('Графики (2)'!$E$7:$E$306,'Графики (2)'!$D$7:$D$306,'DCF (2)'!AO$6))</f>
        <v>0</v>
      </c>
      <c r="AP17" s="247" cm="1">
        <f t="array" ref="AP17">TRANSPOSE(SUMIFS('Графики (2)'!$E$7:$E$306,'Графики (2)'!$D$7:$D$306,'DCF (2)'!AP$6))</f>
        <v>0</v>
      </c>
      <c r="AQ17" s="247" cm="1">
        <f t="array" ref="AQ17">TRANSPOSE(SUMIFS('Графики (2)'!$E$7:$E$306,'Графики (2)'!$D$7:$D$306,'DCF (2)'!AQ$6))</f>
        <v>0</v>
      </c>
      <c r="AR17" s="247" cm="1">
        <f t="array" ref="AR17">TRANSPOSE(SUMIFS('Графики (2)'!$E$7:$E$306,'Графики (2)'!$D$7:$D$306,'DCF (2)'!AR$6))</f>
        <v>0</v>
      </c>
      <c r="AS17" s="247" cm="1">
        <f t="array" ref="AS17">TRANSPOSE(SUMIFS('Графики (2)'!$E$7:$E$306,'Графики (2)'!$D$7:$D$306,'DCF (2)'!AS$6))</f>
        <v>0</v>
      </c>
      <c r="AT17" s="247" cm="1">
        <f t="array" ref="AT17">TRANSPOSE(SUMIFS('Графики (2)'!$E$7:$E$306,'Графики (2)'!$D$7:$D$306,'DCF (2)'!AT$6))</f>
        <v>0</v>
      </c>
      <c r="AU17" s="247" cm="1">
        <f t="array" ref="AU17">TRANSPOSE(SUMIFS('Графики (2)'!$E$7:$E$306,'Графики (2)'!$D$7:$D$306,'DCF (2)'!AU$6))</f>
        <v>0</v>
      </c>
      <c r="AV17" s="247" cm="1">
        <f t="array" ref="AV17">TRANSPOSE(SUMIFS('Графики (2)'!$E$7:$E$306,'Графики (2)'!$D$7:$D$306,'DCF (2)'!AV$6))</f>
        <v>0</v>
      </c>
      <c r="AW17" s="247" cm="1">
        <f t="array" ref="AW17">TRANSPOSE(SUMIFS('Графики (2)'!$E$7:$E$306,'Графики (2)'!$D$7:$D$306,'DCF (2)'!AW$6))</f>
        <v>0</v>
      </c>
      <c r="AX17" s="247" cm="1">
        <f t="array" ref="AX17">TRANSPOSE(SUMIFS('Графики (2)'!$E$7:$E$306,'Графики (2)'!$D$7:$D$306,'DCF (2)'!AX$6))</f>
        <v>0</v>
      </c>
      <c r="AY17" s="247" cm="1">
        <f t="array" ref="AY17">TRANSPOSE(SUMIFS('Графики (2)'!$E$7:$E$306,'Графики (2)'!$D$7:$D$306,'DCF (2)'!AY$6))</f>
        <v>0</v>
      </c>
      <c r="AZ17" s="247" cm="1">
        <f t="array" ref="AZ17">TRANSPOSE(SUMIFS('Графики (2)'!$E$7:$E$306,'Графики (2)'!$D$7:$D$306,'DCF (2)'!AZ$6))</f>
        <v>0</v>
      </c>
      <c r="BA17" s="247" cm="1">
        <f t="array" ref="BA17">TRANSPOSE(SUMIFS('Графики (2)'!$E$7:$E$306,'Графики (2)'!$D$7:$D$306,'DCF (2)'!BA$6))</f>
        <v>0</v>
      </c>
      <c r="BB17" s="247" cm="1">
        <f t="array" ref="BB17">TRANSPOSE(SUMIFS('Графики (2)'!$E$7:$E$306,'Графики (2)'!$D$7:$D$306,'DCF (2)'!BB$6))</f>
        <v>0</v>
      </c>
      <c r="BC17" s="247" cm="1">
        <f t="array" ref="BC17">TRANSPOSE(SUMIFS('Графики (2)'!$E$7:$E$306,'Графики (2)'!$D$7:$D$306,'DCF (2)'!BC$6))</f>
        <v>0</v>
      </c>
      <c r="BD17" s="247" cm="1">
        <f t="array" ref="BD17">TRANSPOSE(SUMIFS('Графики (2)'!$E$7:$E$306,'Графики (2)'!$D$7:$D$306,'DCF (2)'!BD$6))</f>
        <v>0</v>
      </c>
      <c r="BE17" s="247" cm="1">
        <f t="array" ref="BE17">TRANSPOSE(SUMIFS('Графики (2)'!$E$7:$E$306,'Графики (2)'!$D$7:$D$306,'DCF (2)'!BE$6))</f>
        <v>0</v>
      </c>
      <c r="BF17" s="247" cm="1">
        <f t="array" ref="BF17">TRANSPOSE(SUMIFS('Графики (2)'!$E$7:$E$306,'Графики (2)'!$D$7:$D$306,'DCF (2)'!BF$6))</f>
        <v>0</v>
      </c>
      <c r="BG17" s="247" cm="1">
        <f t="array" ref="BG17">TRANSPOSE(SUMIFS('Графики (2)'!$E$7:$E$306,'Графики (2)'!$D$7:$D$306,'DCF (2)'!BG$6))</f>
        <v>0</v>
      </c>
      <c r="BH17" s="247" cm="1">
        <f t="array" ref="BH17">TRANSPOSE(SUMIFS('Графики (2)'!$E$7:$E$306,'Графики (2)'!$D$7:$D$306,'DCF (2)'!BH$6))</f>
        <v>0</v>
      </c>
      <c r="BI17" s="247" cm="1">
        <f t="array" ref="BI17">TRANSPOSE(SUMIFS('Графики (2)'!$E$7:$E$306,'Графики (2)'!$D$7:$D$306,'DCF (2)'!BI$6))</f>
        <v>0</v>
      </c>
      <c r="BJ17" s="247" cm="1">
        <f t="array" ref="BJ17">TRANSPOSE(SUMIFS('Графики (2)'!$E$7:$E$306,'Графики (2)'!$D$7:$D$306,'DCF (2)'!BJ$6))</f>
        <v>0</v>
      </c>
      <c r="BK17" s="247" cm="1">
        <f t="array" ref="BK17">TRANSPOSE(SUMIFS('Графики (2)'!$E$7:$E$306,'Графики (2)'!$D$7:$D$306,'DCF (2)'!BK$6))</f>
        <v>0</v>
      </c>
      <c r="BL17" s="247" cm="1">
        <f t="array" ref="BL17">TRANSPOSE(SUMIFS('Графики (2)'!$E$7:$E$306,'Графики (2)'!$D$7:$D$306,'DCF (2)'!BL$6))</f>
        <v>0</v>
      </c>
      <c r="BM17" s="247" cm="1">
        <f t="array" ref="BM17">TRANSPOSE(SUMIFS('Графики (2)'!$E$7:$E$306,'Графики (2)'!$D$7:$D$306,'DCF (2)'!BM$6))</f>
        <v>0</v>
      </c>
      <c r="BN17" s="247" cm="1">
        <f t="array" ref="BN17">TRANSPOSE(SUMIFS('Графики (2)'!$E$7:$E$306,'Графики (2)'!$D$7:$D$306,'DCF (2)'!BN$6))</f>
        <v>0</v>
      </c>
      <c r="BO17" s="247" cm="1">
        <f t="array" ref="BO17">TRANSPOSE(SUMIFS('Графики (2)'!$E$7:$E$306,'Графики (2)'!$D$7:$D$306,'DCF (2)'!BO$6))</f>
        <v>0</v>
      </c>
      <c r="BP17" s="247" cm="1">
        <f t="array" ref="BP17">TRANSPOSE(SUMIFS('Графики (2)'!$E$7:$E$306,'Графики (2)'!$D$7:$D$306,'DCF (2)'!BP$6))</f>
        <v>0</v>
      </c>
      <c r="BQ17" s="247" cm="1">
        <f t="array" ref="BQ17">TRANSPOSE(SUMIFS('Графики (2)'!$E$7:$E$306,'Графики (2)'!$D$7:$D$306,'DCF (2)'!BQ$6))</f>
        <v>0</v>
      </c>
      <c r="BR17" s="247" cm="1">
        <f t="array" ref="BR17">TRANSPOSE(SUMIFS('Графики (2)'!$E$7:$E$306,'Графики (2)'!$D$7:$D$306,'DCF (2)'!BR$6))</f>
        <v>0</v>
      </c>
      <c r="BS17" s="247" cm="1">
        <f t="array" ref="BS17">TRANSPOSE(SUMIFS('Графики (2)'!$E$7:$E$306,'Графики (2)'!$D$7:$D$306,'DCF (2)'!BS$6))</f>
        <v>0</v>
      </c>
      <c r="BT17" s="247" cm="1">
        <f t="array" ref="BT17">TRANSPOSE(SUMIFS('Графики (2)'!$E$7:$E$306,'Графики (2)'!$D$7:$D$306,'DCF (2)'!BT$6))</f>
        <v>0</v>
      </c>
      <c r="BU17" s="247" cm="1">
        <f t="array" ref="BU17">TRANSPOSE(SUMIFS('Графики (2)'!$E$7:$E$306,'Графики (2)'!$D$7:$D$306,'DCF (2)'!BU$6))</f>
        <v>0</v>
      </c>
      <c r="BV17" s="247" cm="1">
        <f t="array" ref="BV17">TRANSPOSE(SUMIFS('Графики (2)'!$E$7:$E$306,'Графики (2)'!$D$7:$D$306,'DCF (2)'!BV$6))</f>
        <v>0</v>
      </c>
      <c r="BW17" s="247" cm="1">
        <f t="array" ref="BW17">TRANSPOSE(SUMIFS('Графики (2)'!$E$7:$E$306,'Графики (2)'!$D$7:$D$306,'DCF (2)'!BW$6))</f>
        <v>0</v>
      </c>
      <c r="BX17" s="247" cm="1">
        <f t="array" ref="BX17">TRANSPOSE(SUMIFS('Графики (2)'!$E$7:$E$306,'Графики (2)'!$D$7:$D$306,'DCF (2)'!BX$6))</f>
        <v>0</v>
      </c>
      <c r="BY17" s="247" cm="1">
        <f t="array" ref="BY17">TRANSPOSE(SUMIFS('Графики (2)'!$E$7:$E$306,'Графики (2)'!$D$7:$D$306,'DCF (2)'!BY$6))</f>
        <v>0</v>
      </c>
      <c r="BZ17" s="247" cm="1">
        <f t="array" ref="BZ17">TRANSPOSE(SUMIFS('Графики (2)'!$E$7:$E$306,'Графики (2)'!$D$7:$D$306,'DCF (2)'!BZ$6))</f>
        <v>0</v>
      </c>
      <c r="CA17" s="247" cm="1">
        <f t="array" ref="CA17">TRANSPOSE(SUMIFS('Графики (2)'!$E$7:$E$306,'Графики (2)'!$D$7:$D$306,'DCF (2)'!CA$6))</f>
        <v>0</v>
      </c>
      <c r="CB17" s="247" cm="1">
        <f t="array" ref="CB17">TRANSPOSE(SUMIFS('Графики (2)'!$E$7:$E$306,'Графики (2)'!$D$7:$D$306,'DCF (2)'!CB$6))</f>
        <v>0</v>
      </c>
      <c r="CC17" s="247" cm="1">
        <f t="array" ref="CC17">TRANSPOSE(SUMIFS('Графики (2)'!$E$7:$E$306,'Графики (2)'!$D$7:$D$306,'DCF (2)'!CC$6))</f>
        <v>0</v>
      </c>
      <c r="CD17" s="247" cm="1">
        <f t="array" ref="CD17">TRANSPOSE(SUMIFS('Графики (2)'!$E$7:$E$306,'Графики (2)'!$D$7:$D$306,'DCF (2)'!CD$6))</f>
        <v>0</v>
      </c>
      <c r="CE17" s="247" cm="1">
        <f t="array" ref="CE17">TRANSPOSE(SUMIFS('Графики (2)'!$E$7:$E$306,'Графики (2)'!$D$7:$D$306,'DCF (2)'!CE$6))</f>
        <v>0</v>
      </c>
      <c r="CF17" s="247" cm="1">
        <f t="array" ref="CF17">TRANSPOSE(SUMIFS('Графики (2)'!$E$7:$E$306,'Графики (2)'!$D$7:$D$306,'DCF (2)'!CF$6))</f>
        <v>0</v>
      </c>
      <c r="CG17" s="247" cm="1">
        <f t="array" ref="CG17">TRANSPOSE(SUMIFS('Графики (2)'!$E$7:$E$306,'Графики (2)'!$D$7:$D$306,'DCF (2)'!CG$6))</f>
        <v>0</v>
      </c>
      <c r="CH17" s="247" cm="1">
        <f t="array" ref="CH17">TRANSPOSE(SUMIFS('Графики (2)'!$E$7:$E$306,'Графики (2)'!$D$7:$D$306,'DCF (2)'!CH$6))</f>
        <v>5006550000</v>
      </c>
      <c r="CI17" s="247" cm="1">
        <f t="array" ref="CI17">TRANSPOSE(SUMIFS('Графики (2)'!$E$7:$E$306,'Графики (2)'!$D$7:$D$306,'DCF (2)'!CI$6))</f>
        <v>0</v>
      </c>
      <c r="CJ17" s="247" cm="1">
        <f t="array" ref="CJ17">TRANSPOSE(SUMIFS('Графики (2)'!$E$7:$E$306,'Графики (2)'!$D$7:$D$306,'DCF (2)'!CJ$6))</f>
        <v>0</v>
      </c>
      <c r="CK17" s="247" cm="1">
        <f t="array" ref="CK17">TRANSPOSE(SUMIFS('Графики (2)'!$E$7:$E$306,'Графики (2)'!$D$7:$D$306,'DCF (2)'!CK$6))</f>
        <v>0</v>
      </c>
      <c r="CL17" s="247" cm="1">
        <f t="array" ref="CL17">TRANSPOSE(SUMIFS('Графики (2)'!$E$7:$E$306,'Графики (2)'!$D$7:$D$306,'DCF (2)'!CL$6))</f>
        <v>0</v>
      </c>
      <c r="CM17" s="247" cm="1">
        <f t="array" ref="CM17">TRANSPOSE(SUMIFS('Графики (2)'!$E$7:$E$306,'Графики (2)'!$D$7:$D$306,'DCF (2)'!CM$6))</f>
        <v>0</v>
      </c>
      <c r="CN17" s="247" cm="1">
        <f t="array" ref="CN17">TRANSPOSE(SUMIFS('Графики (2)'!$E$7:$E$306,'Графики (2)'!$D$7:$D$306,'DCF (2)'!CN$6))</f>
        <v>0</v>
      </c>
      <c r="CO17" s="247" cm="1">
        <f t="array" ref="CO17">TRANSPOSE(SUMIFS('Графики (2)'!$E$7:$E$306,'Графики (2)'!$D$7:$D$306,'DCF (2)'!CO$6))</f>
        <v>0</v>
      </c>
      <c r="CP17" s="247" cm="1">
        <f t="array" ref="CP17">TRANSPOSE(SUMIFS('Графики (2)'!$E$7:$E$306,'Графики (2)'!$D$7:$D$306,'DCF (2)'!CP$6))</f>
        <v>0</v>
      </c>
      <c r="CQ17" s="247" cm="1">
        <f t="array" ref="CQ17">TRANSPOSE(SUMIFS('Графики (2)'!$E$7:$E$306,'Графики (2)'!$D$7:$D$306,'DCF (2)'!CQ$6))</f>
        <v>0</v>
      </c>
      <c r="CR17" s="247" cm="1">
        <f t="array" ref="CR17">TRANSPOSE(SUMIFS('Графики (2)'!$E$7:$E$306,'Графики (2)'!$D$7:$D$306,'DCF (2)'!CR$6))</f>
        <v>0</v>
      </c>
      <c r="CS17" s="247" cm="1">
        <f t="array" ref="CS17">TRANSPOSE(SUMIFS('Графики (2)'!$E$7:$E$306,'Графики (2)'!$D$7:$D$306,'DCF (2)'!CS$6))</f>
        <v>0</v>
      </c>
      <c r="CT17" s="247" cm="1">
        <f t="array" ref="CT17">TRANSPOSE(SUMIFS('Графики (2)'!$E$7:$E$306,'Графики (2)'!$D$7:$D$306,'DCF (2)'!CT$6))</f>
        <v>0</v>
      </c>
      <c r="CU17" s="247" cm="1">
        <f t="array" ref="CU17">TRANSPOSE(SUMIFS('Графики (2)'!$E$7:$E$306,'Графики (2)'!$D$7:$D$306,'DCF (2)'!CU$6))</f>
        <v>0</v>
      </c>
      <c r="CV17" s="247" cm="1">
        <f t="array" ref="CV17">TRANSPOSE(SUMIFS('Графики (2)'!$E$7:$E$306,'Графики (2)'!$D$7:$D$306,'DCF (2)'!CV$6))</f>
        <v>0</v>
      </c>
      <c r="CW17" s="247" cm="1">
        <f t="array" ref="CW17">TRANSPOSE(SUMIFS('Графики (2)'!$E$7:$E$306,'Графики (2)'!$D$7:$D$306,'DCF (2)'!CW$6))</f>
        <v>0</v>
      </c>
      <c r="CX17" s="247" cm="1">
        <f t="array" ref="CX17">TRANSPOSE(SUMIFS('Графики (2)'!$E$7:$E$306,'Графики (2)'!$D$7:$D$306,'DCF (2)'!CX$6))</f>
        <v>0</v>
      </c>
      <c r="CY17" s="247" cm="1">
        <f t="array" ref="CY17">TRANSPOSE(SUMIFS('Графики (2)'!$E$7:$E$306,'Графики (2)'!$D$7:$D$306,'DCF (2)'!CY$6))</f>
        <v>0</v>
      </c>
      <c r="CZ17" s="247" cm="1">
        <f t="array" ref="CZ17">TRANSPOSE(SUMIFS('Графики (2)'!$E$7:$E$306,'Графики (2)'!$D$7:$D$306,'DCF (2)'!CZ$6))</f>
        <v>0</v>
      </c>
      <c r="DA17" s="247" cm="1">
        <f t="array" ref="DA17">TRANSPOSE(SUMIFS('Графики (2)'!$E$7:$E$306,'Графики (2)'!$D$7:$D$306,'DCF (2)'!DA$6))</f>
        <v>0</v>
      </c>
      <c r="DB17" s="247" cm="1">
        <f t="array" ref="DB17">TRANSPOSE(SUMIFS('Графики (2)'!$E$7:$E$306,'Графики (2)'!$D$7:$D$306,'DCF (2)'!DB$6))</f>
        <v>0</v>
      </c>
      <c r="DC17" s="247" cm="1">
        <f t="array" ref="DC17">TRANSPOSE(SUMIFS('Графики (2)'!$E$7:$E$306,'Графики (2)'!$D$7:$D$306,'DCF (2)'!DC$6))</f>
        <v>0</v>
      </c>
      <c r="DD17" s="247" cm="1">
        <f t="array" ref="DD17">TRANSPOSE(SUMIFS('Графики (2)'!$E$7:$E$306,'Графики (2)'!$D$7:$D$306,'DCF (2)'!DD$6))</f>
        <v>0</v>
      </c>
      <c r="DE17" s="247" cm="1">
        <f t="array" ref="DE17">TRANSPOSE(SUMIFS('Графики (2)'!$E$7:$E$306,'Графики (2)'!$D$7:$D$306,'DCF (2)'!DE$6))</f>
        <v>0</v>
      </c>
      <c r="DF17" s="247" cm="1">
        <f t="array" ref="DF17">TRANSPOSE(SUMIFS('Графики (2)'!$E$7:$E$306,'Графики (2)'!$D$7:$D$306,'DCF (2)'!DF$6))</f>
        <v>0</v>
      </c>
      <c r="DG17" s="247" cm="1">
        <f t="array" ref="DG17">TRANSPOSE(SUMIFS('Графики (2)'!$E$7:$E$306,'Графики (2)'!$D$7:$D$306,'DCF (2)'!DG$6))</f>
        <v>0</v>
      </c>
      <c r="DH17" s="247" cm="1">
        <f t="array" ref="DH17">TRANSPOSE(SUMIFS('Графики (2)'!$E$7:$E$306,'Графики (2)'!$D$7:$D$306,'DCF (2)'!DH$6))</f>
        <v>0</v>
      </c>
      <c r="DI17" s="247" cm="1">
        <f t="array" ref="DI17">TRANSPOSE(SUMIFS('Графики (2)'!$E$7:$E$306,'Графики (2)'!$D$7:$D$306,'DCF (2)'!DI$6))</f>
        <v>0</v>
      </c>
      <c r="DJ17" s="247" cm="1">
        <f t="array" ref="DJ17">TRANSPOSE(SUMIFS('Графики (2)'!$E$7:$E$306,'Графики (2)'!$D$7:$D$306,'DCF (2)'!DJ$6))</f>
        <v>0</v>
      </c>
      <c r="DK17" s="247" cm="1">
        <f t="array" ref="DK17">TRANSPOSE(SUMIFS('Графики (2)'!$E$7:$E$306,'Графики (2)'!$D$7:$D$306,'DCF (2)'!DK$6))</f>
        <v>0</v>
      </c>
      <c r="DL17" s="247" cm="1">
        <f t="array" ref="DL17">TRANSPOSE(SUMIFS('Графики (2)'!$E$7:$E$306,'Графики (2)'!$D$7:$D$306,'DCF (2)'!DL$6))</f>
        <v>0</v>
      </c>
      <c r="DM17" s="247" cm="1">
        <f t="array" ref="DM17">TRANSPOSE(SUMIFS('Графики (2)'!$E$7:$E$306,'Графики (2)'!$D$7:$D$306,'DCF (2)'!DM$6))</f>
        <v>0</v>
      </c>
      <c r="DN17" s="247" cm="1">
        <f t="array" ref="DN17">TRANSPOSE(SUMIFS('Графики (2)'!$E$7:$E$306,'Графики (2)'!$D$7:$D$306,'DCF (2)'!DN$6))</f>
        <v>0</v>
      </c>
      <c r="DO17" s="247" cm="1">
        <f t="array" ref="DO17">TRANSPOSE(SUMIFS('Графики (2)'!$E$7:$E$306,'Графики (2)'!$D$7:$D$306,'DCF (2)'!DO$6))</f>
        <v>0</v>
      </c>
      <c r="DP17" s="247" cm="1">
        <f t="array" ref="DP17">TRANSPOSE(SUMIFS('Графики (2)'!$E$7:$E$306,'Графики (2)'!$D$7:$D$306,'DCF (2)'!DP$6))</f>
        <v>0</v>
      </c>
      <c r="DQ17" s="247" cm="1">
        <f t="array" ref="DQ17">TRANSPOSE(SUMIFS('Графики (2)'!$E$7:$E$306,'Графики (2)'!$D$7:$D$306,'DCF (2)'!DQ$6))</f>
        <v>0</v>
      </c>
      <c r="DR17" s="247" cm="1">
        <f t="array" ref="DR17">TRANSPOSE(SUMIFS('Графики (2)'!$E$7:$E$306,'Графики (2)'!$D$7:$D$306,'DCF (2)'!DR$6))</f>
        <v>0</v>
      </c>
      <c r="DS17" s="247" cm="1">
        <f t="array" ref="DS17">TRANSPOSE(SUMIFS('Графики (2)'!$E$7:$E$306,'Графики (2)'!$D$7:$D$306,'DCF (2)'!DS$6))</f>
        <v>0</v>
      </c>
      <c r="DT17" s="247" cm="1">
        <f t="array" ref="DT17">TRANSPOSE(SUMIFS('Графики (2)'!$E$7:$E$306,'Графики (2)'!$D$7:$D$306,'DCF (2)'!DT$6))</f>
        <v>0</v>
      </c>
      <c r="DU17" s="247" cm="1">
        <f t="array" ref="DU17">TRANSPOSE(SUMIFS('Графики (2)'!$E$7:$E$306,'Графики (2)'!$D$7:$D$306,'DCF (2)'!DU$6))</f>
        <v>0</v>
      </c>
      <c r="DV17" s="247" cm="1">
        <f t="array" ref="DV17">TRANSPOSE(SUMIFS('Графики (2)'!$E$7:$E$306,'Графики (2)'!$D$7:$D$306,'DCF (2)'!DV$6))</f>
        <v>0</v>
      </c>
      <c r="DW17" s="247" cm="1">
        <f t="array" ref="DW17">TRANSPOSE(SUMIFS('Графики (2)'!$E$7:$E$306,'Графики (2)'!$D$7:$D$306,'DCF (2)'!DW$6))</f>
        <v>0</v>
      </c>
      <c r="DX17" s="247" cm="1">
        <f t="array" ref="DX17">TRANSPOSE(SUMIFS('Графики (2)'!$E$7:$E$306,'Графики (2)'!$D$7:$D$306,'DCF (2)'!DX$6))</f>
        <v>0</v>
      </c>
      <c r="DY17" s="247" cm="1">
        <f t="array" ref="DY17">TRANSPOSE(SUMIFS('Графики (2)'!$E$7:$E$306,'Графики (2)'!$D$7:$D$306,'DCF (2)'!DY$6))</f>
        <v>0</v>
      </c>
      <c r="DZ17" s="247" cm="1">
        <f t="array" ref="DZ17">TRANSPOSE(SUMIFS('Графики (2)'!$E$7:$E$306,'Графики (2)'!$D$7:$D$306,'DCF (2)'!DZ$6))</f>
        <v>0</v>
      </c>
      <c r="EA17" s="247" cm="1">
        <f t="array" ref="EA17">TRANSPOSE(SUMIFS('Графики (2)'!$E$7:$E$306,'Графики (2)'!$D$7:$D$306,'DCF (2)'!EA$6))</f>
        <v>0</v>
      </c>
      <c r="EB17" s="247" cm="1">
        <f t="array" ref="EB17">TRANSPOSE(SUMIFS('Графики (2)'!$E$7:$E$306,'Графики (2)'!$D$7:$D$306,'DCF (2)'!EB$6))</f>
        <v>0</v>
      </c>
      <c r="EC17" s="247" cm="1">
        <f t="array" ref="EC17">TRANSPOSE(SUMIFS('Графики (2)'!$E$7:$E$306,'Графики (2)'!$D$7:$D$306,'DCF (2)'!EC$6))</f>
        <v>0</v>
      </c>
      <c r="ED17" s="247" cm="1">
        <f t="array" ref="ED17">TRANSPOSE(SUMIFS('Графики (2)'!$E$7:$E$306,'Графики (2)'!$D$7:$D$306,'DCF (2)'!ED$6))</f>
        <v>0</v>
      </c>
      <c r="EE17" s="247" cm="1">
        <f t="array" ref="EE17">TRANSPOSE(SUMIFS('Графики (2)'!$E$7:$E$306,'Графики (2)'!$D$7:$D$306,'DCF (2)'!EE$6))</f>
        <v>0</v>
      </c>
      <c r="EF17" s="247" cm="1">
        <f t="array" ref="EF17">TRANSPOSE(SUMIFS('Графики (2)'!$E$7:$E$306,'Графики (2)'!$D$7:$D$306,'DCF (2)'!EF$6))</f>
        <v>0</v>
      </c>
      <c r="EG17" s="247" cm="1">
        <f t="array" ref="EG17">TRANSPOSE(SUMIFS('Графики (2)'!$E$7:$E$306,'Графики (2)'!$D$7:$D$306,'DCF (2)'!EG$6))</f>
        <v>0</v>
      </c>
      <c r="EH17" s="247" cm="1">
        <f t="array" ref="EH17">TRANSPOSE(SUMIFS('Графики (2)'!$E$7:$E$306,'Графики (2)'!$D$7:$D$306,'DCF (2)'!EH$6))</f>
        <v>0</v>
      </c>
      <c r="EI17" s="247" cm="1">
        <f t="array" ref="EI17">TRANSPOSE(SUMIFS('Графики (2)'!$E$7:$E$306,'Графики (2)'!$D$7:$D$306,'DCF (2)'!EI$6))</f>
        <v>0</v>
      </c>
      <c r="EJ17" s="247" cm="1">
        <f t="array" ref="EJ17">TRANSPOSE(SUMIFS('Графики (2)'!$E$7:$E$306,'Графики (2)'!$D$7:$D$306,'DCF (2)'!EJ$6))</f>
        <v>0</v>
      </c>
      <c r="EK17" s="247" cm="1">
        <f t="array" ref="EK17">TRANSPOSE(SUMIFS('Графики (2)'!$E$7:$E$306,'Графики (2)'!$D$7:$D$306,'DCF (2)'!EK$6))</f>
        <v>0</v>
      </c>
      <c r="EL17" s="247" cm="1">
        <f t="array" ref="EL17">TRANSPOSE(SUMIFS('Графики (2)'!$E$7:$E$306,'Графики (2)'!$D$7:$D$306,'DCF (2)'!EL$6))</f>
        <v>0</v>
      </c>
      <c r="EM17" s="247" cm="1">
        <f t="array" ref="EM17">TRANSPOSE(SUMIFS('Графики (2)'!$E$7:$E$306,'Графики (2)'!$D$7:$D$306,'DCF (2)'!EM$6))</f>
        <v>0</v>
      </c>
      <c r="EN17" s="247" cm="1">
        <f t="array" ref="EN17">TRANSPOSE(SUMIFS('Графики (2)'!$E$7:$E$306,'Графики (2)'!$D$7:$D$306,'DCF (2)'!EN$6))</f>
        <v>0</v>
      </c>
      <c r="EO17" s="247" cm="1">
        <f t="array" ref="EO17">TRANSPOSE(SUMIFS('Графики (2)'!$E$7:$E$306,'Графики (2)'!$D$7:$D$306,'DCF (2)'!EO$6))</f>
        <v>0</v>
      </c>
      <c r="EP17" s="247" cm="1">
        <f t="array" ref="EP17">TRANSPOSE(SUMIFS('Графики (2)'!$E$7:$E$306,'Графики (2)'!$D$7:$D$306,'DCF (2)'!EP$6))</f>
        <v>0</v>
      </c>
      <c r="EQ17" s="247" cm="1">
        <f t="array" ref="EQ17">TRANSPOSE(SUMIFS('Графики (2)'!$E$7:$E$306,'Графики (2)'!$D$7:$D$306,'DCF (2)'!EQ$6))</f>
        <v>0</v>
      </c>
      <c r="ER17" s="247" cm="1">
        <f t="array" ref="ER17">TRANSPOSE(SUMIFS('Графики (2)'!$E$7:$E$306,'Графики (2)'!$D$7:$D$306,'DCF (2)'!ER$6))</f>
        <v>0</v>
      </c>
      <c r="ES17" s="247" cm="1">
        <f t="array" ref="ES17">TRANSPOSE(SUMIFS('Графики (2)'!$E$7:$E$306,'Графики (2)'!$D$7:$D$306,'DCF (2)'!ES$6))</f>
        <v>0</v>
      </c>
      <c r="ET17" s="247" cm="1">
        <f t="array" ref="ET17">TRANSPOSE(SUMIFS('Графики (2)'!$E$7:$E$306,'Графики (2)'!$D$7:$D$306,'DCF (2)'!ET$6))</f>
        <v>0</v>
      </c>
      <c r="EU17" s="247" cm="1">
        <f t="array" ref="EU17">TRANSPOSE(SUMIFS('Графики (2)'!$E$7:$E$306,'Графики (2)'!$D$7:$D$306,'DCF (2)'!EU$6))</f>
        <v>0</v>
      </c>
      <c r="EV17" s="247" cm="1">
        <f t="array" ref="EV17">TRANSPOSE(SUMIFS('Графики (2)'!$E$7:$E$306,'Графики (2)'!$D$7:$D$306,'DCF (2)'!EV$6))</f>
        <v>0</v>
      </c>
      <c r="EW17" s="247" cm="1">
        <f t="array" ref="EW17">TRANSPOSE(SUMIFS('Графики (2)'!$E$7:$E$306,'Графики (2)'!$D$7:$D$306,'DCF (2)'!EW$6))</f>
        <v>0</v>
      </c>
      <c r="EX17" s="247" cm="1">
        <f t="array" ref="EX17">TRANSPOSE(SUMIFS('Графики (2)'!$E$7:$E$306,'Графики (2)'!$D$7:$D$306,'DCF (2)'!EX$6))</f>
        <v>0</v>
      </c>
      <c r="EY17" s="247" cm="1">
        <f t="array" ref="EY17">TRANSPOSE(SUMIFS('Графики (2)'!$E$7:$E$306,'Графики (2)'!$D$7:$D$306,'DCF (2)'!EY$6))</f>
        <v>0</v>
      </c>
      <c r="EZ17" s="247" cm="1">
        <f t="array" ref="EZ17">TRANSPOSE(SUMIFS('Графики (2)'!$E$7:$E$306,'Графики (2)'!$D$7:$D$306,'DCF (2)'!EZ$6))</f>
        <v>0</v>
      </c>
      <c r="FA17" s="247" cm="1">
        <f t="array" ref="FA17">TRANSPOSE(SUMIFS('Графики (2)'!$E$7:$E$306,'Графики (2)'!$D$7:$D$306,'DCF (2)'!FA$6))</f>
        <v>0</v>
      </c>
      <c r="FB17" s="247" cm="1">
        <f t="array" ref="FB17">TRANSPOSE(SUMIFS('Графики (2)'!$E$7:$E$306,'Графики (2)'!$D$7:$D$306,'DCF (2)'!FB$6))</f>
        <v>0</v>
      </c>
      <c r="FC17" s="247" cm="1">
        <f t="array" ref="FC17">TRANSPOSE(SUMIFS('Графики (2)'!$E$7:$E$306,'Графики (2)'!$D$7:$D$306,'DCF (2)'!FC$6))</f>
        <v>0</v>
      </c>
      <c r="FD17" s="247" cm="1">
        <f t="array" ref="FD17">TRANSPOSE(SUMIFS('Графики (2)'!$E$7:$E$306,'Графики (2)'!$D$7:$D$306,'DCF (2)'!FD$6))</f>
        <v>0</v>
      </c>
      <c r="FE17" s="247" cm="1">
        <f t="array" ref="FE17">TRANSPOSE(SUMIFS('Графики (2)'!$E$7:$E$306,'Графики (2)'!$D$7:$D$306,'DCF (2)'!FE$6))</f>
        <v>0</v>
      </c>
      <c r="FF17" s="247" cm="1">
        <f t="array" ref="FF17">TRANSPOSE(SUMIFS(Графики!$E$7:$E$306,Графики!$D$7:$D$306,'DCF (2)'!FF$6))</f>
        <v>0</v>
      </c>
      <c r="FG17" s="247" cm="1">
        <f t="array" ref="FG17">TRANSPOSE(SUMIFS(Графики!$E$7:$E$306,Графики!$D$7:$D$306,'DCF (2)'!FG$6))</f>
        <v>0</v>
      </c>
      <c r="FH17" s="247" cm="1">
        <f t="array" ref="FH17">TRANSPOSE(SUMIFS(Графики!$E$7:$E$306,Графики!$D$7:$D$306,'DCF (2)'!FH$6))</f>
        <v>0</v>
      </c>
      <c r="FI17" s="247" cm="1">
        <f t="array" ref="FI17">TRANSPOSE(SUMIFS(Графики!$E$7:$E$306,Графики!$D$7:$D$306,'DCF (2)'!FI$6))</f>
        <v>0</v>
      </c>
      <c r="FJ17" s="247" cm="1">
        <f t="array" ref="FJ17">TRANSPOSE(SUMIFS(Графики!$E$7:$E$306,Графики!$D$7:$D$306,'DCF (2)'!FJ$6))</f>
        <v>0</v>
      </c>
      <c r="FK17" s="247" cm="1">
        <f t="array" ref="FK17">TRANSPOSE(SUMIFS(Графики!$E$7:$E$306,Графики!$D$7:$D$306,'DCF (2)'!FK$6))</f>
        <v>0</v>
      </c>
      <c r="FL17" s="247" cm="1">
        <f t="array" ref="FL17">TRANSPOSE(SUMIFS(Графики!$E$7:$E$306,Графики!$D$7:$D$306,'DCF (2)'!FL$6))</f>
        <v>0</v>
      </c>
      <c r="FM17" s="247" cm="1">
        <f t="array" ref="FM17">TRANSPOSE(SUMIFS(Графики!$E$7:$E$306,Графики!$D$7:$D$306,'DCF (2)'!FM$6))</f>
        <v>0</v>
      </c>
      <c r="FN17" s="247" cm="1">
        <f t="array" ref="FN17">TRANSPOSE(SUMIFS(Графики!$E$7:$E$306,Графики!$D$7:$D$306,'DCF (2)'!FN$6))</f>
        <v>0</v>
      </c>
      <c r="FO17" s="247" cm="1">
        <f t="array" ref="FO17">TRANSPOSE(SUMIFS(Графики!$E$7:$E$306,Графики!$D$7:$D$306,'DCF (2)'!FO$6))</f>
        <v>0</v>
      </c>
      <c r="FP17" s="247" cm="1">
        <f t="array" ref="FP17">TRANSPOSE(SUMIFS(Графики!$E$7:$E$306,Графики!$D$7:$D$306,'DCF (2)'!FP$6))</f>
        <v>0</v>
      </c>
      <c r="FQ17" s="247" cm="1">
        <f t="array" ref="FQ17">TRANSPOSE(SUMIFS(Графики!$E$7:$E$306,Графики!$D$7:$D$306,'DCF (2)'!FQ$6))</f>
        <v>0</v>
      </c>
      <c r="FR17" s="247" cm="1">
        <f t="array" ref="FR17">TRANSPOSE(SUMIFS(Графики!$E$7:$E$306,Графики!$D$7:$D$306,'DCF (2)'!FR$6))</f>
        <v>0</v>
      </c>
      <c r="FS17" s="247" cm="1">
        <f t="array" ref="FS17">TRANSPOSE(SUMIFS(Графики!$E$7:$E$306,Графики!$D$7:$D$306,'DCF (2)'!FS$6))</f>
        <v>0</v>
      </c>
      <c r="FT17" s="247" cm="1">
        <f t="array" ref="FT17">TRANSPOSE(SUMIFS(Графики!$E$7:$E$306,Графики!$D$7:$D$306,'DCF (2)'!FT$6))</f>
        <v>0</v>
      </c>
      <c r="FU17" s="247" cm="1">
        <f t="array" ref="FU17">TRANSPOSE(SUMIFS(Графики!$E$7:$E$306,Графики!$D$7:$D$306,'DCF (2)'!FU$6))</f>
        <v>0</v>
      </c>
      <c r="FV17" s="247" cm="1">
        <f t="array" ref="FV17">TRANSPOSE(SUMIFS(Графики!$E$7:$E$306,Графики!$D$7:$D$306,'DCF (2)'!FV$6))</f>
        <v>0</v>
      </c>
      <c r="FW17" s="247" cm="1">
        <f t="array" ref="FW17">TRANSPOSE(SUMIFS(Графики!$E$7:$E$306,Графики!$D$7:$D$306,'DCF (2)'!FW$6))</f>
        <v>0</v>
      </c>
      <c r="FX17" s="247" cm="1">
        <f t="array" ref="FX17">TRANSPOSE(SUMIFS(Графики!$E$7:$E$306,Графики!$D$7:$D$306,'DCF (2)'!FX$6))</f>
        <v>0</v>
      </c>
      <c r="FY17" s="247" cm="1">
        <f t="array" ref="FY17">TRANSPOSE(SUMIFS(Графики!$E$7:$E$306,Графики!$D$7:$D$306,'DCF (2)'!FY$6))</f>
        <v>0</v>
      </c>
      <c r="FZ17" s="247" cm="1">
        <f t="array" ref="FZ17">TRANSPOSE(SUMIFS(Графики!$E$7:$E$306,Графики!$D$7:$D$306,'DCF (2)'!FZ$6))</f>
        <v>0</v>
      </c>
      <c r="GA17" s="247" cm="1">
        <f t="array" ref="GA17">TRANSPOSE(SUMIFS(Графики!$E$7:$E$306,Графики!$D$7:$D$306,'DCF (2)'!GA$6))</f>
        <v>0</v>
      </c>
      <c r="GB17" s="247" cm="1">
        <f t="array" ref="GB17">TRANSPOSE(SUMIFS(Графики!$E$7:$E$306,Графики!$D$7:$D$306,'DCF (2)'!GB$6))</f>
        <v>0</v>
      </c>
      <c r="GC17" s="247" cm="1">
        <f t="array" ref="GC17">TRANSPOSE(SUMIFS(Графики!$E$7:$E$306,Графики!$D$7:$D$306,'DCF (2)'!GC$6))</f>
        <v>0</v>
      </c>
      <c r="GD17" s="247" cm="1">
        <f t="array" ref="GD17">TRANSPOSE(SUMIFS(Графики!$E$7:$E$306,Графики!$D$7:$D$306,'DCF (2)'!GD$6))</f>
        <v>0</v>
      </c>
      <c r="GE17" s="247" cm="1">
        <f t="array" ref="GE17">TRANSPOSE(SUMIFS(Графики!$E$7:$E$306,Графики!$D$7:$D$306,'DCF (2)'!GE$6))</f>
        <v>0</v>
      </c>
      <c r="GF17" s="247" cm="1">
        <f t="array" ref="GF17">TRANSPOSE(SUMIFS(Графики!$E$7:$E$306,Графики!$D$7:$D$306,'DCF (2)'!GF$6))</f>
        <v>0</v>
      </c>
      <c r="GG17" s="247" cm="1">
        <f t="array" ref="GG17">TRANSPOSE(SUMIFS(Графики!$E$7:$E$306,Графики!$D$7:$D$306,'DCF (2)'!GG$6))</f>
        <v>0</v>
      </c>
      <c r="GH17" s="247" cm="1">
        <f t="array" ref="GH17">TRANSPOSE(SUMIFS(Графики!$E$7:$E$306,Графики!$D$7:$D$306,'DCF (2)'!GH$6))</f>
        <v>0</v>
      </c>
      <c r="GI17" s="247" cm="1">
        <f t="array" ref="GI17">TRANSPOSE(SUMIFS(Графики!$E$7:$E$306,Графики!$D$7:$D$306,'DCF (2)'!GI$6))</f>
        <v>0</v>
      </c>
      <c r="GJ17" s="247" cm="1">
        <f t="array" ref="GJ17">TRANSPOSE(SUMIFS(Графики!$E$7:$E$306,Графики!$D$7:$D$306,'DCF (2)'!GJ$6))</f>
        <v>0</v>
      </c>
      <c r="GK17" s="247" cm="1">
        <f t="array" ref="GK17">TRANSPOSE(SUMIFS(Графики!$E$7:$E$306,Графики!$D$7:$D$306,'DCF (2)'!GK$6))</f>
        <v>0</v>
      </c>
      <c r="GL17" s="247" cm="1">
        <f t="array" ref="GL17">TRANSPOSE(SUMIFS(Графики!$E$7:$E$306,Графики!$D$7:$D$306,'DCF (2)'!GL$6))</f>
        <v>0</v>
      </c>
      <c r="GM17" s="247" cm="1">
        <f t="array" ref="GM17">TRANSPOSE(SUMIFS(Графики!$E$7:$E$306,Графики!$D$7:$D$306,'DCF (2)'!GM$6))</f>
        <v>0</v>
      </c>
      <c r="GN17" s="247" cm="1">
        <f t="array" ref="GN17">TRANSPOSE(SUMIFS(Графики!$E$7:$E$306,Графики!$D$7:$D$306,'DCF (2)'!GN$6))</f>
        <v>0</v>
      </c>
      <c r="GO17" s="247" cm="1">
        <f t="array" ref="GO17">TRANSPOSE(SUMIFS(Графики!$E$7:$E$306,Графики!$D$7:$D$306,'DCF (2)'!GO$6))</f>
        <v>0</v>
      </c>
      <c r="GP17" s="247" cm="1">
        <f t="array" ref="GP17">TRANSPOSE(SUMIFS(Графики!$E$7:$E$306,Графики!$D$7:$D$306,'DCF (2)'!GP$6))</f>
        <v>0</v>
      </c>
      <c r="GQ17" s="247" cm="1">
        <f t="array" ref="GQ17">TRANSPOSE(SUMIFS(Графики!$E$7:$E$306,Графики!$D$7:$D$306,'DCF (2)'!GQ$6))</f>
        <v>0</v>
      </c>
      <c r="GR17" s="247" cm="1">
        <f t="array" ref="GR17">TRANSPOSE(SUMIFS(Графики!$E$7:$E$306,Графики!$D$7:$D$306,'DCF (2)'!GR$6))</f>
        <v>0</v>
      </c>
      <c r="GS17" s="247" cm="1">
        <f t="array" ref="GS17">TRANSPOSE(SUMIFS(Графики!$E$7:$E$306,Графики!$D$7:$D$306,'DCF (2)'!GS$6))</f>
        <v>0</v>
      </c>
      <c r="GT17" s="247" cm="1">
        <f t="array" ref="GT17">TRANSPOSE(SUMIFS(Графики!$E$7:$E$306,Графики!$D$7:$D$306,'DCF (2)'!GT$6))</f>
        <v>0</v>
      </c>
      <c r="GU17" s="247" cm="1">
        <f t="array" ref="GU17">TRANSPOSE(SUMIFS(Графики!$E$7:$E$306,Графики!$D$7:$D$306,'DCF (2)'!GU$6))</f>
        <v>0</v>
      </c>
      <c r="GV17" s="247" cm="1">
        <f t="array" ref="GV17">TRANSPOSE(SUMIFS(Графики!$E$7:$E$306,Графики!$D$7:$D$306,'DCF (2)'!GV$6))</f>
        <v>0</v>
      </c>
      <c r="GW17" s="247" cm="1">
        <f t="array" ref="GW17">TRANSPOSE(SUMIFS(Графики!$E$7:$E$306,Графики!$D$7:$D$306,'DCF (2)'!GW$6))</f>
        <v>0</v>
      </c>
      <c r="GX17" s="247" cm="1">
        <f t="array" ref="GX17">TRANSPOSE(SUMIFS(Графики!$E$7:$E$306,Графики!$D$7:$D$306,'DCF (2)'!GX$6))</f>
        <v>0</v>
      </c>
      <c r="GY17" s="247" cm="1">
        <f t="array" ref="GY17">TRANSPOSE(SUMIFS(Графики!$E$7:$E$306,Графики!$D$7:$D$306,'DCF (2)'!GY$6))</f>
        <v>0</v>
      </c>
      <c r="GZ17" s="247" cm="1">
        <f t="array" ref="GZ17">TRANSPOSE(SUMIFS(Графики!$E$7:$E$306,Графики!$D$7:$D$306,'DCF (2)'!GZ$6))</f>
        <v>0</v>
      </c>
      <c r="HA17" s="247" cm="1">
        <f t="array" ref="HA17">TRANSPOSE(SUMIFS(Графики!$E$7:$E$306,Графики!$D$7:$D$306,'DCF (2)'!HA$6))</f>
        <v>0</v>
      </c>
      <c r="HB17" s="247" cm="1">
        <f t="array" ref="HB17">TRANSPOSE(SUMIFS(Графики!$E$7:$E$306,Графики!$D$7:$D$306,'DCF (2)'!HB$6))</f>
        <v>0</v>
      </c>
      <c r="HC17" s="247" cm="1">
        <f t="array" ref="HC17">TRANSPOSE(SUMIFS(Графики!$E$7:$E$306,Графики!$D$7:$D$306,'DCF (2)'!HC$6))</f>
        <v>0</v>
      </c>
      <c r="HD17" s="247" cm="1">
        <f t="array" ref="HD17">TRANSPOSE(SUMIFS(Графики!$E$7:$E$306,Графики!$D$7:$D$306,'DCF (2)'!HD$6))</f>
        <v>0</v>
      </c>
      <c r="HE17" s="247" cm="1">
        <f t="array" ref="HE17">TRANSPOSE(SUMIFS(Графики!$E$7:$E$306,Графики!$D$7:$D$306,'DCF (2)'!HE$6))</f>
        <v>0</v>
      </c>
      <c r="HF17" s="247" cm="1">
        <f t="array" ref="HF17">TRANSPOSE(SUMIFS(Графики!$E$7:$E$306,Графики!$D$7:$D$306,'DCF (2)'!HF$6))</f>
        <v>0</v>
      </c>
      <c r="HG17" s="247" cm="1">
        <f t="array" ref="HG17">TRANSPOSE(SUMIFS(Графики!$E$7:$E$306,Графики!$D$7:$D$306,'DCF (2)'!HG$6))</f>
        <v>0</v>
      </c>
      <c r="HH17" s="247" cm="1">
        <f t="array" ref="HH17">TRANSPOSE(SUMIFS(Графики!$E$7:$E$306,Графики!$D$7:$D$306,'DCF (2)'!HH$6))</f>
        <v>0</v>
      </c>
      <c r="HI17" s="247" cm="1">
        <f t="array" ref="HI17">TRANSPOSE(SUMIFS(Графики!$E$7:$E$306,Графики!$D$7:$D$306,'DCF (2)'!HI$6))</f>
        <v>0</v>
      </c>
      <c r="HJ17" s="247" cm="1">
        <f t="array" ref="HJ17">TRANSPOSE(SUMIFS(Графики!$E$7:$E$306,Графики!$D$7:$D$306,'DCF (2)'!HJ$6))</f>
        <v>0</v>
      </c>
      <c r="HK17" s="247" cm="1">
        <f t="array" ref="HK17">TRANSPOSE(SUMIFS(Графики!$E$7:$E$306,Графики!$D$7:$D$306,'DCF (2)'!HK$6))</f>
        <v>0</v>
      </c>
      <c r="HL17" s="247" cm="1">
        <f t="array" ref="HL17">TRANSPOSE(SUMIFS(Графики!$E$7:$E$306,Графики!$D$7:$D$306,'DCF (2)'!HL$6))</f>
        <v>0</v>
      </c>
      <c r="HM17" s="247" cm="1">
        <f t="array" ref="HM17">TRANSPOSE(SUMIFS(Графики!$E$7:$E$306,Графики!$D$7:$D$306,'DCF (2)'!HM$6))</f>
        <v>0</v>
      </c>
      <c r="HN17" s="247" cm="1">
        <f t="array" ref="HN17">TRANSPOSE(SUMIFS(Графики!$E$7:$E$306,Графики!$D$7:$D$306,'DCF (2)'!HN$6))</f>
        <v>0</v>
      </c>
      <c r="HO17" s="247" cm="1">
        <f t="array" ref="HO17">TRANSPOSE(SUMIFS(Графики!$E$7:$E$306,Графики!$D$7:$D$306,'DCF (2)'!HO$6))</f>
        <v>0</v>
      </c>
      <c r="HP17" s="247" cm="1">
        <f t="array" ref="HP17">TRANSPOSE(SUMIFS(Графики!$E$7:$E$306,Графики!$D$7:$D$306,'DCF (2)'!HP$6))</f>
        <v>0</v>
      </c>
      <c r="HQ17" s="247" cm="1">
        <f t="array" ref="HQ17">TRANSPOSE(SUMIFS(Графики!$E$7:$E$306,Графики!$D$7:$D$306,'DCF (2)'!HQ$6))</f>
        <v>0</v>
      </c>
      <c r="HR17" s="247" cm="1">
        <f t="array" ref="HR17">TRANSPOSE(SUMIFS(Графики!$E$7:$E$306,Графики!$D$7:$D$306,'DCF (2)'!HR$6))</f>
        <v>0</v>
      </c>
      <c r="HS17" s="247" cm="1">
        <f t="array" ref="HS17">TRANSPOSE(SUMIFS(Графики!$E$7:$E$306,Графики!$D$7:$D$306,'DCF (2)'!HS$6))</f>
        <v>0</v>
      </c>
      <c r="HT17" s="247" cm="1">
        <f t="array" ref="HT17">TRANSPOSE(SUMIFS(Графики!$E$7:$E$306,Графики!$D$7:$D$306,'DCF (2)'!HT$6))</f>
        <v>0</v>
      </c>
      <c r="HU17" s="247" cm="1">
        <f t="array" ref="HU17">TRANSPOSE(SUMIFS(Графики!$E$7:$E$306,Графики!$D$7:$D$306,'DCF (2)'!HU$6))</f>
        <v>0</v>
      </c>
      <c r="HV17" s="247" cm="1">
        <f t="array" ref="HV17">TRANSPOSE(SUMIFS(Графики!$E$7:$E$306,Графики!$D$7:$D$306,'DCF (2)'!HV$6))</f>
        <v>0</v>
      </c>
      <c r="HW17" s="247" cm="1">
        <f t="array" ref="HW17">TRANSPOSE(SUMIFS(Графики!$E$7:$E$306,Графики!$D$7:$D$306,'DCF (2)'!HW$6))</f>
        <v>0</v>
      </c>
      <c r="HX17" s="247" cm="1">
        <f t="array" ref="HX17">TRANSPOSE(SUMIFS(Графики!$E$7:$E$306,Графики!$D$7:$D$306,'DCF (2)'!HX$6))</f>
        <v>0</v>
      </c>
      <c r="HY17" s="247" cm="1">
        <f t="array" ref="HY17">TRANSPOSE(SUMIFS(Графики!$E$7:$E$306,Графики!$D$7:$D$306,'DCF (2)'!HY$6))</f>
        <v>0</v>
      </c>
      <c r="HZ17" s="247" cm="1">
        <f t="array" ref="HZ17">TRANSPOSE(SUMIFS(Графики!$E$7:$E$306,Графики!$D$7:$D$306,'DCF (2)'!HZ$6))</f>
        <v>0</v>
      </c>
      <c r="IA17" s="247" cm="1">
        <f t="array" ref="IA17">TRANSPOSE(SUMIFS(Графики!$E$7:$E$306,Графики!$D$7:$D$306,'DCF (2)'!IA$6))</f>
        <v>0</v>
      </c>
      <c r="IB17" s="247" cm="1">
        <f t="array" ref="IB17">TRANSPOSE(SUMIFS(Графики!$E$7:$E$306,Графики!$D$7:$D$306,'DCF (2)'!IB$6))</f>
        <v>0</v>
      </c>
      <c r="IC17" s="247" cm="1">
        <f t="array" ref="IC17">TRANSPOSE(SUMIFS(Графики!$E$7:$E$306,Графики!$D$7:$D$306,'DCF (2)'!IC$6))</f>
        <v>0</v>
      </c>
      <c r="ID17" s="247" cm="1">
        <f t="array" ref="ID17">TRANSPOSE(SUMIFS(Графики!$E$7:$E$306,Графики!$D$7:$D$306,'DCF (2)'!ID$6))</f>
        <v>0</v>
      </c>
      <c r="IE17" s="247" cm="1">
        <f t="array" ref="IE17">TRANSPOSE(SUMIFS(Графики!$E$7:$E$306,Графики!$D$7:$D$306,'DCF (2)'!IE$6))</f>
        <v>0</v>
      </c>
      <c r="IF17" s="247" cm="1">
        <f t="array" ref="IF17">TRANSPOSE(SUMIFS(Графики!$E$7:$E$306,Графики!$D$7:$D$306,'DCF (2)'!IF$6))</f>
        <v>0</v>
      </c>
      <c r="IG17" s="247" cm="1">
        <f t="array" ref="IG17">TRANSPOSE(SUMIFS(Графики!$E$7:$E$306,Графики!$D$7:$D$306,'DCF (2)'!IG$6))</f>
        <v>0</v>
      </c>
      <c r="IH17" s="247" cm="1">
        <f t="array" ref="IH17">TRANSPOSE(SUMIFS(Графики!$E$7:$E$306,Графики!$D$7:$D$306,'DCF (2)'!IH$6))</f>
        <v>0</v>
      </c>
      <c r="II17" s="247" cm="1">
        <f t="array" ref="II17">TRANSPOSE(SUMIFS(Графики!$E$7:$E$306,Графики!$D$7:$D$306,'DCF (2)'!II$6))</f>
        <v>0</v>
      </c>
      <c r="IJ17" s="247" cm="1">
        <f t="array" ref="IJ17">TRANSPOSE(SUMIFS(Графики!$E$7:$E$306,Графики!$D$7:$D$306,'DCF (2)'!IJ$6))</f>
        <v>0</v>
      </c>
      <c r="IK17" s="247" cm="1">
        <f t="array" ref="IK17">TRANSPOSE(SUMIFS(Графики!$E$7:$E$306,Графики!$D$7:$D$306,'DCF (2)'!IK$6))</f>
        <v>0</v>
      </c>
      <c r="IL17" s="247" cm="1">
        <f t="array" ref="IL17">TRANSPOSE(SUMIFS(Графики!$E$7:$E$306,Графики!$D$7:$D$306,'DCF (2)'!IL$6))</f>
        <v>0</v>
      </c>
      <c r="IM17" s="247" cm="1">
        <f t="array" ref="IM17">TRANSPOSE(SUMIFS(Графики!$E$7:$E$306,Графики!$D$7:$D$306,'DCF (2)'!IM$6))</f>
        <v>0</v>
      </c>
      <c r="IN17" s="247" cm="1">
        <f t="array" ref="IN17">TRANSPOSE(SUMIFS(Графики!$E$7:$E$306,Графики!$D$7:$D$306,'DCF (2)'!IN$6))</f>
        <v>0</v>
      </c>
      <c r="IO17" s="247" cm="1">
        <f t="array" ref="IO17">TRANSPOSE(SUMIFS(Графики!$E$7:$E$306,Графики!$D$7:$D$306,'DCF (2)'!IO$6))</f>
        <v>0</v>
      </c>
      <c r="IP17" s="247" cm="1">
        <f t="array" ref="IP17">TRANSPOSE(SUMIFS(Графики!$E$7:$E$306,Графики!$D$7:$D$306,'DCF (2)'!IP$6))</f>
        <v>0</v>
      </c>
      <c r="IQ17" s="247" cm="1">
        <f t="array" ref="IQ17">TRANSPOSE(SUMIFS(Графики!$E$7:$E$306,Графики!$D$7:$D$306,'DCF (2)'!IQ$6))</f>
        <v>0</v>
      </c>
      <c r="IR17" s="247" cm="1">
        <f t="array" ref="IR17">TRANSPOSE(SUMIFS(Графики!$E$7:$E$306,Графики!$D$7:$D$306,'DCF (2)'!IR$6))</f>
        <v>0</v>
      </c>
      <c r="IS17" s="247" cm="1">
        <f t="array" ref="IS17">TRANSPOSE(SUMIFS(Графики!$E$7:$E$306,Графики!$D$7:$D$306,'DCF (2)'!IS$6))</f>
        <v>0</v>
      </c>
      <c r="IT17" s="247" cm="1">
        <f t="array" ref="IT17">TRANSPOSE(SUMIFS(Графики!$E$7:$E$306,Графики!$D$7:$D$306,'DCF (2)'!IT$6))</f>
        <v>0</v>
      </c>
      <c r="IU17" s="247" cm="1">
        <f t="array" ref="IU17">TRANSPOSE(SUMIFS(Графики!$E$7:$E$306,Графики!$D$7:$D$306,'DCF (2)'!IU$6))</f>
        <v>0</v>
      </c>
      <c r="IV17" s="247" cm="1">
        <f t="array" ref="IV17">TRANSPOSE(SUMIFS(Графики!$E$7:$E$306,Графики!$D$7:$D$306,'DCF (2)'!IV$6))</f>
        <v>0</v>
      </c>
      <c r="IW17" s="247" cm="1">
        <f t="array" ref="IW17">TRANSPOSE(SUMIFS(Графики!$E$7:$E$306,Графики!$D$7:$D$306,'DCF (2)'!IW$6))</f>
        <v>0</v>
      </c>
      <c r="IX17" s="247" cm="1">
        <f t="array" ref="IX17">TRANSPOSE(SUMIFS(Графики!$E$7:$E$306,Графики!$D$7:$D$306,'DCF (2)'!IX$6))</f>
        <v>0</v>
      </c>
      <c r="IY17" s="247" cm="1">
        <f t="array" ref="IY17">TRANSPOSE(SUMIFS(Графики!$E$7:$E$306,Графики!$D$7:$D$306,'DCF (2)'!IY$6))</f>
        <v>0</v>
      </c>
      <c r="IZ17" s="247" cm="1">
        <f t="array" ref="IZ17">TRANSPOSE(SUMIFS(Графики!$E$7:$E$306,Графики!$D$7:$D$306,'DCF (2)'!IZ$6))</f>
        <v>0</v>
      </c>
      <c r="JA17" s="247" cm="1">
        <f t="array" ref="JA17">TRANSPOSE(SUMIFS(Графики!$E$7:$E$306,Графики!$D$7:$D$306,'DCF (2)'!JA$6))</f>
        <v>0</v>
      </c>
      <c r="JB17" s="247" cm="1">
        <f t="array" ref="JB17">TRANSPOSE(SUMIFS(Графики!$E$7:$E$306,Графики!$D$7:$D$306,'DCF (2)'!JB$6))</f>
        <v>0</v>
      </c>
      <c r="JC17" s="247" cm="1">
        <f t="array" ref="JC17">TRANSPOSE(SUMIFS(Графики!$E$7:$E$306,Графики!$D$7:$D$306,'DCF (2)'!JC$6))</f>
        <v>0</v>
      </c>
      <c r="JD17" s="247" cm="1">
        <f t="array" ref="JD17">TRANSPOSE(SUMIFS(Графики!$E$7:$E$306,Графики!$D$7:$D$306,'DCF (2)'!JD$6))</f>
        <v>0</v>
      </c>
      <c r="JE17" s="247" cm="1">
        <f t="array" ref="JE17">TRANSPOSE(SUMIFS(Графики!$E$7:$E$306,Графики!$D$7:$D$306,'DCF (2)'!JE$6))</f>
        <v>0</v>
      </c>
      <c r="JF17" s="247" cm="1">
        <f t="array" ref="JF17">TRANSPOSE(SUMIFS(Графики!$E$7:$E$306,Графики!$D$7:$D$306,'DCF (2)'!JF$6))</f>
        <v>0</v>
      </c>
      <c r="JG17" s="247" cm="1">
        <f t="array" ref="JG17">TRANSPOSE(SUMIFS(Графики!$E$7:$E$306,Графики!$D$7:$D$306,'DCF (2)'!JG$6))</f>
        <v>0</v>
      </c>
      <c r="JH17" s="247" cm="1">
        <f t="array" ref="JH17">TRANSPOSE(SUMIFS(Графики!$E$7:$E$306,Графики!$D$7:$D$306,'DCF (2)'!JH$6))</f>
        <v>0</v>
      </c>
      <c r="JI17" s="247" cm="1">
        <f t="array" ref="JI17">TRANSPOSE(SUMIFS(Графики!$E$7:$E$306,Графики!$D$7:$D$306,'DCF (2)'!JI$6))</f>
        <v>0</v>
      </c>
      <c r="JJ17" s="247" cm="1">
        <f t="array" ref="JJ17">TRANSPOSE(SUMIFS(Графики!$E$7:$E$306,Графики!$D$7:$D$306,'DCF (2)'!JJ$6))</f>
        <v>0</v>
      </c>
      <c r="JK17" s="247" cm="1">
        <f t="array" ref="JK17">TRANSPOSE(SUMIFS(Графики!$E$7:$E$306,Графики!$D$7:$D$306,'DCF (2)'!JK$6))</f>
        <v>0</v>
      </c>
      <c r="JL17" s="247" cm="1">
        <f t="array" ref="JL17">TRANSPOSE(SUMIFS(Графики!$E$7:$E$306,Графики!$D$7:$D$306,'DCF (2)'!JL$6))</f>
        <v>0</v>
      </c>
      <c r="JM17" s="247" cm="1">
        <f t="array" ref="JM17">TRANSPOSE(SUMIFS(Графики!$E$7:$E$306,Графики!$D$7:$D$306,'DCF (2)'!JM$6))</f>
        <v>0</v>
      </c>
      <c r="JN17" s="247" cm="1">
        <f t="array" ref="JN17">TRANSPOSE(SUMIFS(Графики!$E$7:$E$306,Графики!$D$7:$D$306,'DCF (2)'!JN$6))</f>
        <v>0</v>
      </c>
      <c r="JO17" s="247" cm="1">
        <f t="array" ref="JO17">TRANSPOSE(SUMIFS(Графики!$E$7:$E$306,Графики!$D$7:$D$306,'DCF (2)'!JO$6))</f>
        <v>0</v>
      </c>
      <c r="JP17" s="247" cm="1">
        <f t="array" ref="JP17">TRANSPOSE(SUMIFS(Графики!$E$7:$E$306,Графики!$D$7:$D$306,'DCF (2)'!JP$6))</f>
        <v>0</v>
      </c>
      <c r="JQ17" s="247" cm="1">
        <f t="array" ref="JQ17">TRANSPOSE(SUMIFS(Графики!$E$7:$E$306,Графики!$D$7:$D$306,'DCF (2)'!JQ$6))</f>
        <v>0</v>
      </c>
      <c r="JR17" s="247" cm="1">
        <f t="array" ref="JR17">TRANSPOSE(SUMIFS(Графики!$E$7:$E$306,Графики!$D$7:$D$306,'DCF (2)'!JR$6))</f>
        <v>0</v>
      </c>
      <c r="JS17" s="247" cm="1">
        <f t="array" ref="JS17">TRANSPOSE(SUMIFS(Графики!$E$7:$E$306,Графики!$D$7:$D$306,'DCF (2)'!JS$6))</f>
        <v>0</v>
      </c>
      <c r="JT17" s="247" cm="1">
        <f t="array" ref="JT17">TRANSPOSE(SUMIFS(Графики!$E$7:$E$306,Графики!$D$7:$D$306,'DCF (2)'!JT$6))</f>
        <v>0</v>
      </c>
      <c r="JU17" s="247" cm="1">
        <f t="array" ref="JU17">TRANSPOSE(SUMIFS(Графики!$E$7:$E$306,Графики!$D$7:$D$306,'DCF (2)'!JU$6))</f>
        <v>0</v>
      </c>
      <c r="JV17" s="247" cm="1">
        <f t="array" ref="JV17">TRANSPOSE(SUMIFS(Графики!$E$7:$E$306,Графики!$D$7:$D$306,'DCF (2)'!JV$6))</f>
        <v>0</v>
      </c>
      <c r="JW17" s="247" cm="1">
        <f t="array" ref="JW17">TRANSPOSE(SUMIFS(Графики!$E$7:$E$306,Графики!$D$7:$D$306,'DCF (2)'!JW$6))</f>
        <v>0</v>
      </c>
      <c r="JX17" s="247" cm="1">
        <f t="array" ref="JX17">TRANSPOSE(SUMIFS(Графики!$E$7:$E$306,Графики!$D$7:$D$306,'DCF (2)'!JX$6))</f>
        <v>0</v>
      </c>
      <c r="JY17" s="247" cm="1">
        <f t="array" ref="JY17">TRANSPOSE(SUMIFS(Графики!$E$7:$E$306,Графики!$D$7:$D$306,'DCF (2)'!JY$6))</f>
        <v>0</v>
      </c>
      <c r="JZ17" s="247" cm="1">
        <f t="array" ref="JZ17">TRANSPOSE(SUMIFS(Графики!$E$7:$E$306,Графики!$D$7:$D$306,'DCF (2)'!JZ$6))</f>
        <v>0</v>
      </c>
      <c r="KA17" s="247" cm="1">
        <f t="array" ref="KA17">TRANSPOSE(SUMIFS(Графики!$E$7:$E$306,Графики!$D$7:$D$306,'DCF (2)'!KA$6))</f>
        <v>0</v>
      </c>
      <c r="KB17" s="247" cm="1">
        <f t="array" ref="KB17">TRANSPOSE(SUMIFS(Графики!$E$7:$E$306,Графики!$D$7:$D$306,'DCF (2)'!KB$6))</f>
        <v>0</v>
      </c>
      <c r="KC17" s="247" cm="1">
        <f t="array" ref="KC17">TRANSPOSE(SUMIFS(Графики!$E$7:$E$306,Графики!$D$7:$D$306,'DCF (2)'!KC$6))</f>
        <v>0</v>
      </c>
      <c r="KD17" s="247" cm="1">
        <f t="array" ref="KD17">TRANSPOSE(SUMIFS(Графики!$E$7:$E$306,Графики!$D$7:$D$306,'DCF (2)'!KD$6))</f>
        <v>0</v>
      </c>
      <c r="KE17" s="247" cm="1">
        <f t="array" ref="KE17">TRANSPOSE(SUMIFS(Графики!$E$7:$E$306,Графики!$D$7:$D$306,'DCF (2)'!KE$6))</f>
        <v>0</v>
      </c>
      <c r="KF17" s="247" cm="1">
        <f t="array" ref="KF17">TRANSPOSE(SUMIFS(Графики!$E$7:$E$306,Графики!$D$7:$D$306,'DCF (2)'!KF$6))</f>
        <v>0</v>
      </c>
      <c r="KG17" s="247" cm="1">
        <f t="array" ref="KG17">TRANSPOSE(SUMIFS(Графики!$E$7:$E$306,Графики!$D$7:$D$306,'DCF (2)'!KG$6))</f>
        <v>0</v>
      </c>
      <c r="KH17" s="247" cm="1">
        <f t="array" ref="KH17">TRANSPOSE(SUMIFS(Графики!$E$7:$E$306,Графики!$D$7:$D$306,'DCF (2)'!KH$6))</f>
        <v>0</v>
      </c>
      <c r="KI17" s="247" cm="1">
        <f t="array" ref="KI17">TRANSPOSE(SUMIFS(Графики!$E$7:$E$306,Графики!$D$7:$D$306,'DCF (2)'!KI$6))</f>
        <v>0</v>
      </c>
      <c r="KJ17" s="247" cm="1">
        <f t="array" ref="KJ17">TRANSPOSE(SUMIFS(Графики!$E$7:$E$306,Графики!$D$7:$D$306,'DCF (2)'!KJ$6))</f>
        <v>0</v>
      </c>
      <c r="KK17" s="247" cm="1">
        <f t="array" ref="KK17">TRANSPOSE(SUMIFS(Графики!$E$7:$E$306,Графики!$D$7:$D$306,'DCF (2)'!KK$6))</f>
        <v>0</v>
      </c>
      <c r="KL17" s="247" cm="1">
        <f t="array" ref="KL17">TRANSPOSE(SUMIFS(Графики!$E$7:$E$306,Графики!$D$7:$D$306,'DCF (2)'!KL$6))</f>
        <v>0</v>
      </c>
      <c r="KM17" s="247" cm="1">
        <f t="array" ref="KM17">TRANSPOSE(SUMIFS(Графики!$E$7:$E$306,Графики!$D$7:$D$306,'DCF (2)'!KM$6))</f>
        <v>0</v>
      </c>
      <c r="KN17" s="247" cm="1">
        <f t="array" ref="KN17">TRANSPOSE(SUMIFS(Графики!$E$7:$E$306,Графики!$D$7:$D$306,'DCF (2)'!KN$6))</f>
        <v>0</v>
      </c>
      <c r="KO17" s="247" cm="1">
        <f t="array" ref="KO17">TRANSPOSE(SUMIFS(Графики!$E$7:$E$306,Графики!$D$7:$D$306,'DCF (2)'!KO$6))</f>
        <v>0</v>
      </c>
      <c r="KP17" s="247" cm="1">
        <f t="array" ref="KP17">TRANSPOSE(SUMIFS(Графики!$E$7:$E$306,Графики!$D$7:$D$306,'DCF (2)'!KP$6))</f>
        <v>0</v>
      </c>
      <c r="KQ17" s="247" cm="1">
        <f t="array" ref="KQ17">TRANSPOSE(SUMIFS(Графики!$E$7:$E$306,Графики!$D$7:$D$306,'DCF (2)'!KQ$6))</f>
        <v>0</v>
      </c>
    </row>
    <row r="18" spans="2:303" x14ac:dyDescent="0.35">
      <c r="B18" s="289" t="s">
        <v>113</v>
      </c>
      <c r="C18" s="241">
        <f>SUM(D18:KQ18)</f>
        <v>0</v>
      </c>
      <c r="D18" s="247" cm="1">
        <f t="array" ref="D18">TRANSPOSE(SUMIFS(Графики!$G$7:$G$306,Графики!$D$7:$D$306,'DCF (2)'!D$6))</f>
        <v>0</v>
      </c>
      <c r="E18" s="247" cm="1">
        <f t="array" ref="E18">TRANSPOSE(SUMIFS(Графики!$G$7:$G$306,Графики!$D$7:$D$306,'DCF (2)'!E$6))</f>
        <v>0</v>
      </c>
      <c r="F18" s="247" cm="1">
        <f t="array" ref="F18">TRANSPOSE(SUMIFS(Графики!$G$7:$G$306,Графики!$D$7:$D$306,'DCF (2)'!F$6))</f>
        <v>0</v>
      </c>
      <c r="G18" s="247" cm="1">
        <f t="array" ref="G18">TRANSPOSE(SUMIFS(Графики!$G$7:$G$306,Графики!$D$7:$D$306,'DCF (2)'!G$6))</f>
        <v>0</v>
      </c>
      <c r="H18" s="247" cm="1">
        <f t="array" ref="H18">TRANSPOSE(SUMIFS(Графики!$G$7:$G$306,Графики!$D$7:$D$306,'DCF (2)'!H$6))</f>
        <v>0</v>
      </c>
      <c r="I18" s="247" cm="1">
        <f t="array" ref="I18">TRANSPOSE(SUMIFS(Графики!$G$7:$G$306,Графики!$D$7:$D$306,'DCF (2)'!I$6))</f>
        <v>0</v>
      </c>
      <c r="J18" s="247" cm="1">
        <f t="array" ref="J18">TRANSPOSE(SUMIFS(Графики!$G$7:$G$306,Графики!$D$7:$D$306,'DCF (2)'!J$6))</f>
        <v>0</v>
      </c>
      <c r="K18" s="247" cm="1">
        <f t="array" ref="K18">TRANSPOSE(SUMIFS(Графики!$G$7:$G$306,Графики!$D$7:$D$306,'DCF (2)'!K$6))</f>
        <v>0</v>
      </c>
      <c r="L18" s="247" cm="1">
        <f t="array" ref="L18">TRANSPOSE(SUMIFS(Графики!$G$7:$G$306,Графики!$D$7:$D$306,'DCF (2)'!L$6))</f>
        <v>0</v>
      </c>
      <c r="M18" s="247" cm="1">
        <f t="array" ref="M18">TRANSPOSE(SUMIFS(Графики!$G$7:$G$306,Графики!$D$7:$D$306,'DCF (2)'!M$6))</f>
        <v>0</v>
      </c>
      <c r="N18" s="247" cm="1">
        <f t="array" ref="N18">TRANSPOSE(SUMIFS(Графики!$G$7:$G$306,Графики!$D$7:$D$306,'DCF (2)'!N$6))</f>
        <v>0</v>
      </c>
      <c r="O18" s="247" cm="1">
        <f t="array" ref="O18">TRANSPOSE(SUMIFS(Графики!$G$7:$G$306,Графики!$D$7:$D$306,'DCF (2)'!O$6))</f>
        <v>0</v>
      </c>
      <c r="P18" s="247" cm="1">
        <f t="array" ref="P18">TRANSPOSE(SUMIFS(Графики!$G$7:$G$306,Графики!$D$7:$D$306,'DCF (2)'!P$6))</f>
        <v>0</v>
      </c>
      <c r="Q18" s="247" cm="1">
        <f t="array" ref="Q18">TRANSPOSE(SUMIFS(Графики!$G$7:$G$306,Графики!$D$7:$D$306,'DCF (2)'!Q$6))</f>
        <v>0</v>
      </c>
      <c r="R18" s="247" cm="1">
        <f t="array" ref="R18">TRANSPOSE(SUMIFS(Графики!$G$7:$G$306,Графики!$D$7:$D$306,'DCF (2)'!R$6))</f>
        <v>0</v>
      </c>
      <c r="S18" s="247" cm="1">
        <f t="array" ref="S18">TRANSPOSE(SUMIFS(Графики!$G$7:$G$306,Графики!$D$7:$D$306,'DCF (2)'!S$6))</f>
        <v>0</v>
      </c>
      <c r="T18" s="247" cm="1">
        <f t="array" ref="T18">TRANSPOSE(SUMIFS(Графики!$G$7:$G$306,Графики!$D$7:$D$306,'DCF (2)'!T$6))</f>
        <v>0</v>
      </c>
      <c r="U18" s="247" cm="1">
        <f t="array" ref="U18">TRANSPOSE(SUMIFS(Графики!$G$7:$G$306,Графики!$D$7:$D$306,'DCF (2)'!U$6))</f>
        <v>0</v>
      </c>
      <c r="V18" s="247" cm="1">
        <f t="array" ref="V18">TRANSPOSE(SUMIFS(Графики!$G$7:$G$306,Графики!$D$7:$D$306,'DCF (2)'!V$6))</f>
        <v>0</v>
      </c>
      <c r="W18" s="247" cm="1">
        <f t="array" ref="W18">TRANSPOSE(SUMIFS(Графики!$G$7:$G$306,Графики!$D$7:$D$306,'DCF (2)'!W$6))</f>
        <v>0</v>
      </c>
      <c r="X18" s="247" cm="1">
        <f t="array" ref="X18">TRANSPOSE(SUMIFS(Графики!$G$7:$G$306,Графики!$D$7:$D$306,'DCF (2)'!X$6))</f>
        <v>0</v>
      </c>
      <c r="Y18" s="247" cm="1">
        <f t="array" ref="Y18">TRANSPOSE(SUMIFS(Графики!$G$7:$G$306,Графики!$D$7:$D$306,'DCF (2)'!Y$6))</f>
        <v>0</v>
      </c>
      <c r="Z18" s="247" cm="1">
        <f t="array" ref="Z18">TRANSPOSE(SUMIFS(Графики!$G$7:$G$306,Графики!$D$7:$D$306,'DCF (2)'!Z$6))</f>
        <v>0</v>
      </c>
      <c r="AA18" s="247" cm="1">
        <f t="array" ref="AA18">TRANSPOSE(SUMIFS(Графики!$G$7:$G$306,Графики!$D$7:$D$306,'DCF (2)'!AA$6))</f>
        <v>0</v>
      </c>
      <c r="AB18" s="247" cm="1">
        <f t="array" ref="AB18">TRANSPOSE(SUMIFS(Графики!$G$7:$G$306,Графики!$D$7:$D$306,'DCF (2)'!AB$6))</f>
        <v>0</v>
      </c>
      <c r="AC18" s="247" cm="1">
        <f t="array" ref="AC18">TRANSPOSE(SUMIFS(Графики!$G$7:$G$306,Графики!$D$7:$D$306,'DCF (2)'!AC$6))</f>
        <v>0</v>
      </c>
      <c r="AD18" s="247" cm="1">
        <f t="array" ref="AD18">TRANSPOSE(SUMIFS(Графики!$G$7:$G$306,Графики!$D$7:$D$306,'DCF (2)'!AD$6))</f>
        <v>0</v>
      </c>
      <c r="AE18" s="247" cm="1">
        <f t="array" ref="AE18">TRANSPOSE(SUMIFS(Графики!$G$7:$G$306,Графики!$D$7:$D$306,'DCF (2)'!AE$6))</f>
        <v>0</v>
      </c>
      <c r="AF18" s="247" cm="1">
        <f t="array" ref="AF18">TRANSPOSE(SUMIFS(Графики!$G$7:$G$306,Графики!$D$7:$D$306,'DCF (2)'!AF$6))</f>
        <v>0</v>
      </c>
      <c r="AG18" s="247" cm="1">
        <f t="array" ref="AG18">TRANSPOSE(SUMIFS(Графики!$G$7:$G$306,Графики!$D$7:$D$306,'DCF (2)'!AG$6))</f>
        <v>0</v>
      </c>
      <c r="AH18" s="247" cm="1">
        <f t="array" ref="AH18">TRANSPOSE(SUMIFS(Графики!$G$7:$G$306,Графики!$D$7:$D$306,'DCF (2)'!AH$6))</f>
        <v>0</v>
      </c>
      <c r="AI18" s="247" cm="1">
        <f t="array" ref="AI18">TRANSPOSE(SUMIFS(Графики!$G$7:$G$306,Графики!$D$7:$D$306,'DCF (2)'!AI$6))</f>
        <v>0</v>
      </c>
      <c r="AJ18" s="247" cm="1">
        <f t="array" ref="AJ18">TRANSPOSE(SUMIFS(Графики!$G$7:$G$306,Графики!$D$7:$D$306,'DCF (2)'!AJ$6))</f>
        <v>0</v>
      </c>
      <c r="AK18" s="247" cm="1">
        <f t="array" ref="AK18">TRANSPOSE(SUMIFS(Графики!$G$7:$G$306,Графики!$D$7:$D$306,'DCF (2)'!AK$6))</f>
        <v>0</v>
      </c>
      <c r="AL18" s="247" cm="1">
        <f t="array" ref="AL18">TRANSPOSE(SUMIFS(Графики!$G$7:$G$306,Графики!$D$7:$D$306,'DCF (2)'!AL$6))</f>
        <v>0</v>
      </c>
      <c r="AM18" s="247" cm="1">
        <f t="array" ref="AM18">TRANSPOSE(SUMIFS(Графики!$G$7:$G$306,Графики!$D$7:$D$306,'DCF (2)'!AM$6))</f>
        <v>0</v>
      </c>
      <c r="AN18" s="247" cm="1">
        <f t="array" ref="AN18">TRANSPOSE(SUMIFS(Графики!$G$7:$G$306,Графики!$D$7:$D$306,'DCF (2)'!AN$6))</f>
        <v>0</v>
      </c>
      <c r="AO18" s="247" cm="1">
        <f t="array" ref="AO18">TRANSPOSE(SUMIFS(Графики!$G$7:$G$306,Графики!$D$7:$D$306,'DCF (2)'!AO$6))</f>
        <v>0</v>
      </c>
      <c r="AP18" s="247" cm="1">
        <f t="array" ref="AP18">TRANSPOSE(SUMIFS(Графики!$G$7:$G$306,Графики!$D$7:$D$306,'DCF (2)'!AP$6))</f>
        <v>0</v>
      </c>
      <c r="AQ18" s="247" cm="1">
        <f t="array" ref="AQ18">TRANSPOSE(SUMIFS(Графики!$G$7:$G$306,Графики!$D$7:$D$306,'DCF (2)'!AQ$6))</f>
        <v>0</v>
      </c>
      <c r="AR18" s="247" cm="1">
        <f t="array" ref="AR18">TRANSPOSE(SUMIFS(Графики!$G$7:$G$306,Графики!$D$7:$D$306,'DCF (2)'!AR$6))</f>
        <v>0</v>
      </c>
      <c r="AS18" s="247" cm="1">
        <f t="array" ref="AS18">TRANSPOSE(SUMIFS(Графики!$G$7:$G$306,Графики!$D$7:$D$306,'DCF (2)'!AS$6))</f>
        <v>0</v>
      </c>
      <c r="AT18" s="247" cm="1">
        <f t="array" ref="AT18">TRANSPOSE(SUMIFS(Графики!$G$7:$G$306,Графики!$D$7:$D$306,'DCF (2)'!AT$6))</f>
        <v>0</v>
      </c>
      <c r="AU18" s="247" cm="1">
        <f t="array" ref="AU18">TRANSPOSE(SUMIFS(Графики!$G$7:$G$306,Графики!$D$7:$D$306,'DCF (2)'!AU$6))</f>
        <v>0</v>
      </c>
      <c r="AV18" s="247" cm="1">
        <f t="array" ref="AV18">TRANSPOSE(SUMIFS(Графики!$G$7:$G$306,Графики!$D$7:$D$306,'DCF (2)'!AV$6))</f>
        <v>0</v>
      </c>
      <c r="AW18" s="247" cm="1">
        <f t="array" ref="AW18">TRANSPOSE(SUMIFS(Графики!$G$7:$G$306,Графики!$D$7:$D$306,'DCF (2)'!AW$6))</f>
        <v>0</v>
      </c>
      <c r="AX18" s="247" cm="1">
        <f t="array" ref="AX18">TRANSPOSE(SUMIFS(Графики!$G$7:$G$306,Графики!$D$7:$D$306,'DCF (2)'!AX$6))</f>
        <v>0</v>
      </c>
      <c r="AY18" s="247" cm="1">
        <f t="array" ref="AY18">TRANSPOSE(SUMIFS(Графики!$G$7:$G$306,Графики!$D$7:$D$306,'DCF (2)'!AY$6))</f>
        <v>0</v>
      </c>
      <c r="AZ18" s="247" cm="1">
        <f t="array" ref="AZ18">TRANSPOSE(SUMIFS(Графики!$G$7:$G$306,Графики!$D$7:$D$306,'DCF (2)'!AZ$6))</f>
        <v>0</v>
      </c>
      <c r="BA18" s="247" cm="1">
        <f t="array" ref="BA18">TRANSPOSE(SUMIFS(Графики!$G$7:$G$306,Графики!$D$7:$D$306,'DCF (2)'!BA$6))</f>
        <v>0</v>
      </c>
      <c r="BB18" s="247" cm="1">
        <f t="array" ref="BB18">TRANSPOSE(SUMIFS(Графики!$G$7:$G$306,Графики!$D$7:$D$306,'DCF (2)'!BB$6))</f>
        <v>0</v>
      </c>
      <c r="BC18" s="247" cm="1">
        <f t="array" ref="BC18">TRANSPOSE(SUMIFS(Графики!$G$7:$G$306,Графики!$D$7:$D$306,'DCF (2)'!BC$6))</f>
        <v>0</v>
      </c>
      <c r="BD18" s="247" cm="1">
        <f t="array" ref="BD18">TRANSPOSE(SUMIFS(Графики!$G$7:$G$306,Графики!$D$7:$D$306,'DCF (2)'!BD$6))</f>
        <v>0</v>
      </c>
      <c r="BE18" s="247" cm="1">
        <f t="array" ref="BE18">TRANSPOSE(SUMIFS(Графики!$G$7:$G$306,Графики!$D$7:$D$306,'DCF (2)'!BE$6))</f>
        <v>0</v>
      </c>
      <c r="BF18" s="247" cm="1">
        <f t="array" ref="BF18">TRANSPOSE(SUMIFS(Графики!$G$7:$G$306,Графики!$D$7:$D$306,'DCF (2)'!BF$6))</f>
        <v>0</v>
      </c>
      <c r="BG18" s="247" cm="1">
        <f t="array" ref="BG18">TRANSPOSE(SUMIFS(Графики!$G$7:$G$306,Графики!$D$7:$D$306,'DCF (2)'!BG$6))</f>
        <v>0</v>
      </c>
      <c r="BH18" s="247" cm="1">
        <f t="array" ref="BH18">TRANSPOSE(SUMIFS(Графики!$G$7:$G$306,Графики!$D$7:$D$306,'DCF (2)'!BH$6))</f>
        <v>0</v>
      </c>
      <c r="BI18" s="247" cm="1">
        <f t="array" ref="BI18">TRANSPOSE(SUMIFS(Графики!$G$7:$G$306,Графики!$D$7:$D$306,'DCF (2)'!BI$6))</f>
        <v>0</v>
      </c>
      <c r="BJ18" s="247" cm="1">
        <f t="array" ref="BJ18">TRANSPOSE(SUMIFS(Графики!$G$7:$G$306,Графики!$D$7:$D$306,'DCF (2)'!BJ$6))</f>
        <v>0</v>
      </c>
      <c r="BK18" s="247" cm="1">
        <f t="array" ref="BK18">TRANSPOSE(SUMIFS(Графики!$G$7:$G$306,Графики!$D$7:$D$306,'DCF (2)'!BK$6))</f>
        <v>0</v>
      </c>
      <c r="BL18" s="247" cm="1">
        <f t="array" ref="BL18">TRANSPOSE(SUMIFS(Графики!$G$7:$G$306,Графики!$D$7:$D$306,'DCF (2)'!BL$6))</f>
        <v>0</v>
      </c>
      <c r="BM18" s="247" cm="1">
        <f t="array" ref="BM18">TRANSPOSE(SUMIFS(Графики!$G$7:$G$306,Графики!$D$7:$D$306,'DCF (2)'!BM$6))</f>
        <v>0</v>
      </c>
      <c r="BN18" s="247" cm="1">
        <f t="array" ref="BN18">TRANSPOSE(SUMIFS(Графики!$G$7:$G$306,Графики!$D$7:$D$306,'DCF (2)'!BN$6))</f>
        <v>0</v>
      </c>
      <c r="BO18" s="247" cm="1">
        <f t="array" ref="BO18">TRANSPOSE(SUMIFS(Графики!$G$7:$G$306,Графики!$D$7:$D$306,'DCF (2)'!BO$6))</f>
        <v>0</v>
      </c>
      <c r="BP18" s="247" cm="1">
        <f t="array" ref="BP18">TRANSPOSE(SUMIFS(Графики!$G$7:$G$306,Графики!$D$7:$D$306,'DCF (2)'!BP$6))</f>
        <v>0</v>
      </c>
      <c r="BQ18" s="247" cm="1">
        <f t="array" ref="BQ18">TRANSPOSE(SUMIFS(Графики!$G$7:$G$306,Графики!$D$7:$D$306,'DCF (2)'!BQ$6))</f>
        <v>0</v>
      </c>
      <c r="BR18" s="247" cm="1">
        <f t="array" ref="BR18">TRANSPOSE(SUMIFS(Графики!$G$7:$G$306,Графики!$D$7:$D$306,'DCF (2)'!BR$6))</f>
        <v>0</v>
      </c>
      <c r="BS18" s="247" cm="1">
        <f t="array" ref="BS18">TRANSPOSE(SUMIFS(Графики!$G$7:$G$306,Графики!$D$7:$D$306,'DCF (2)'!BS$6))</f>
        <v>0</v>
      </c>
      <c r="BT18" s="247" cm="1">
        <f t="array" ref="BT18">TRANSPOSE(SUMIFS(Графики!$G$7:$G$306,Графики!$D$7:$D$306,'DCF (2)'!BT$6))</f>
        <v>0</v>
      </c>
      <c r="BU18" s="247" cm="1">
        <f t="array" ref="BU18">TRANSPOSE(SUMIFS(Графики!$G$7:$G$306,Графики!$D$7:$D$306,'DCF (2)'!BU$6))</f>
        <v>0</v>
      </c>
      <c r="BV18" s="247" cm="1">
        <f t="array" ref="BV18">TRANSPOSE(SUMIFS(Графики!$G$7:$G$306,Графики!$D$7:$D$306,'DCF (2)'!BV$6))</f>
        <v>0</v>
      </c>
      <c r="BW18" s="247" cm="1">
        <f t="array" ref="BW18">TRANSPOSE(SUMIFS(Графики!$G$7:$G$306,Графики!$D$7:$D$306,'DCF (2)'!BW$6))</f>
        <v>0</v>
      </c>
      <c r="BX18" s="247" cm="1">
        <f t="array" ref="BX18">TRANSPOSE(SUMIFS(Графики!$G$7:$G$306,Графики!$D$7:$D$306,'DCF (2)'!BX$6))</f>
        <v>0</v>
      </c>
      <c r="BY18" s="247" cm="1">
        <f t="array" ref="BY18">TRANSPOSE(SUMIFS(Графики!$G$7:$G$306,Графики!$D$7:$D$306,'DCF (2)'!BY$6))</f>
        <v>0</v>
      </c>
      <c r="BZ18" s="247" cm="1">
        <f t="array" ref="BZ18">TRANSPOSE(SUMIFS(Графики!$G$7:$G$306,Графики!$D$7:$D$306,'DCF (2)'!BZ$6))</f>
        <v>0</v>
      </c>
      <c r="CA18" s="247" cm="1">
        <f t="array" ref="CA18">TRANSPOSE(SUMIFS(Графики!$G$7:$G$306,Графики!$D$7:$D$306,'DCF (2)'!CA$6))</f>
        <v>0</v>
      </c>
      <c r="CB18" s="247" cm="1">
        <f t="array" ref="CB18">TRANSPOSE(SUMIFS(Графики!$G$7:$G$306,Графики!$D$7:$D$306,'DCF (2)'!CB$6))</f>
        <v>0</v>
      </c>
      <c r="CC18" s="247" cm="1">
        <f t="array" ref="CC18">TRANSPOSE(SUMIFS(Графики!$G$7:$G$306,Графики!$D$7:$D$306,'DCF (2)'!CC$6))</f>
        <v>0</v>
      </c>
      <c r="CD18" s="247" cm="1">
        <f t="array" ref="CD18">TRANSPOSE(SUMIFS(Графики!$G$7:$G$306,Графики!$D$7:$D$306,'DCF (2)'!CD$6))</f>
        <v>0</v>
      </c>
      <c r="CE18" s="247" cm="1">
        <f t="array" ref="CE18">TRANSPOSE(SUMIFS(Графики!$G$7:$G$306,Графики!$D$7:$D$306,'DCF (2)'!CE$6))</f>
        <v>0</v>
      </c>
      <c r="CF18" s="247" cm="1">
        <f t="array" ref="CF18">TRANSPOSE(SUMIFS(Графики!$G$7:$G$306,Графики!$D$7:$D$306,'DCF (2)'!CF$6))</f>
        <v>0</v>
      </c>
      <c r="CG18" s="247" cm="1">
        <f t="array" ref="CG18">TRANSPOSE(SUMIFS(Графики!$G$7:$G$306,Графики!$D$7:$D$306,'DCF (2)'!CG$6))</f>
        <v>0</v>
      </c>
      <c r="CH18" s="247" cm="1">
        <f t="array" ref="CH18">TRANSPOSE(SUMIFS(Графики!$G$7:$G$306,Графики!$D$7:$D$306,'DCF (2)'!CH$6))</f>
        <v>0</v>
      </c>
      <c r="CI18" s="247" cm="1">
        <f t="array" ref="CI18">TRANSPOSE(SUMIFS(Графики!$G$7:$G$306,Графики!$D$7:$D$306,'DCF (2)'!CI$6))</f>
        <v>0</v>
      </c>
      <c r="CJ18" s="247" cm="1">
        <f t="array" ref="CJ18">TRANSPOSE(SUMIFS(Графики!$G$7:$G$306,Графики!$D$7:$D$306,'DCF (2)'!CJ$6))</f>
        <v>0</v>
      </c>
      <c r="CK18" s="247" cm="1">
        <f t="array" ref="CK18">TRANSPOSE(SUMIFS(Графики!$G$7:$G$306,Графики!$D$7:$D$306,'DCF (2)'!CK$6))</f>
        <v>0</v>
      </c>
      <c r="CL18" s="247" cm="1">
        <f t="array" ref="CL18">TRANSPOSE(SUMIFS(Графики!$G$7:$G$306,Графики!$D$7:$D$306,'DCF (2)'!CL$6))</f>
        <v>0</v>
      </c>
      <c r="CM18" s="247" cm="1">
        <f t="array" ref="CM18">TRANSPOSE(SUMIFS(Графики!$G$7:$G$306,Графики!$D$7:$D$306,'DCF (2)'!CM$6))</f>
        <v>0</v>
      </c>
      <c r="CN18" s="247" cm="1">
        <f t="array" ref="CN18">TRANSPOSE(SUMIFS(Графики!$G$7:$G$306,Графики!$D$7:$D$306,'DCF (2)'!CN$6))</f>
        <v>0</v>
      </c>
      <c r="CO18" s="247" cm="1">
        <f t="array" ref="CO18">TRANSPOSE(SUMIFS(Графики!$G$7:$G$306,Графики!$D$7:$D$306,'DCF (2)'!CO$6))</f>
        <v>0</v>
      </c>
      <c r="CP18" s="247" cm="1">
        <f t="array" ref="CP18">TRANSPOSE(SUMIFS(Графики!$G$7:$G$306,Графики!$D$7:$D$306,'DCF (2)'!CP$6))</f>
        <v>0</v>
      </c>
      <c r="CQ18" s="247" cm="1">
        <f t="array" ref="CQ18">TRANSPOSE(SUMIFS(Графики!$G$7:$G$306,Графики!$D$7:$D$306,'DCF (2)'!CQ$6))</f>
        <v>0</v>
      </c>
      <c r="CR18" s="247" cm="1">
        <f t="array" ref="CR18">TRANSPOSE(SUMIFS(Графики!$G$7:$G$306,Графики!$D$7:$D$306,'DCF (2)'!CR$6))</f>
        <v>0</v>
      </c>
      <c r="CS18" s="247" cm="1">
        <f t="array" ref="CS18">TRANSPOSE(SUMIFS(Графики!$G$7:$G$306,Графики!$D$7:$D$306,'DCF (2)'!CS$6))</f>
        <v>0</v>
      </c>
      <c r="CT18" s="247" cm="1">
        <f t="array" ref="CT18">TRANSPOSE(SUMIFS(Графики!$G$7:$G$306,Графики!$D$7:$D$306,'DCF (2)'!CT$6))</f>
        <v>0</v>
      </c>
      <c r="CU18" s="247" cm="1">
        <f t="array" ref="CU18">TRANSPOSE(SUMIFS(Графики!$G$7:$G$306,Графики!$D$7:$D$306,'DCF (2)'!CU$6))</f>
        <v>0</v>
      </c>
      <c r="CV18" s="247" cm="1">
        <f t="array" ref="CV18">TRANSPOSE(SUMIFS(Графики!$G$7:$G$306,Графики!$D$7:$D$306,'DCF (2)'!CV$6))</f>
        <v>0</v>
      </c>
      <c r="CW18" s="247" cm="1">
        <f t="array" ref="CW18">TRANSPOSE(SUMIFS(Графики!$G$7:$G$306,Графики!$D$7:$D$306,'DCF (2)'!CW$6))</f>
        <v>0</v>
      </c>
      <c r="CX18" s="247" cm="1">
        <f t="array" ref="CX18">TRANSPOSE(SUMIFS(Графики!$G$7:$G$306,Графики!$D$7:$D$306,'DCF (2)'!CX$6))</f>
        <v>0</v>
      </c>
      <c r="CY18" s="247" cm="1">
        <f t="array" ref="CY18">TRANSPOSE(SUMIFS(Графики!$G$7:$G$306,Графики!$D$7:$D$306,'DCF (2)'!CY$6))</f>
        <v>0</v>
      </c>
      <c r="CZ18" s="247" cm="1">
        <f t="array" ref="CZ18">TRANSPOSE(SUMIFS(Графики!$G$7:$G$306,Графики!$D$7:$D$306,'DCF (2)'!CZ$6))</f>
        <v>0</v>
      </c>
      <c r="DA18" s="247" cm="1">
        <f t="array" ref="DA18">TRANSPOSE(SUMIFS(Графики!$G$7:$G$306,Графики!$D$7:$D$306,'DCF (2)'!DA$6))</f>
        <v>0</v>
      </c>
      <c r="DB18" s="247" cm="1">
        <f t="array" ref="DB18">TRANSPOSE(SUMIFS(Графики!$G$7:$G$306,Графики!$D$7:$D$306,'DCF (2)'!DB$6))</f>
        <v>0</v>
      </c>
      <c r="DC18" s="247" cm="1">
        <f t="array" ref="DC18">TRANSPOSE(SUMIFS(Графики!$G$7:$G$306,Графики!$D$7:$D$306,'DCF (2)'!DC$6))</f>
        <v>0</v>
      </c>
      <c r="DD18" s="247" cm="1">
        <f t="array" ref="DD18">TRANSPOSE(SUMIFS(Графики!$G$7:$G$306,Графики!$D$7:$D$306,'DCF (2)'!DD$6))</f>
        <v>0</v>
      </c>
      <c r="DE18" s="247" cm="1">
        <f t="array" ref="DE18">TRANSPOSE(SUMIFS(Графики!$G$7:$G$306,Графики!$D$7:$D$306,'DCF (2)'!DE$6))</f>
        <v>0</v>
      </c>
      <c r="DF18" s="247" cm="1">
        <f t="array" ref="DF18">TRANSPOSE(SUMIFS(Графики!$G$7:$G$306,Графики!$D$7:$D$306,'DCF (2)'!DF$6))</f>
        <v>0</v>
      </c>
      <c r="DG18" s="247" cm="1">
        <f t="array" ref="DG18">TRANSPOSE(SUMIFS(Графики!$G$7:$G$306,Графики!$D$7:$D$306,'DCF (2)'!DG$6))</f>
        <v>0</v>
      </c>
      <c r="DH18" s="247" cm="1">
        <f t="array" ref="DH18">TRANSPOSE(SUMIFS(Графики!$G$7:$G$306,Графики!$D$7:$D$306,'DCF (2)'!DH$6))</f>
        <v>0</v>
      </c>
      <c r="DI18" s="247" cm="1">
        <f t="array" ref="DI18">TRANSPOSE(SUMIFS(Графики!$G$7:$G$306,Графики!$D$7:$D$306,'DCF (2)'!DI$6))</f>
        <v>0</v>
      </c>
      <c r="DJ18" s="247" cm="1">
        <f t="array" ref="DJ18">TRANSPOSE(SUMIFS(Графики!$G$7:$G$306,Графики!$D$7:$D$306,'DCF (2)'!DJ$6))</f>
        <v>0</v>
      </c>
      <c r="DK18" s="247" cm="1">
        <f t="array" ref="DK18">TRANSPOSE(SUMIFS(Графики!$G$7:$G$306,Графики!$D$7:$D$306,'DCF (2)'!DK$6))</f>
        <v>0</v>
      </c>
      <c r="DL18" s="247" cm="1">
        <f t="array" ref="DL18">TRANSPOSE(SUMIFS(Графики!$G$7:$G$306,Графики!$D$7:$D$306,'DCF (2)'!DL$6))</f>
        <v>0</v>
      </c>
      <c r="DM18" s="247" cm="1">
        <f t="array" ref="DM18">TRANSPOSE(SUMIFS(Графики!$G$7:$G$306,Графики!$D$7:$D$306,'DCF (2)'!DM$6))</f>
        <v>0</v>
      </c>
      <c r="DN18" s="247" cm="1">
        <f t="array" ref="DN18">TRANSPOSE(SUMIFS(Графики!$G$7:$G$306,Графики!$D$7:$D$306,'DCF (2)'!DN$6))</f>
        <v>0</v>
      </c>
      <c r="DO18" s="247" cm="1">
        <f t="array" ref="DO18">TRANSPOSE(SUMIFS(Графики!$G$7:$G$306,Графики!$D$7:$D$306,'DCF (2)'!DO$6))</f>
        <v>0</v>
      </c>
      <c r="DP18" s="247" cm="1">
        <f t="array" ref="DP18">TRANSPOSE(SUMIFS(Графики!$G$7:$G$306,Графики!$D$7:$D$306,'DCF (2)'!DP$6))</f>
        <v>0</v>
      </c>
      <c r="DQ18" s="247" cm="1">
        <f t="array" ref="DQ18">TRANSPOSE(SUMIFS(Графики!$G$7:$G$306,Графики!$D$7:$D$306,'DCF (2)'!DQ$6))</f>
        <v>0</v>
      </c>
      <c r="DR18" s="247" cm="1">
        <f t="array" ref="DR18">TRANSPOSE(SUMIFS(Графики!$G$7:$G$306,Графики!$D$7:$D$306,'DCF (2)'!DR$6))</f>
        <v>0</v>
      </c>
      <c r="DS18" s="247" cm="1">
        <f t="array" ref="DS18">TRANSPOSE(SUMIFS(Графики!$G$7:$G$306,Графики!$D$7:$D$306,'DCF (2)'!DS$6))</f>
        <v>0</v>
      </c>
      <c r="DT18" s="247" cm="1">
        <f t="array" ref="DT18">TRANSPOSE(SUMIFS(Графики!$G$7:$G$306,Графики!$D$7:$D$306,'DCF (2)'!DT$6))</f>
        <v>0</v>
      </c>
      <c r="DU18" s="247" cm="1">
        <f t="array" ref="DU18">TRANSPOSE(SUMIFS(Графики!$G$7:$G$306,Графики!$D$7:$D$306,'DCF (2)'!DU$6))</f>
        <v>0</v>
      </c>
      <c r="DV18" s="247" cm="1">
        <f t="array" ref="DV18">TRANSPOSE(SUMIFS(Графики!$G$7:$G$306,Графики!$D$7:$D$306,'DCF (2)'!DV$6))</f>
        <v>0</v>
      </c>
      <c r="DW18" s="247" cm="1">
        <f t="array" ref="DW18">TRANSPOSE(SUMIFS(Графики!$G$7:$G$306,Графики!$D$7:$D$306,'DCF (2)'!DW$6))</f>
        <v>0</v>
      </c>
      <c r="DX18" s="247" cm="1">
        <f t="array" ref="DX18">TRANSPOSE(SUMIFS(Графики!$G$7:$G$306,Графики!$D$7:$D$306,'DCF (2)'!DX$6))</f>
        <v>0</v>
      </c>
      <c r="DY18" s="247" cm="1">
        <f t="array" ref="DY18">TRANSPOSE(SUMIFS(Графики!$G$7:$G$306,Графики!$D$7:$D$306,'DCF (2)'!DY$6))</f>
        <v>0</v>
      </c>
      <c r="DZ18" s="247" cm="1">
        <f t="array" ref="DZ18">TRANSPOSE(SUMIFS(Графики!$G$7:$G$306,Графики!$D$7:$D$306,'DCF (2)'!DZ$6))</f>
        <v>0</v>
      </c>
      <c r="EA18" s="247" cm="1">
        <f t="array" ref="EA18">TRANSPOSE(SUMIFS(Графики!$G$7:$G$306,Графики!$D$7:$D$306,'DCF (2)'!EA$6))</f>
        <v>0</v>
      </c>
      <c r="EB18" s="247" cm="1">
        <f t="array" ref="EB18">TRANSPOSE(SUMIFS(Графики!$G$7:$G$306,Графики!$D$7:$D$306,'DCF (2)'!EB$6))</f>
        <v>0</v>
      </c>
      <c r="EC18" s="247" cm="1">
        <f t="array" ref="EC18">TRANSPOSE(SUMIFS(Графики!$G$7:$G$306,Графики!$D$7:$D$306,'DCF (2)'!EC$6))</f>
        <v>0</v>
      </c>
      <c r="ED18" s="247" cm="1">
        <f t="array" ref="ED18">TRANSPOSE(SUMIFS(Графики!$G$7:$G$306,Графики!$D$7:$D$306,'DCF (2)'!ED$6))</f>
        <v>0</v>
      </c>
      <c r="EE18" s="247" cm="1">
        <f t="array" ref="EE18">TRANSPOSE(SUMIFS(Графики!$G$7:$G$306,Графики!$D$7:$D$306,'DCF (2)'!EE$6))</f>
        <v>0</v>
      </c>
      <c r="EF18" s="247" cm="1">
        <f t="array" ref="EF18">TRANSPOSE(SUMIFS(Графики!$G$7:$G$306,Графики!$D$7:$D$306,'DCF (2)'!EF$6))</f>
        <v>0</v>
      </c>
      <c r="EG18" s="247" cm="1">
        <f t="array" ref="EG18">TRANSPOSE(SUMIFS(Графики!$G$7:$G$306,Графики!$D$7:$D$306,'DCF (2)'!EG$6))</f>
        <v>0</v>
      </c>
      <c r="EH18" s="247" cm="1">
        <f t="array" ref="EH18">TRANSPOSE(SUMIFS(Графики!$G$7:$G$306,Графики!$D$7:$D$306,'DCF (2)'!EH$6))</f>
        <v>0</v>
      </c>
      <c r="EI18" s="247" cm="1">
        <f t="array" ref="EI18">TRANSPOSE(SUMIFS(Графики!$G$7:$G$306,Графики!$D$7:$D$306,'DCF (2)'!EI$6))</f>
        <v>0</v>
      </c>
      <c r="EJ18" s="247" cm="1">
        <f t="array" ref="EJ18">TRANSPOSE(SUMIFS(Графики!$G$7:$G$306,Графики!$D$7:$D$306,'DCF (2)'!EJ$6))</f>
        <v>0</v>
      </c>
      <c r="EK18" s="247" cm="1">
        <f t="array" ref="EK18">TRANSPOSE(SUMIFS(Графики!$G$7:$G$306,Графики!$D$7:$D$306,'DCF (2)'!EK$6))</f>
        <v>0</v>
      </c>
      <c r="EL18" s="247" cm="1">
        <f t="array" ref="EL18">TRANSPOSE(SUMIFS(Графики!$G$7:$G$306,Графики!$D$7:$D$306,'DCF (2)'!EL$6))</f>
        <v>0</v>
      </c>
      <c r="EM18" s="247" cm="1">
        <f t="array" ref="EM18">TRANSPOSE(SUMIFS(Графики!$G$7:$G$306,Графики!$D$7:$D$306,'DCF (2)'!EM$6))</f>
        <v>0</v>
      </c>
      <c r="EN18" s="247" cm="1">
        <f t="array" ref="EN18">TRANSPOSE(SUMIFS(Графики!$G$7:$G$306,Графики!$D$7:$D$306,'DCF (2)'!EN$6))</f>
        <v>0</v>
      </c>
      <c r="EO18" s="247" cm="1">
        <f t="array" ref="EO18">TRANSPOSE(SUMIFS(Графики!$G$7:$G$306,Графики!$D$7:$D$306,'DCF (2)'!EO$6))</f>
        <v>0</v>
      </c>
      <c r="EP18" s="247" cm="1">
        <f t="array" ref="EP18">TRANSPOSE(SUMIFS(Графики!$G$7:$G$306,Графики!$D$7:$D$306,'DCF (2)'!EP$6))</f>
        <v>0</v>
      </c>
      <c r="EQ18" s="247" cm="1">
        <f t="array" ref="EQ18">TRANSPOSE(SUMIFS(Графики!$G$7:$G$306,Графики!$D$7:$D$306,'DCF (2)'!EQ$6))</f>
        <v>0</v>
      </c>
      <c r="ER18" s="247" cm="1">
        <f t="array" ref="ER18">TRANSPOSE(SUMIFS(Графики!$G$7:$G$306,Графики!$D$7:$D$306,'DCF (2)'!ER$6))</f>
        <v>0</v>
      </c>
      <c r="ES18" s="247" cm="1">
        <f t="array" ref="ES18">TRANSPOSE(SUMIFS(Графики!$G$7:$G$306,Графики!$D$7:$D$306,'DCF (2)'!ES$6))</f>
        <v>0</v>
      </c>
      <c r="ET18" s="247" cm="1">
        <f t="array" ref="ET18">TRANSPOSE(SUMIFS(Графики!$G$7:$G$306,Графики!$D$7:$D$306,'DCF (2)'!ET$6))</f>
        <v>0</v>
      </c>
      <c r="EU18" s="247" cm="1">
        <f t="array" ref="EU18">TRANSPOSE(SUMIFS(Графики!$G$7:$G$306,Графики!$D$7:$D$306,'DCF (2)'!EU$6))</f>
        <v>0</v>
      </c>
      <c r="EV18" s="247" cm="1">
        <f t="array" ref="EV18">TRANSPOSE(SUMIFS(Графики!$G$7:$G$306,Графики!$D$7:$D$306,'DCF (2)'!EV$6))</f>
        <v>0</v>
      </c>
      <c r="EW18" s="247" cm="1">
        <f t="array" ref="EW18">TRANSPOSE(SUMIFS(Графики!$G$7:$G$306,Графики!$D$7:$D$306,'DCF (2)'!EW$6))</f>
        <v>0</v>
      </c>
      <c r="EX18" s="247" cm="1">
        <f t="array" ref="EX18">TRANSPOSE(SUMIFS(Графики!$G$7:$G$306,Графики!$D$7:$D$306,'DCF (2)'!EX$6))</f>
        <v>0</v>
      </c>
      <c r="EY18" s="247" cm="1">
        <f t="array" ref="EY18">TRANSPOSE(SUMIFS(Графики!$G$7:$G$306,Графики!$D$7:$D$306,'DCF (2)'!EY$6))</f>
        <v>0</v>
      </c>
      <c r="EZ18" s="247" cm="1">
        <f t="array" ref="EZ18">TRANSPOSE(SUMIFS(Графики!$G$7:$G$306,Графики!$D$7:$D$306,'DCF (2)'!EZ$6))</f>
        <v>0</v>
      </c>
      <c r="FA18" s="247" cm="1">
        <f t="array" ref="FA18">TRANSPOSE(SUMIFS(Графики!$G$7:$G$306,Графики!$D$7:$D$306,'DCF (2)'!FA$6))</f>
        <v>0</v>
      </c>
      <c r="FB18" s="247" cm="1">
        <f t="array" ref="FB18">TRANSPOSE(SUMIFS(Графики!$G$7:$G$306,Графики!$D$7:$D$306,'DCF (2)'!FB$6))</f>
        <v>0</v>
      </c>
      <c r="FC18" s="247" cm="1">
        <f t="array" ref="FC18">TRANSPOSE(SUMIFS(Графики!$G$7:$G$306,Графики!$D$7:$D$306,'DCF (2)'!FC$6))</f>
        <v>0</v>
      </c>
      <c r="FD18" s="247" cm="1">
        <f t="array" ref="FD18">TRANSPOSE(SUMIFS(Графики!$G$7:$G$306,Графики!$D$7:$D$306,'DCF (2)'!FD$6))</f>
        <v>0</v>
      </c>
      <c r="FE18" s="247" cm="1">
        <f t="array" ref="FE18">TRANSPOSE(SUMIFS(Графики!$G$7:$G$306,Графики!$D$7:$D$306,'DCF (2)'!FE$6))</f>
        <v>0</v>
      </c>
      <c r="FF18" s="247" cm="1">
        <f t="array" ref="FF18">TRANSPOSE(SUMIFS(Графики!$G$7:$G$306,Графики!$D$7:$D$306,'DCF (2)'!FF$6))</f>
        <v>0</v>
      </c>
      <c r="FG18" s="247" cm="1">
        <f t="array" ref="FG18">TRANSPOSE(SUMIFS(Графики!$G$7:$G$306,Графики!$D$7:$D$306,'DCF (2)'!FG$6))</f>
        <v>0</v>
      </c>
      <c r="FH18" s="247" cm="1">
        <f t="array" ref="FH18">TRANSPOSE(SUMIFS(Графики!$G$7:$G$306,Графики!$D$7:$D$306,'DCF (2)'!FH$6))</f>
        <v>0</v>
      </c>
      <c r="FI18" s="247" cm="1">
        <f t="array" ref="FI18">TRANSPOSE(SUMIFS(Графики!$G$7:$G$306,Графики!$D$7:$D$306,'DCF (2)'!FI$6))</f>
        <v>0</v>
      </c>
      <c r="FJ18" s="247" cm="1">
        <f t="array" ref="FJ18">TRANSPOSE(SUMIFS(Графики!$G$7:$G$306,Графики!$D$7:$D$306,'DCF (2)'!FJ$6))</f>
        <v>0</v>
      </c>
      <c r="FK18" s="247" cm="1">
        <f t="array" ref="FK18">TRANSPOSE(SUMIFS(Графики!$G$7:$G$306,Графики!$D$7:$D$306,'DCF (2)'!FK$6))</f>
        <v>0</v>
      </c>
      <c r="FL18" s="247" cm="1">
        <f t="array" ref="FL18">TRANSPOSE(SUMIFS(Графики!$G$7:$G$306,Графики!$D$7:$D$306,'DCF (2)'!FL$6))</f>
        <v>0</v>
      </c>
      <c r="FM18" s="247" cm="1">
        <f t="array" ref="FM18">TRANSPOSE(SUMIFS(Графики!$G$7:$G$306,Графики!$D$7:$D$306,'DCF (2)'!FM$6))</f>
        <v>0</v>
      </c>
      <c r="FN18" s="247" cm="1">
        <f t="array" ref="FN18">TRANSPOSE(SUMIFS(Графики!$G$7:$G$306,Графики!$D$7:$D$306,'DCF (2)'!FN$6))</f>
        <v>0</v>
      </c>
      <c r="FO18" s="247" cm="1">
        <f t="array" ref="FO18">TRANSPOSE(SUMIFS(Графики!$G$7:$G$306,Графики!$D$7:$D$306,'DCF (2)'!FO$6))</f>
        <v>0</v>
      </c>
      <c r="FP18" s="247" cm="1">
        <f t="array" ref="FP18">TRANSPOSE(SUMIFS(Графики!$G$7:$G$306,Графики!$D$7:$D$306,'DCF (2)'!FP$6))</f>
        <v>0</v>
      </c>
      <c r="FQ18" s="247" cm="1">
        <f t="array" ref="FQ18">TRANSPOSE(SUMIFS(Графики!$G$7:$G$306,Графики!$D$7:$D$306,'DCF (2)'!FQ$6))</f>
        <v>0</v>
      </c>
      <c r="FR18" s="247" cm="1">
        <f t="array" ref="FR18">TRANSPOSE(SUMIFS(Графики!$G$7:$G$306,Графики!$D$7:$D$306,'DCF (2)'!FR$6))</f>
        <v>0</v>
      </c>
      <c r="FS18" s="247" cm="1">
        <f t="array" ref="FS18">TRANSPOSE(SUMIFS(Графики!$G$7:$G$306,Графики!$D$7:$D$306,'DCF (2)'!FS$6))</f>
        <v>0</v>
      </c>
      <c r="FT18" s="247" cm="1">
        <f t="array" ref="FT18">TRANSPOSE(SUMIFS(Графики!$G$7:$G$306,Графики!$D$7:$D$306,'DCF (2)'!FT$6))</f>
        <v>0</v>
      </c>
      <c r="FU18" s="247" cm="1">
        <f t="array" ref="FU18">TRANSPOSE(SUMIFS(Графики!$G$7:$G$306,Графики!$D$7:$D$306,'DCF (2)'!FU$6))</f>
        <v>0</v>
      </c>
      <c r="FV18" s="247" cm="1">
        <f t="array" ref="FV18">TRANSPOSE(SUMIFS(Графики!$G$7:$G$306,Графики!$D$7:$D$306,'DCF (2)'!FV$6))</f>
        <v>0</v>
      </c>
      <c r="FW18" s="247" cm="1">
        <f t="array" ref="FW18">TRANSPOSE(SUMIFS(Графики!$G$7:$G$306,Графики!$D$7:$D$306,'DCF (2)'!FW$6))</f>
        <v>0</v>
      </c>
      <c r="FX18" s="247" cm="1">
        <f t="array" ref="FX18">TRANSPOSE(SUMIFS(Графики!$G$7:$G$306,Графики!$D$7:$D$306,'DCF (2)'!FX$6))</f>
        <v>0</v>
      </c>
      <c r="FY18" s="247" cm="1">
        <f t="array" ref="FY18">TRANSPOSE(SUMIFS(Графики!$G$7:$G$306,Графики!$D$7:$D$306,'DCF (2)'!FY$6))</f>
        <v>0</v>
      </c>
      <c r="FZ18" s="247" cm="1">
        <f t="array" ref="FZ18">TRANSPOSE(SUMIFS(Графики!$G$7:$G$306,Графики!$D$7:$D$306,'DCF (2)'!FZ$6))</f>
        <v>0</v>
      </c>
      <c r="GA18" s="247" cm="1">
        <f t="array" ref="GA18">TRANSPOSE(SUMIFS(Графики!$G$7:$G$306,Графики!$D$7:$D$306,'DCF (2)'!GA$6))</f>
        <v>0</v>
      </c>
      <c r="GB18" s="247" cm="1">
        <f t="array" ref="GB18">TRANSPOSE(SUMIFS(Графики!$G$7:$G$306,Графики!$D$7:$D$306,'DCF (2)'!GB$6))</f>
        <v>0</v>
      </c>
      <c r="GC18" s="247" cm="1">
        <f t="array" ref="GC18">TRANSPOSE(SUMIFS(Графики!$G$7:$G$306,Графики!$D$7:$D$306,'DCF (2)'!GC$6))</f>
        <v>0</v>
      </c>
      <c r="GD18" s="247" cm="1">
        <f t="array" ref="GD18">TRANSPOSE(SUMIFS(Графики!$G$7:$G$306,Графики!$D$7:$D$306,'DCF (2)'!GD$6))</f>
        <v>0</v>
      </c>
      <c r="GE18" s="247" cm="1">
        <f t="array" ref="GE18">TRANSPOSE(SUMIFS(Графики!$G$7:$G$306,Графики!$D$7:$D$306,'DCF (2)'!GE$6))</f>
        <v>0</v>
      </c>
      <c r="GF18" s="247" cm="1">
        <f t="array" ref="GF18">TRANSPOSE(SUMIFS(Графики!$G$7:$G$306,Графики!$D$7:$D$306,'DCF (2)'!GF$6))</f>
        <v>0</v>
      </c>
      <c r="GG18" s="247" cm="1">
        <f t="array" ref="GG18">TRANSPOSE(SUMIFS(Графики!$G$7:$G$306,Графики!$D$7:$D$306,'DCF (2)'!GG$6))</f>
        <v>0</v>
      </c>
      <c r="GH18" s="247" cm="1">
        <f t="array" ref="GH18">TRANSPOSE(SUMIFS(Графики!$G$7:$G$306,Графики!$D$7:$D$306,'DCF (2)'!GH$6))</f>
        <v>0</v>
      </c>
      <c r="GI18" s="247" cm="1">
        <f t="array" ref="GI18">TRANSPOSE(SUMIFS(Графики!$G$7:$G$306,Графики!$D$7:$D$306,'DCF (2)'!GI$6))</f>
        <v>0</v>
      </c>
      <c r="GJ18" s="247" cm="1">
        <f t="array" ref="GJ18">TRANSPOSE(SUMIFS(Графики!$G$7:$G$306,Графики!$D$7:$D$306,'DCF (2)'!GJ$6))</f>
        <v>0</v>
      </c>
      <c r="GK18" s="247" cm="1">
        <f t="array" ref="GK18">TRANSPOSE(SUMIFS(Графики!$G$7:$G$306,Графики!$D$7:$D$306,'DCF (2)'!GK$6))</f>
        <v>0</v>
      </c>
      <c r="GL18" s="247" cm="1">
        <f t="array" ref="GL18">TRANSPOSE(SUMIFS(Графики!$G$7:$G$306,Графики!$D$7:$D$306,'DCF (2)'!GL$6))</f>
        <v>0</v>
      </c>
      <c r="GM18" s="247" cm="1">
        <f t="array" ref="GM18">TRANSPOSE(SUMIFS(Графики!$G$7:$G$306,Графики!$D$7:$D$306,'DCF (2)'!GM$6))</f>
        <v>0</v>
      </c>
      <c r="GN18" s="247" cm="1">
        <f t="array" ref="GN18">TRANSPOSE(SUMIFS(Графики!$G$7:$G$306,Графики!$D$7:$D$306,'DCF (2)'!GN$6))</f>
        <v>0</v>
      </c>
      <c r="GO18" s="247" cm="1">
        <f t="array" ref="GO18">TRANSPOSE(SUMIFS(Графики!$G$7:$G$306,Графики!$D$7:$D$306,'DCF (2)'!GO$6))</f>
        <v>0</v>
      </c>
      <c r="GP18" s="247" cm="1">
        <f t="array" ref="GP18">TRANSPOSE(SUMIFS(Графики!$G$7:$G$306,Графики!$D$7:$D$306,'DCF (2)'!GP$6))</f>
        <v>0</v>
      </c>
      <c r="GQ18" s="247" cm="1">
        <f t="array" ref="GQ18">TRANSPOSE(SUMIFS(Графики!$G$7:$G$306,Графики!$D$7:$D$306,'DCF (2)'!GQ$6))</f>
        <v>0</v>
      </c>
      <c r="GR18" s="247" cm="1">
        <f t="array" ref="GR18">TRANSPOSE(SUMIFS(Графики!$G$7:$G$306,Графики!$D$7:$D$306,'DCF (2)'!GR$6))</f>
        <v>0</v>
      </c>
      <c r="GS18" s="247" cm="1">
        <f t="array" ref="GS18">TRANSPOSE(SUMIFS(Графики!$G$7:$G$306,Графики!$D$7:$D$306,'DCF (2)'!GS$6))</f>
        <v>0</v>
      </c>
      <c r="GT18" s="247" cm="1">
        <f t="array" ref="GT18">TRANSPOSE(SUMIFS(Графики!$G$7:$G$306,Графики!$D$7:$D$306,'DCF (2)'!GT$6))</f>
        <v>0</v>
      </c>
      <c r="GU18" s="247" cm="1">
        <f t="array" ref="GU18">TRANSPOSE(SUMIFS(Графики!$G$7:$G$306,Графики!$D$7:$D$306,'DCF (2)'!GU$6))</f>
        <v>0</v>
      </c>
      <c r="GV18" s="247" cm="1">
        <f t="array" ref="GV18">TRANSPOSE(SUMIFS(Графики!$G$7:$G$306,Графики!$D$7:$D$306,'DCF (2)'!GV$6))</f>
        <v>0</v>
      </c>
      <c r="GW18" s="247" cm="1">
        <f t="array" ref="GW18">TRANSPOSE(SUMIFS(Графики!$G$7:$G$306,Графики!$D$7:$D$306,'DCF (2)'!GW$6))</f>
        <v>0</v>
      </c>
      <c r="GX18" s="247" cm="1">
        <f t="array" ref="GX18">TRANSPOSE(SUMIFS(Графики!$G$7:$G$306,Графики!$D$7:$D$306,'DCF (2)'!GX$6))</f>
        <v>0</v>
      </c>
      <c r="GY18" s="247" cm="1">
        <f t="array" ref="GY18">TRANSPOSE(SUMIFS(Графики!$G$7:$G$306,Графики!$D$7:$D$306,'DCF (2)'!GY$6))</f>
        <v>0</v>
      </c>
      <c r="GZ18" s="247" cm="1">
        <f t="array" ref="GZ18">TRANSPOSE(SUMIFS(Графики!$G$7:$G$306,Графики!$D$7:$D$306,'DCF (2)'!GZ$6))</f>
        <v>0</v>
      </c>
      <c r="HA18" s="247" cm="1">
        <f t="array" ref="HA18">TRANSPOSE(SUMIFS(Графики!$G$7:$G$306,Графики!$D$7:$D$306,'DCF (2)'!HA$6))</f>
        <v>0</v>
      </c>
      <c r="HB18" s="247" cm="1">
        <f t="array" ref="HB18">TRANSPOSE(SUMIFS(Графики!$G$7:$G$306,Графики!$D$7:$D$306,'DCF (2)'!HB$6))</f>
        <v>0</v>
      </c>
      <c r="HC18" s="247" cm="1">
        <f t="array" ref="HC18">TRANSPOSE(SUMIFS(Графики!$G$7:$G$306,Графики!$D$7:$D$306,'DCF (2)'!HC$6))</f>
        <v>0</v>
      </c>
      <c r="HD18" s="247" cm="1">
        <f t="array" ref="HD18">TRANSPOSE(SUMIFS(Графики!$G$7:$G$306,Графики!$D$7:$D$306,'DCF (2)'!HD$6))</f>
        <v>0</v>
      </c>
      <c r="HE18" s="247" cm="1">
        <f t="array" ref="HE18">TRANSPOSE(SUMIFS(Графики!$G$7:$G$306,Графики!$D$7:$D$306,'DCF (2)'!HE$6))</f>
        <v>0</v>
      </c>
      <c r="HF18" s="247" cm="1">
        <f t="array" ref="HF18">TRANSPOSE(SUMIFS(Графики!$G$7:$G$306,Графики!$D$7:$D$306,'DCF (2)'!HF$6))</f>
        <v>0</v>
      </c>
      <c r="HG18" s="247" cm="1">
        <f t="array" ref="HG18">TRANSPOSE(SUMIFS(Графики!$G$7:$G$306,Графики!$D$7:$D$306,'DCF (2)'!HG$6))</f>
        <v>0</v>
      </c>
      <c r="HH18" s="247" cm="1">
        <f t="array" ref="HH18">TRANSPOSE(SUMIFS(Графики!$G$7:$G$306,Графики!$D$7:$D$306,'DCF (2)'!HH$6))</f>
        <v>0</v>
      </c>
      <c r="HI18" s="247" cm="1">
        <f t="array" ref="HI18">TRANSPOSE(SUMIFS(Графики!$G$7:$G$306,Графики!$D$7:$D$306,'DCF (2)'!HI$6))</f>
        <v>0</v>
      </c>
      <c r="HJ18" s="247" cm="1">
        <f t="array" ref="HJ18">TRANSPOSE(SUMIFS(Графики!$G$7:$G$306,Графики!$D$7:$D$306,'DCF (2)'!HJ$6))</f>
        <v>0</v>
      </c>
      <c r="HK18" s="247" cm="1">
        <f t="array" ref="HK18">TRANSPOSE(SUMIFS(Графики!$G$7:$G$306,Графики!$D$7:$D$306,'DCF (2)'!HK$6))</f>
        <v>0</v>
      </c>
      <c r="HL18" s="247" cm="1">
        <f t="array" ref="HL18">TRANSPOSE(SUMIFS(Графики!$G$7:$G$306,Графики!$D$7:$D$306,'DCF (2)'!HL$6))</f>
        <v>0</v>
      </c>
      <c r="HM18" s="247" cm="1">
        <f t="array" ref="HM18">TRANSPOSE(SUMIFS(Графики!$G$7:$G$306,Графики!$D$7:$D$306,'DCF (2)'!HM$6))</f>
        <v>0</v>
      </c>
      <c r="HN18" s="247" cm="1">
        <f t="array" ref="HN18">TRANSPOSE(SUMIFS(Графики!$G$7:$G$306,Графики!$D$7:$D$306,'DCF (2)'!HN$6))</f>
        <v>0</v>
      </c>
      <c r="HO18" s="247" cm="1">
        <f t="array" ref="HO18">TRANSPOSE(SUMIFS(Графики!$G$7:$G$306,Графики!$D$7:$D$306,'DCF (2)'!HO$6))</f>
        <v>0</v>
      </c>
      <c r="HP18" s="247" cm="1">
        <f t="array" ref="HP18">TRANSPOSE(SUMIFS(Графики!$G$7:$G$306,Графики!$D$7:$D$306,'DCF (2)'!HP$6))</f>
        <v>0</v>
      </c>
      <c r="HQ18" s="247" cm="1">
        <f t="array" ref="HQ18">TRANSPOSE(SUMIFS(Графики!$G$7:$G$306,Графики!$D$7:$D$306,'DCF (2)'!HQ$6))</f>
        <v>0</v>
      </c>
      <c r="HR18" s="247" cm="1">
        <f t="array" ref="HR18">TRANSPOSE(SUMIFS(Графики!$G$7:$G$306,Графики!$D$7:$D$306,'DCF (2)'!HR$6))</f>
        <v>0</v>
      </c>
      <c r="HS18" s="247" cm="1">
        <f t="array" ref="HS18">TRANSPOSE(SUMIFS(Графики!$G$7:$G$306,Графики!$D$7:$D$306,'DCF (2)'!HS$6))</f>
        <v>0</v>
      </c>
      <c r="HT18" s="247" cm="1">
        <f t="array" ref="HT18">TRANSPOSE(SUMIFS(Графики!$G$7:$G$306,Графики!$D$7:$D$306,'DCF (2)'!HT$6))</f>
        <v>0</v>
      </c>
      <c r="HU18" s="247" cm="1">
        <f t="array" ref="HU18">TRANSPOSE(SUMIFS(Графики!$G$7:$G$306,Графики!$D$7:$D$306,'DCF (2)'!HU$6))</f>
        <v>0</v>
      </c>
      <c r="HV18" s="247" cm="1">
        <f t="array" ref="HV18">TRANSPOSE(SUMIFS(Графики!$G$7:$G$306,Графики!$D$7:$D$306,'DCF (2)'!HV$6))</f>
        <v>0</v>
      </c>
      <c r="HW18" s="247" cm="1">
        <f t="array" ref="HW18">TRANSPOSE(SUMIFS(Графики!$G$7:$G$306,Графики!$D$7:$D$306,'DCF (2)'!HW$6))</f>
        <v>0</v>
      </c>
      <c r="HX18" s="247" cm="1">
        <f t="array" ref="HX18">TRANSPOSE(SUMIFS(Графики!$G$7:$G$306,Графики!$D$7:$D$306,'DCF (2)'!HX$6))</f>
        <v>0</v>
      </c>
      <c r="HY18" s="247" cm="1">
        <f t="array" ref="HY18">TRANSPOSE(SUMIFS(Графики!$G$7:$G$306,Графики!$D$7:$D$306,'DCF (2)'!HY$6))</f>
        <v>0</v>
      </c>
      <c r="HZ18" s="247" cm="1">
        <f t="array" ref="HZ18">TRANSPOSE(SUMIFS(Графики!$G$7:$G$306,Графики!$D$7:$D$306,'DCF (2)'!HZ$6))</f>
        <v>0</v>
      </c>
      <c r="IA18" s="247" cm="1">
        <f t="array" ref="IA18">TRANSPOSE(SUMIFS(Графики!$G$7:$G$306,Графики!$D$7:$D$306,'DCF (2)'!IA$6))</f>
        <v>0</v>
      </c>
      <c r="IB18" s="247" cm="1">
        <f t="array" ref="IB18">TRANSPOSE(SUMIFS(Графики!$G$7:$G$306,Графики!$D$7:$D$306,'DCF (2)'!IB$6))</f>
        <v>0</v>
      </c>
      <c r="IC18" s="247" cm="1">
        <f t="array" ref="IC18">TRANSPOSE(SUMIFS(Графики!$G$7:$G$306,Графики!$D$7:$D$306,'DCF (2)'!IC$6))</f>
        <v>0</v>
      </c>
      <c r="ID18" s="247" cm="1">
        <f t="array" ref="ID18">TRANSPOSE(SUMIFS(Графики!$G$7:$G$306,Графики!$D$7:$D$306,'DCF (2)'!ID$6))</f>
        <v>0</v>
      </c>
      <c r="IE18" s="247" cm="1">
        <f t="array" ref="IE18">TRANSPOSE(SUMIFS(Графики!$G$7:$G$306,Графики!$D$7:$D$306,'DCF (2)'!IE$6))</f>
        <v>0</v>
      </c>
      <c r="IF18" s="247" cm="1">
        <f t="array" ref="IF18">TRANSPOSE(SUMIFS(Графики!$G$7:$G$306,Графики!$D$7:$D$306,'DCF (2)'!IF$6))</f>
        <v>0</v>
      </c>
      <c r="IG18" s="247" cm="1">
        <f t="array" ref="IG18">TRANSPOSE(SUMIFS(Графики!$G$7:$G$306,Графики!$D$7:$D$306,'DCF (2)'!IG$6))</f>
        <v>0</v>
      </c>
      <c r="IH18" s="247" cm="1">
        <f t="array" ref="IH18">TRANSPOSE(SUMIFS(Графики!$G$7:$G$306,Графики!$D$7:$D$306,'DCF (2)'!IH$6))</f>
        <v>0</v>
      </c>
      <c r="II18" s="247" cm="1">
        <f t="array" ref="II18">TRANSPOSE(SUMIFS(Графики!$G$7:$G$306,Графики!$D$7:$D$306,'DCF (2)'!II$6))</f>
        <v>0</v>
      </c>
      <c r="IJ18" s="247" cm="1">
        <f t="array" ref="IJ18">TRANSPOSE(SUMIFS(Графики!$G$7:$G$306,Графики!$D$7:$D$306,'DCF (2)'!IJ$6))</f>
        <v>0</v>
      </c>
      <c r="IK18" s="247" cm="1">
        <f t="array" ref="IK18">TRANSPOSE(SUMIFS(Графики!$G$7:$G$306,Графики!$D$7:$D$306,'DCF (2)'!IK$6))</f>
        <v>0</v>
      </c>
      <c r="IL18" s="247" cm="1">
        <f t="array" ref="IL18">TRANSPOSE(SUMIFS(Графики!$G$7:$G$306,Графики!$D$7:$D$306,'DCF (2)'!IL$6))</f>
        <v>0</v>
      </c>
      <c r="IM18" s="247" cm="1">
        <f t="array" ref="IM18">TRANSPOSE(SUMIFS(Графики!$G$7:$G$306,Графики!$D$7:$D$306,'DCF (2)'!IM$6))</f>
        <v>0</v>
      </c>
      <c r="IN18" s="247" cm="1">
        <f t="array" ref="IN18">TRANSPOSE(SUMIFS(Графики!$G$7:$G$306,Графики!$D$7:$D$306,'DCF (2)'!IN$6))</f>
        <v>0</v>
      </c>
      <c r="IO18" s="247" cm="1">
        <f t="array" ref="IO18">TRANSPOSE(SUMIFS(Графики!$G$7:$G$306,Графики!$D$7:$D$306,'DCF (2)'!IO$6))</f>
        <v>0</v>
      </c>
      <c r="IP18" s="247" cm="1">
        <f t="array" ref="IP18">TRANSPOSE(SUMIFS(Графики!$G$7:$G$306,Графики!$D$7:$D$306,'DCF (2)'!IP$6))</f>
        <v>0</v>
      </c>
      <c r="IQ18" s="247" cm="1">
        <f t="array" ref="IQ18">TRANSPOSE(SUMIFS(Графики!$G$7:$G$306,Графики!$D$7:$D$306,'DCF (2)'!IQ$6))</f>
        <v>0</v>
      </c>
      <c r="IR18" s="247" cm="1">
        <f t="array" ref="IR18">TRANSPOSE(SUMIFS(Графики!$G$7:$G$306,Графики!$D$7:$D$306,'DCF (2)'!IR$6))</f>
        <v>0</v>
      </c>
      <c r="IS18" s="247" cm="1">
        <f t="array" ref="IS18">TRANSPOSE(SUMIFS(Графики!$G$7:$G$306,Графики!$D$7:$D$306,'DCF (2)'!IS$6))</f>
        <v>0</v>
      </c>
      <c r="IT18" s="247" cm="1">
        <f t="array" ref="IT18">TRANSPOSE(SUMIFS(Графики!$G$7:$G$306,Графики!$D$7:$D$306,'DCF (2)'!IT$6))</f>
        <v>0</v>
      </c>
      <c r="IU18" s="247" cm="1">
        <f t="array" ref="IU18">TRANSPOSE(SUMIFS(Графики!$G$7:$G$306,Графики!$D$7:$D$306,'DCF (2)'!IU$6))</f>
        <v>0</v>
      </c>
      <c r="IV18" s="247" cm="1">
        <f t="array" ref="IV18">TRANSPOSE(SUMIFS(Графики!$G$7:$G$306,Графики!$D$7:$D$306,'DCF (2)'!IV$6))</f>
        <v>0</v>
      </c>
      <c r="IW18" s="247" cm="1">
        <f t="array" ref="IW18">TRANSPOSE(SUMIFS(Графики!$G$7:$G$306,Графики!$D$7:$D$306,'DCF (2)'!IW$6))</f>
        <v>0</v>
      </c>
      <c r="IX18" s="247" cm="1">
        <f t="array" ref="IX18">TRANSPOSE(SUMIFS(Графики!$G$7:$G$306,Графики!$D$7:$D$306,'DCF (2)'!IX$6))</f>
        <v>0</v>
      </c>
      <c r="IY18" s="247" cm="1">
        <f t="array" ref="IY18">TRANSPOSE(SUMIFS(Графики!$G$7:$G$306,Графики!$D$7:$D$306,'DCF (2)'!IY$6))</f>
        <v>0</v>
      </c>
      <c r="IZ18" s="247" cm="1">
        <f t="array" ref="IZ18">TRANSPOSE(SUMIFS(Графики!$G$7:$G$306,Графики!$D$7:$D$306,'DCF (2)'!IZ$6))</f>
        <v>0</v>
      </c>
      <c r="JA18" s="247" cm="1">
        <f t="array" ref="JA18">TRANSPOSE(SUMIFS(Графики!$G$7:$G$306,Графики!$D$7:$D$306,'DCF (2)'!JA$6))</f>
        <v>0</v>
      </c>
      <c r="JB18" s="247" cm="1">
        <f t="array" ref="JB18">TRANSPOSE(SUMIFS(Графики!$G$7:$G$306,Графики!$D$7:$D$306,'DCF (2)'!JB$6))</f>
        <v>0</v>
      </c>
      <c r="JC18" s="247" cm="1">
        <f t="array" ref="JC18">TRANSPOSE(SUMIFS(Графики!$G$7:$G$306,Графики!$D$7:$D$306,'DCF (2)'!JC$6))</f>
        <v>0</v>
      </c>
      <c r="JD18" s="247" cm="1">
        <f t="array" ref="JD18">TRANSPOSE(SUMIFS(Графики!$G$7:$G$306,Графики!$D$7:$D$306,'DCF (2)'!JD$6))</f>
        <v>0</v>
      </c>
      <c r="JE18" s="247" cm="1">
        <f t="array" ref="JE18">TRANSPOSE(SUMIFS(Графики!$G$7:$G$306,Графики!$D$7:$D$306,'DCF (2)'!JE$6))</f>
        <v>0</v>
      </c>
      <c r="JF18" s="247" cm="1">
        <f t="array" ref="JF18">TRANSPOSE(SUMIFS(Графики!$G$7:$G$306,Графики!$D$7:$D$306,'DCF (2)'!JF$6))</f>
        <v>0</v>
      </c>
      <c r="JG18" s="247" cm="1">
        <f t="array" ref="JG18">TRANSPOSE(SUMIFS(Графики!$G$7:$G$306,Графики!$D$7:$D$306,'DCF (2)'!JG$6))</f>
        <v>0</v>
      </c>
      <c r="JH18" s="247" cm="1">
        <f t="array" ref="JH18">TRANSPOSE(SUMIFS(Графики!$G$7:$G$306,Графики!$D$7:$D$306,'DCF (2)'!JH$6))</f>
        <v>0</v>
      </c>
      <c r="JI18" s="247" cm="1">
        <f t="array" ref="JI18">TRANSPOSE(SUMIFS(Графики!$G$7:$G$306,Графики!$D$7:$D$306,'DCF (2)'!JI$6))</f>
        <v>0</v>
      </c>
      <c r="JJ18" s="247" cm="1">
        <f t="array" ref="JJ18">TRANSPOSE(SUMIFS(Графики!$G$7:$G$306,Графики!$D$7:$D$306,'DCF (2)'!JJ$6))</f>
        <v>0</v>
      </c>
      <c r="JK18" s="247" cm="1">
        <f t="array" ref="JK18">TRANSPOSE(SUMIFS(Графики!$G$7:$G$306,Графики!$D$7:$D$306,'DCF (2)'!JK$6))</f>
        <v>0</v>
      </c>
      <c r="JL18" s="247" cm="1">
        <f t="array" ref="JL18">TRANSPOSE(SUMIFS(Графики!$G$7:$G$306,Графики!$D$7:$D$306,'DCF (2)'!JL$6))</f>
        <v>0</v>
      </c>
      <c r="JM18" s="247" cm="1">
        <f t="array" ref="JM18">TRANSPOSE(SUMIFS(Графики!$G$7:$G$306,Графики!$D$7:$D$306,'DCF (2)'!JM$6))</f>
        <v>0</v>
      </c>
      <c r="JN18" s="247" cm="1">
        <f t="array" ref="JN18">TRANSPOSE(SUMIFS(Графики!$G$7:$G$306,Графики!$D$7:$D$306,'DCF (2)'!JN$6))</f>
        <v>0</v>
      </c>
      <c r="JO18" s="247" cm="1">
        <f t="array" ref="JO18">TRANSPOSE(SUMIFS(Графики!$G$7:$G$306,Графики!$D$7:$D$306,'DCF (2)'!JO$6))</f>
        <v>0</v>
      </c>
      <c r="JP18" s="247" cm="1">
        <f t="array" ref="JP18">TRANSPOSE(SUMIFS(Графики!$G$7:$G$306,Графики!$D$7:$D$306,'DCF (2)'!JP$6))</f>
        <v>0</v>
      </c>
      <c r="JQ18" s="247" cm="1">
        <f t="array" ref="JQ18">TRANSPOSE(SUMIFS(Графики!$G$7:$G$306,Графики!$D$7:$D$306,'DCF (2)'!JQ$6))</f>
        <v>0</v>
      </c>
      <c r="JR18" s="247" cm="1">
        <f t="array" ref="JR18">TRANSPOSE(SUMIFS(Графики!$G$7:$G$306,Графики!$D$7:$D$306,'DCF (2)'!JR$6))</f>
        <v>0</v>
      </c>
      <c r="JS18" s="247" cm="1">
        <f t="array" ref="JS18">TRANSPOSE(SUMIFS(Графики!$G$7:$G$306,Графики!$D$7:$D$306,'DCF (2)'!JS$6))</f>
        <v>0</v>
      </c>
      <c r="JT18" s="247" cm="1">
        <f t="array" ref="JT18">TRANSPOSE(SUMIFS(Графики!$G$7:$G$306,Графики!$D$7:$D$306,'DCF (2)'!JT$6))</f>
        <v>0</v>
      </c>
      <c r="JU18" s="247" cm="1">
        <f t="array" ref="JU18">TRANSPOSE(SUMIFS(Графики!$G$7:$G$306,Графики!$D$7:$D$306,'DCF (2)'!JU$6))</f>
        <v>0</v>
      </c>
      <c r="JV18" s="247" cm="1">
        <f t="array" ref="JV18">TRANSPOSE(SUMIFS(Графики!$G$7:$G$306,Графики!$D$7:$D$306,'DCF (2)'!JV$6))</f>
        <v>0</v>
      </c>
      <c r="JW18" s="247" cm="1">
        <f t="array" ref="JW18">TRANSPOSE(SUMIFS(Графики!$G$7:$G$306,Графики!$D$7:$D$306,'DCF (2)'!JW$6))</f>
        <v>0</v>
      </c>
      <c r="JX18" s="247" cm="1">
        <f t="array" ref="JX18">TRANSPOSE(SUMIFS(Графики!$G$7:$G$306,Графики!$D$7:$D$306,'DCF (2)'!JX$6))</f>
        <v>0</v>
      </c>
      <c r="JY18" s="247" cm="1">
        <f t="array" ref="JY18">TRANSPOSE(SUMIFS(Графики!$G$7:$G$306,Графики!$D$7:$D$306,'DCF (2)'!JY$6))</f>
        <v>0</v>
      </c>
      <c r="JZ18" s="247" cm="1">
        <f t="array" ref="JZ18">TRANSPOSE(SUMIFS(Графики!$E$7:$E$306,Графики!$D$7:$D$306,'DCF (2)'!JZ$6))</f>
        <v>0</v>
      </c>
      <c r="KA18" s="247" cm="1">
        <f t="array" ref="KA18">TRANSPOSE(SUMIFS(Графики!$G$7:$G$306,Графики!$D$7:$D$306,'DCF (2)'!KA$6))</f>
        <v>0</v>
      </c>
      <c r="KB18" s="247" cm="1">
        <f t="array" ref="KB18">TRANSPOSE(SUMIFS(Графики!$G$7:$G$306,Графики!$D$7:$D$306,'DCF (2)'!KB$6))</f>
        <v>0</v>
      </c>
      <c r="KC18" s="247" cm="1">
        <f t="array" ref="KC18">TRANSPOSE(SUMIFS(Графики!$G$7:$G$306,Графики!$D$7:$D$306,'DCF (2)'!KC$6))</f>
        <v>0</v>
      </c>
      <c r="KD18" s="247" cm="1">
        <f t="array" ref="KD18">TRANSPOSE(SUMIFS(Графики!$G$7:$G$306,Графики!$D$7:$D$306,'DCF (2)'!KD$6))</f>
        <v>0</v>
      </c>
      <c r="KE18" s="247" cm="1">
        <f t="array" ref="KE18">TRANSPOSE(SUMIFS(Графики!$G$7:$G$306,Графики!$D$7:$D$306,'DCF (2)'!KE$6))</f>
        <v>0</v>
      </c>
      <c r="KF18" s="247" cm="1">
        <f t="array" ref="KF18">TRANSPOSE(SUMIFS(Графики!$G$7:$G$306,Графики!$D$7:$D$306,'DCF (2)'!KF$6))</f>
        <v>0</v>
      </c>
      <c r="KG18" s="247" cm="1">
        <f t="array" ref="KG18">TRANSPOSE(SUMIFS(Графики!$G$7:$G$306,Графики!$D$7:$D$306,'DCF (2)'!KG$6))</f>
        <v>0</v>
      </c>
      <c r="KH18" s="247" cm="1">
        <f t="array" ref="KH18">TRANSPOSE(SUMIFS(Графики!$G$7:$G$306,Графики!$D$7:$D$306,'DCF (2)'!KH$6))</f>
        <v>0</v>
      </c>
      <c r="KI18" s="247" cm="1">
        <f t="array" ref="KI18">TRANSPOSE(SUMIFS(Графики!$G$7:$G$306,Графики!$D$7:$D$306,'DCF (2)'!KI$6))</f>
        <v>0</v>
      </c>
      <c r="KJ18" s="247" cm="1">
        <f t="array" ref="KJ18">TRANSPOSE(SUMIFS(Графики!$G$7:$G$306,Графики!$D$7:$D$306,'DCF (2)'!KJ$6))</f>
        <v>0</v>
      </c>
      <c r="KK18" s="247" cm="1">
        <f t="array" ref="KK18">TRANSPOSE(SUMIFS(Графики!$G$7:$G$306,Графики!$D$7:$D$306,'DCF (2)'!KK$6))</f>
        <v>0</v>
      </c>
      <c r="KL18" s="247" cm="1">
        <f t="array" ref="KL18">TRANSPOSE(SUMIFS(Графики!$G$7:$G$306,Графики!$D$7:$D$306,'DCF (2)'!KL$6))</f>
        <v>0</v>
      </c>
      <c r="KM18" s="247" cm="1">
        <f t="array" ref="KM18">TRANSPOSE(SUMIFS(Графики!$G$7:$G$306,Графики!$D$7:$D$306,'DCF (2)'!KM$6))</f>
        <v>0</v>
      </c>
      <c r="KN18" s="247" cm="1">
        <f t="array" ref="KN18">TRANSPOSE(SUMIFS(Графики!$G$7:$G$306,Графики!$D$7:$D$306,'DCF (2)'!KN$6))</f>
        <v>0</v>
      </c>
      <c r="KO18" s="247" cm="1">
        <f t="array" ref="KO18">TRANSPOSE(SUMIFS(Графики!$G$7:$G$306,Графики!$D$7:$D$306,'DCF (2)'!KO$6))</f>
        <v>0</v>
      </c>
      <c r="KP18" s="247" cm="1">
        <f t="array" ref="KP18">TRANSPOSE(SUMIFS(Графики!$G$7:$G$306,Графики!$D$7:$D$306,'DCF (2)'!KP$6))</f>
        <v>0</v>
      </c>
      <c r="KQ18" s="247" cm="1">
        <f t="array" ref="KQ18">TRANSPOSE(SUMIFS(Графики!$G$7:$G$306,Графики!$D$7:$D$306,'DCF (2)'!KQ$6))</f>
        <v>0</v>
      </c>
    </row>
    <row r="19" spans="2:303" x14ac:dyDescent="0.35">
      <c r="B19" s="289" t="s">
        <v>114</v>
      </c>
      <c r="C19" s="241">
        <f>SUM(D19:KQ19)</f>
        <v>197152741</v>
      </c>
      <c r="D19" s="247" cm="1">
        <f t="array" ref="D19">TRANSPOSE(SUMIFS(Графики!$F$7:$F$306,Графики!$D$7:$D$306,'DCF (2)'!D$6))</f>
        <v>15772219.280000001</v>
      </c>
      <c r="E19" s="247" cm="1">
        <f t="array" ref="E19">TRANSPOSE(SUMIFS(Графики!$F$7:$F$306,Графики!$D$7:$D$306,'DCF (2)'!E$6))</f>
        <v>15772219.280000001</v>
      </c>
      <c r="F19" s="247" cm="1">
        <f t="array" ref="F19">TRANSPOSE(SUMIFS(Графики!$F$7:$F$306,Графики!$D$7:$D$306,'DCF (2)'!F$6))</f>
        <v>15772219.280000001</v>
      </c>
      <c r="G19" s="247" cm="1">
        <f t="array" ref="G19">TRANSPOSE(SUMIFS(Графики!$F$7:$F$306,Графики!$D$7:$D$306,'DCF (2)'!G$6))</f>
        <v>15772219.280000001</v>
      </c>
      <c r="H19" s="247" cm="1">
        <f t="array" ref="H19">TRANSPOSE(SUMIFS(Графики!$F$7:$F$306,Графики!$D$7:$D$306,'DCF (2)'!H$6))</f>
        <v>15772219.280000001</v>
      </c>
      <c r="I19" s="247" cm="1">
        <f t="array" ref="I19">TRANSPOSE(SUMIFS(Графики!$F$7:$F$306,Графики!$D$7:$D$306,'DCF (2)'!I$6))</f>
        <v>15772219.280000001</v>
      </c>
      <c r="J19" s="247" cm="1">
        <f t="array" ref="J19">TRANSPOSE(SUMIFS(Графики!$F$7:$F$306,Графики!$D$7:$D$306,'DCF (2)'!J$6))</f>
        <v>15772219.280000001</v>
      </c>
      <c r="K19" s="247" cm="1">
        <f t="array" ref="K19">TRANSPOSE(SUMIFS(Графики!$F$7:$F$306,Графики!$D$7:$D$306,'DCF (2)'!K$6))</f>
        <v>15772219.280000001</v>
      </c>
      <c r="L19" s="247" cm="1">
        <f t="array" ref="L19">TRANSPOSE(SUMIFS(Графики!$F$7:$F$306,Графики!$D$7:$D$306,'DCF (2)'!L$6))</f>
        <v>15772219.280000001</v>
      </c>
      <c r="M19" s="247" cm="1">
        <f t="array" ref="M19">TRANSPOSE(SUMIFS(Графики!$F$7:$F$306,Графики!$D$7:$D$306,'DCF (2)'!M$6))</f>
        <v>15772219.280000001</v>
      </c>
      <c r="N19" s="247" cm="1">
        <f t="array" ref="N19">TRANSPOSE(SUMIFS(Графики!$F$7:$F$306,Графики!$D$7:$D$306,'DCF (2)'!N$6))</f>
        <v>15772219.280000001</v>
      </c>
      <c r="O19" s="247" cm="1">
        <f t="array" ref="O19">TRANSPOSE(SUMIFS(Графики!$F$7:$F$306,Графики!$D$7:$D$306,'DCF (2)'!O$6))</f>
        <v>23658328.919999998</v>
      </c>
      <c r="P19" s="247" cm="1">
        <f t="array" ref="P19">TRANSPOSE(SUMIFS(Графики!$F$7:$F$306,Графики!$D$7:$D$306,'DCF (2)'!P$6))</f>
        <v>0</v>
      </c>
      <c r="Q19" s="247" cm="1">
        <f t="array" ref="Q19">TRANSPOSE(SUMIFS(Графики!$F$7:$F$306,Графики!$D$7:$D$306,'DCF (2)'!Q$6))</f>
        <v>0</v>
      </c>
      <c r="R19" s="247" cm="1">
        <f t="array" ref="R19">TRANSPOSE(SUMIFS(Графики!$F$7:$F$306,Графики!$D$7:$D$306,'DCF (2)'!R$6))</f>
        <v>0</v>
      </c>
      <c r="S19" s="247" cm="1">
        <f t="array" ref="S19">TRANSPOSE(SUMIFS(Графики!$F$7:$F$306,Графики!$D$7:$D$306,'DCF (2)'!S$6))</f>
        <v>0</v>
      </c>
      <c r="T19" s="247" cm="1">
        <f t="array" ref="T19">TRANSPOSE(SUMIFS(Графики!$F$7:$F$306,Графики!$D$7:$D$306,'DCF (2)'!T$6))</f>
        <v>0</v>
      </c>
      <c r="U19" s="247" cm="1">
        <f t="array" ref="U19">TRANSPOSE(SUMIFS(Графики!$F$7:$F$306,Графики!$D$7:$D$306,'DCF (2)'!U$6))</f>
        <v>0</v>
      </c>
      <c r="V19" s="247" cm="1">
        <f t="array" ref="V19">TRANSPOSE(SUMIFS(Графики!$F$7:$F$306,Графики!$D$7:$D$306,'DCF (2)'!V$6))</f>
        <v>0</v>
      </c>
      <c r="W19" s="247" cm="1">
        <f t="array" ref="W19">TRANSPOSE(SUMIFS(Графики!$F$7:$F$306,Графики!$D$7:$D$306,'DCF (2)'!W$6))</f>
        <v>0</v>
      </c>
      <c r="X19" s="247" cm="1">
        <f t="array" ref="X19">TRANSPOSE(SUMIFS(Графики!$F$7:$F$306,Графики!$D$7:$D$306,'DCF (2)'!X$6))</f>
        <v>0</v>
      </c>
      <c r="Y19" s="247" cm="1">
        <f t="array" ref="Y19">TRANSPOSE(SUMIFS(Графики!$F$7:$F$306,Графики!$D$7:$D$306,'DCF (2)'!Y$6))</f>
        <v>0</v>
      </c>
      <c r="Z19" s="247" cm="1">
        <f t="array" ref="Z19">TRANSPOSE(SUMIFS(Графики!$F$7:$F$306,Графики!$D$7:$D$306,'DCF (2)'!Z$6))</f>
        <v>0</v>
      </c>
      <c r="AA19" s="247" cm="1">
        <f t="array" ref="AA19">TRANSPOSE(SUMIFS(Графики!$F$7:$F$306,Графики!$D$7:$D$306,'DCF (2)'!AA$6))</f>
        <v>0</v>
      </c>
      <c r="AB19" s="247" cm="1">
        <f t="array" ref="AB19">TRANSPOSE(SUMIFS(Графики!$F$7:$F$306,Графики!$D$7:$D$306,'DCF (2)'!AB$6))</f>
        <v>0</v>
      </c>
      <c r="AC19" s="247" cm="1">
        <f t="array" ref="AC19">TRANSPOSE(SUMIFS(Графики!$F$7:$F$306,Графики!$D$7:$D$306,'DCF (2)'!AC$6))</f>
        <v>0</v>
      </c>
      <c r="AD19" s="247" cm="1">
        <f t="array" ref="AD19">TRANSPOSE(SUMIFS(Графики!$F$7:$F$306,Графики!$D$7:$D$306,'DCF (2)'!AD$6))</f>
        <v>0</v>
      </c>
      <c r="AE19" s="247" cm="1">
        <f t="array" ref="AE19">TRANSPOSE(SUMIFS(Графики!$F$7:$F$306,Графики!$D$7:$D$306,'DCF (2)'!AE$6))</f>
        <v>0</v>
      </c>
      <c r="AF19" s="247" cm="1">
        <f t="array" ref="AF19">TRANSPOSE(SUMIFS(Графики!$F$7:$F$306,Графики!$D$7:$D$306,'DCF (2)'!AF$6))</f>
        <v>0</v>
      </c>
      <c r="AG19" s="247" cm="1">
        <f t="array" ref="AG19">TRANSPOSE(SUMIFS(Графики!$F$7:$F$306,Графики!$D$7:$D$306,'DCF (2)'!AG$6))</f>
        <v>0</v>
      </c>
      <c r="AH19" s="247" cm="1">
        <f t="array" ref="AH19">TRANSPOSE(SUMIFS(Графики!$F$7:$F$306,Графики!$D$7:$D$306,'DCF (2)'!AH$6))</f>
        <v>0</v>
      </c>
      <c r="AI19" s="247" cm="1">
        <f t="array" ref="AI19">TRANSPOSE(SUMIFS(Графики!$F$7:$F$306,Графики!$D$7:$D$306,'DCF (2)'!AI$6))</f>
        <v>0</v>
      </c>
      <c r="AJ19" s="247" cm="1">
        <f t="array" ref="AJ19">TRANSPOSE(SUMIFS(Графики!$F$7:$F$306,Графики!$D$7:$D$306,'DCF (2)'!AJ$6))</f>
        <v>0</v>
      </c>
      <c r="AK19" s="247" cm="1">
        <f t="array" ref="AK19">TRANSPOSE(SUMIFS(Графики!$F$7:$F$306,Графики!$D$7:$D$306,'DCF (2)'!AK$6))</f>
        <v>0</v>
      </c>
      <c r="AL19" s="247" cm="1">
        <f t="array" ref="AL19">TRANSPOSE(SUMIFS(Графики!$F$7:$F$306,Графики!$D$7:$D$306,'DCF (2)'!AL$6))</f>
        <v>0</v>
      </c>
      <c r="AM19" s="247" cm="1">
        <f t="array" ref="AM19">TRANSPOSE(SUMIFS(Графики!$F$7:$F$306,Графики!$D$7:$D$306,'DCF (2)'!AM$6))</f>
        <v>0</v>
      </c>
      <c r="AN19" s="247" cm="1">
        <f t="array" ref="AN19">TRANSPOSE(SUMIFS(Графики!$F$7:$F$306,Графики!$D$7:$D$306,'DCF (2)'!AN$6))</f>
        <v>0</v>
      </c>
      <c r="AO19" s="247" cm="1">
        <f t="array" ref="AO19">TRANSPOSE(SUMIFS(Графики!$F$7:$F$306,Графики!$D$7:$D$306,'DCF (2)'!AO$6))</f>
        <v>0</v>
      </c>
      <c r="AP19" s="247" cm="1">
        <f t="array" ref="AP19">TRANSPOSE(SUMIFS(Графики!$F$7:$F$306,Графики!$D$7:$D$306,'DCF (2)'!AP$6))</f>
        <v>0</v>
      </c>
      <c r="AQ19" s="247" cm="1">
        <f t="array" ref="AQ19">TRANSPOSE(SUMIFS(Графики!$F$7:$F$306,Графики!$D$7:$D$306,'DCF (2)'!AQ$6))</f>
        <v>0</v>
      </c>
      <c r="AR19" s="247" cm="1">
        <f t="array" ref="AR19">TRANSPOSE(SUMIFS(Графики!$F$7:$F$306,Графики!$D$7:$D$306,'DCF (2)'!AR$6))</f>
        <v>0</v>
      </c>
      <c r="AS19" s="247" cm="1">
        <f t="array" ref="AS19">TRANSPOSE(SUMIFS(Графики!$F$7:$F$306,Графики!$D$7:$D$306,'DCF (2)'!AS$6))</f>
        <v>0</v>
      </c>
      <c r="AT19" s="247" cm="1">
        <f t="array" ref="AT19">TRANSPOSE(SUMIFS(Графики!$F$7:$F$306,Графики!$D$7:$D$306,'DCF (2)'!AT$6))</f>
        <v>0</v>
      </c>
      <c r="AU19" s="247" cm="1">
        <f t="array" ref="AU19">TRANSPOSE(SUMIFS(Графики!$F$7:$F$306,Графики!$D$7:$D$306,'DCF (2)'!AU$6))</f>
        <v>0</v>
      </c>
      <c r="AV19" s="247" cm="1">
        <f t="array" ref="AV19">TRANSPOSE(SUMIFS(Графики!$F$7:$F$306,Графики!$D$7:$D$306,'DCF (2)'!AV$6))</f>
        <v>0</v>
      </c>
      <c r="AW19" s="247" cm="1">
        <f t="array" ref="AW19">TRANSPOSE(SUMIFS(Графики!$F$7:$F$306,Графики!$D$7:$D$306,'DCF (2)'!AW$6))</f>
        <v>0</v>
      </c>
      <c r="AX19" s="247" cm="1">
        <f t="array" ref="AX19">TRANSPOSE(SUMIFS(Графики!$F$7:$F$306,Графики!$D$7:$D$306,'DCF (2)'!AX$6))</f>
        <v>0</v>
      </c>
      <c r="AY19" s="247" cm="1">
        <f t="array" ref="AY19">TRANSPOSE(SUMIFS(Графики!$F$7:$F$306,Графики!$D$7:$D$306,'DCF (2)'!AY$6))</f>
        <v>0</v>
      </c>
      <c r="AZ19" s="247" cm="1">
        <f t="array" ref="AZ19">TRANSPOSE(SUMIFS(Графики!$F$7:$F$306,Графики!$D$7:$D$306,'DCF (2)'!AZ$6))</f>
        <v>0</v>
      </c>
      <c r="BA19" s="247" cm="1">
        <f t="array" ref="BA19">TRANSPOSE(SUMIFS(Графики!$F$7:$F$306,Графики!$D$7:$D$306,'DCF (2)'!BA$6))</f>
        <v>0</v>
      </c>
      <c r="BB19" s="247" cm="1">
        <f t="array" ref="BB19">TRANSPOSE(SUMIFS(Графики!$F$7:$F$306,Графики!$D$7:$D$306,'DCF (2)'!BB$6))</f>
        <v>0</v>
      </c>
      <c r="BC19" s="247" cm="1">
        <f t="array" ref="BC19">TRANSPOSE(SUMIFS(Графики!$F$7:$F$306,Графики!$D$7:$D$306,'DCF (2)'!BC$6))</f>
        <v>0</v>
      </c>
      <c r="BD19" s="247" cm="1">
        <f t="array" ref="BD19">TRANSPOSE(SUMIFS(Графики!$F$7:$F$306,Графики!$D$7:$D$306,'DCF (2)'!BD$6))</f>
        <v>0</v>
      </c>
      <c r="BE19" s="247" cm="1">
        <f t="array" ref="BE19">TRANSPOSE(SUMIFS(Графики!$F$7:$F$306,Графики!$D$7:$D$306,'DCF (2)'!BE$6))</f>
        <v>0</v>
      </c>
      <c r="BF19" s="247" cm="1">
        <f t="array" ref="BF19">TRANSPOSE(SUMIFS(Графики!$F$7:$F$306,Графики!$D$7:$D$306,'DCF (2)'!BF$6))</f>
        <v>0</v>
      </c>
      <c r="BG19" s="247" cm="1">
        <f t="array" ref="BG19">TRANSPOSE(SUMIFS(Графики!$F$7:$F$306,Графики!$D$7:$D$306,'DCF (2)'!BG$6))</f>
        <v>0</v>
      </c>
      <c r="BH19" s="247" cm="1">
        <f t="array" ref="BH19">TRANSPOSE(SUMIFS(Графики!$F$7:$F$306,Графики!$D$7:$D$306,'DCF (2)'!BH$6))</f>
        <v>0</v>
      </c>
      <c r="BI19" s="247" cm="1">
        <f t="array" ref="BI19">TRANSPOSE(SUMIFS(Графики!$F$7:$F$306,Графики!$D$7:$D$306,'DCF (2)'!BI$6))</f>
        <v>0</v>
      </c>
      <c r="BJ19" s="247" cm="1">
        <f t="array" ref="BJ19">TRANSPOSE(SUMIFS(Графики!$F$7:$F$306,Графики!$D$7:$D$306,'DCF (2)'!BJ$6))</f>
        <v>0</v>
      </c>
      <c r="BK19" s="247" cm="1">
        <f t="array" ref="BK19">TRANSPOSE(SUMIFS(Графики!$F$7:$F$306,Графики!$D$7:$D$306,'DCF (2)'!BK$6))</f>
        <v>0</v>
      </c>
      <c r="BL19" s="247" cm="1">
        <f t="array" ref="BL19">TRANSPOSE(SUMIFS(Графики!$F$7:$F$306,Графики!$D$7:$D$306,'DCF (2)'!BL$6))</f>
        <v>0</v>
      </c>
      <c r="BM19" s="247" cm="1">
        <f t="array" ref="BM19">TRANSPOSE(SUMIFS(Графики!$F$7:$F$306,Графики!$D$7:$D$306,'DCF (2)'!BM$6))</f>
        <v>0</v>
      </c>
      <c r="BN19" s="247" cm="1">
        <f t="array" ref="BN19">TRANSPOSE(SUMIFS(Графики!$F$7:$F$306,Графики!$D$7:$D$306,'DCF (2)'!BN$6))</f>
        <v>0</v>
      </c>
      <c r="BO19" s="247" cm="1">
        <f t="array" ref="BO19">TRANSPOSE(SUMIFS(Графики!$F$7:$F$306,Графики!$D$7:$D$306,'DCF (2)'!BO$6))</f>
        <v>0</v>
      </c>
      <c r="BP19" s="247" cm="1">
        <f t="array" ref="BP19">TRANSPOSE(SUMIFS(Графики!$F$7:$F$306,Графики!$D$7:$D$306,'DCF (2)'!BP$6))</f>
        <v>0</v>
      </c>
      <c r="BQ19" s="247" cm="1">
        <f t="array" ref="BQ19">TRANSPOSE(SUMIFS(Графики!$F$7:$F$306,Графики!$D$7:$D$306,'DCF (2)'!BQ$6))</f>
        <v>0</v>
      </c>
      <c r="BR19" s="247" cm="1">
        <f t="array" ref="BR19">TRANSPOSE(SUMIFS(Графики!$F$7:$F$306,Графики!$D$7:$D$306,'DCF (2)'!BR$6))</f>
        <v>0</v>
      </c>
      <c r="BS19" s="247" cm="1">
        <f t="array" ref="BS19">TRANSPOSE(SUMIFS(Графики!$F$7:$F$306,Графики!$D$7:$D$306,'DCF (2)'!BS$6))</f>
        <v>0</v>
      </c>
      <c r="BT19" s="247" cm="1">
        <f t="array" ref="BT19">TRANSPOSE(SUMIFS(Графики!$F$7:$F$306,Графики!$D$7:$D$306,'DCF (2)'!BT$6))</f>
        <v>0</v>
      </c>
      <c r="BU19" s="247" cm="1">
        <f t="array" ref="BU19">TRANSPOSE(SUMIFS(Графики!$F$7:$F$306,Графики!$D$7:$D$306,'DCF (2)'!BU$6))</f>
        <v>0</v>
      </c>
      <c r="BV19" s="247" cm="1">
        <f t="array" ref="BV19">TRANSPOSE(SUMIFS(Графики!$F$7:$F$306,Графики!$D$7:$D$306,'DCF (2)'!BV$6))</f>
        <v>0</v>
      </c>
      <c r="BW19" s="247" cm="1">
        <f t="array" ref="BW19">TRANSPOSE(SUMIFS(Графики!$F$7:$F$306,Графики!$D$7:$D$306,'DCF (2)'!BW$6))</f>
        <v>0</v>
      </c>
      <c r="BX19" s="247" cm="1">
        <f t="array" ref="BX19">TRANSPOSE(SUMIFS(Графики!$F$7:$F$306,Графики!$D$7:$D$306,'DCF (2)'!BX$6))</f>
        <v>0</v>
      </c>
      <c r="BY19" s="247" cm="1">
        <f t="array" ref="BY19">TRANSPOSE(SUMIFS(Графики!$F$7:$F$306,Графики!$D$7:$D$306,'DCF (2)'!BY$6))</f>
        <v>0</v>
      </c>
      <c r="BZ19" s="247" cm="1">
        <f t="array" ref="BZ19">TRANSPOSE(SUMIFS(Графики!$F$7:$F$306,Графики!$D$7:$D$306,'DCF (2)'!BZ$6))</f>
        <v>0</v>
      </c>
      <c r="CA19" s="247" cm="1">
        <f t="array" ref="CA19">TRANSPOSE(SUMIFS(Графики!$F$7:$F$306,Графики!$D$7:$D$306,'DCF (2)'!CA$6))</f>
        <v>0</v>
      </c>
      <c r="CB19" s="247" cm="1">
        <f t="array" ref="CB19">TRANSPOSE(SUMIFS(Графики!$F$7:$F$306,Графики!$D$7:$D$306,'DCF (2)'!CB$6))</f>
        <v>0</v>
      </c>
      <c r="CC19" s="247" cm="1">
        <f t="array" ref="CC19">TRANSPOSE(SUMIFS(Графики!$F$7:$F$306,Графики!$D$7:$D$306,'DCF (2)'!CC$6))</f>
        <v>0</v>
      </c>
      <c r="CD19" s="247" cm="1">
        <f t="array" ref="CD19">TRANSPOSE(SUMIFS(Графики!$F$7:$F$306,Графики!$D$7:$D$306,'DCF (2)'!CD$6))</f>
        <v>0</v>
      </c>
      <c r="CE19" s="247" cm="1">
        <f t="array" ref="CE19">TRANSPOSE(SUMIFS(Графики!$F$7:$F$306,Графики!$D$7:$D$306,'DCF (2)'!CE$6))</f>
        <v>0</v>
      </c>
      <c r="CF19" s="247" cm="1">
        <f t="array" ref="CF19">TRANSPOSE(SUMIFS(Графики!$F$7:$F$306,Графики!$D$7:$D$306,'DCF (2)'!CF$6))</f>
        <v>0</v>
      </c>
      <c r="CG19" s="247" cm="1">
        <f t="array" ref="CG19">TRANSPOSE(SUMIFS(Графики!$F$7:$F$306,Графики!$D$7:$D$306,'DCF (2)'!CG$6))</f>
        <v>0</v>
      </c>
      <c r="CH19" s="247" cm="1">
        <f t="array" ref="CH19">TRANSPOSE(SUMIFS(Графики!$F$7:$F$306,Графики!$D$7:$D$306,'DCF (2)'!CH$6))</f>
        <v>0</v>
      </c>
      <c r="CI19" s="247" cm="1">
        <f t="array" ref="CI19">TRANSPOSE(SUMIFS(Графики!$F$7:$F$306,Графики!$D$7:$D$306,'DCF (2)'!CI$6))</f>
        <v>0</v>
      </c>
      <c r="CJ19" s="247" cm="1">
        <f t="array" ref="CJ19">TRANSPOSE(SUMIFS(Графики!$F$7:$F$306,Графики!$D$7:$D$306,'DCF (2)'!CJ$6))</f>
        <v>0</v>
      </c>
      <c r="CK19" s="247" cm="1">
        <f t="array" ref="CK19">TRANSPOSE(SUMIFS(Графики!$F$7:$F$306,Графики!$D$7:$D$306,'DCF (2)'!CK$6))</f>
        <v>0</v>
      </c>
      <c r="CL19" s="247" cm="1">
        <f t="array" ref="CL19">TRANSPOSE(SUMIFS(Графики!$F$7:$F$306,Графики!$D$7:$D$306,'DCF (2)'!CL$6))</f>
        <v>0</v>
      </c>
      <c r="CM19" s="247" cm="1">
        <f t="array" ref="CM19">TRANSPOSE(SUMIFS(Графики!$F$7:$F$306,Графики!$D$7:$D$306,'DCF (2)'!CM$6))</f>
        <v>0</v>
      </c>
      <c r="CN19" s="247" cm="1">
        <f t="array" ref="CN19">TRANSPOSE(SUMIFS(Графики!$F$7:$F$306,Графики!$D$7:$D$306,'DCF (2)'!CN$6))</f>
        <v>0</v>
      </c>
      <c r="CO19" s="247" cm="1">
        <f t="array" ref="CO19">TRANSPOSE(SUMIFS(Графики!$F$7:$F$306,Графики!$D$7:$D$306,'DCF (2)'!CO$6))</f>
        <v>0</v>
      </c>
      <c r="CP19" s="247" cm="1">
        <f t="array" ref="CP19">TRANSPOSE(SUMIFS(Графики!$F$7:$F$306,Графики!$D$7:$D$306,'DCF (2)'!CP$6))</f>
        <v>0</v>
      </c>
      <c r="CQ19" s="247" cm="1">
        <f t="array" ref="CQ19">TRANSPOSE(SUMIFS(Графики!$F$7:$F$306,Графики!$D$7:$D$306,'DCF (2)'!CQ$6))</f>
        <v>0</v>
      </c>
      <c r="CR19" s="247" cm="1">
        <f t="array" ref="CR19">TRANSPOSE(SUMIFS(Графики!$F$7:$F$306,Графики!$D$7:$D$306,'DCF (2)'!CR$6))</f>
        <v>0</v>
      </c>
      <c r="CS19" s="247" cm="1">
        <f t="array" ref="CS19">TRANSPOSE(SUMIFS(Графики!$F$7:$F$306,Графики!$D$7:$D$306,'DCF (2)'!CS$6))</f>
        <v>0</v>
      </c>
      <c r="CT19" s="247" cm="1">
        <f t="array" ref="CT19">TRANSPOSE(SUMIFS(Графики!$F$7:$F$306,Графики!$D$7:$D$306,'DCF (2)'!CT$6))</f>
        <v>0</v>
      </c>
      <c r="CU19" s="247" cm="1">
        <f t="array" ref="CU19">TRANSPOSE(SUMIFS(Графики!$F$7:$F$306,Графики!$D$7:$D$306,'DCF (2)'!CU$6))</f>
        <v>0</v>
      </c>
      <c r="CV19" s="247" cm="1">
        <f t="array" ref="CV19">TRANSPOSE(SUMIFS(Графики!$F$7:$F$306,Графики!$D$7:$D$306,'DCF (2)'!CV$6))</f>
        <v>0</v>
      </c>
      <c r="CW19" s="247" cm="1">
        <f t="array" ref="CW19">TRANSPOSE(SUMIFS(Графики!$F$7:$F$306,Графики!$D$7:$D$306,'DCF (2)'!CW$6))</f>
        <v>0</v>
      </c>
      <c r="CX19" s="247" cm="1">
        <f t="array" ref="CX19">TRANSPOSE(SUMIFS(Графики!$F$7:$F$306,Графики!$D$7:$D$306,'DCF (2)'!CX$6))</f>
        <v>0</v>
      </c>
      <c r="CY19" s="247" cm="1">
        <f t="array" ref="CY19">TRANSPOSE(SUMIFS(Графики!$F$7:$F$306,Графики!$D$7:$D$306,'DCF (2)'!CY$6))</f>
        <v>0</v>
      </c>
      <c r="CZ19" s="247" cm="1">
        <f t="array" ref="CZ19">TRANSPOSE(SUMIFS(Графики!$F$7:$F$306,Графики!$D$7:$D$306,'DCF (2)'!CZ$6))</f>
        <v>0</v>
      </c>
      <c r="DA19" s="247" cm="1">
        <f t="array" ref="DA19">TRANSPOSE(SUMIFS(Графики!$F$7:$F$306,Графики!$D$7:$D$306,'DCF (2)'!DA$6))</f>
        <v>0</v>
      </c>
      <c r="DB19" s="247" cm="1">
        <f t="array" ref="DB19">TRANSPOSE(SUMIFS(Графики!$F$7:$F$306,Графики!$D$7:$D$306,'DCF (2)'!DB$6))</f>
        <v>0</v>
      </c>
      <c r="DC19" s="247" cm="1">
        <f t="array" ref="DC19">TRANSPOSE(SUMIFS(Графики!$F$7:$F$306,Графики!$D$7:$D$306,'DCF (2)'!DC$6))</f>
        <v>0</v>
      </c>
      <c r="DD19" s="247" cm="1">
        <f t="array" ref="DD19">TRANSPOSE(SUMIFS(Графики!$F$7:$F$306,Графики!$D$7:$D$306,'DCF (2)'!DD$6))</f>
        <v>0</v>
      </c>
      <c r="DE19" s="247" cm="1">
        <f t="array" ref="DE19">TRANSPOSE(SUMIFS(Графики!$F$7:$F$306,Графики!$D$7:$D$306,'DCF (2)'!DE$6))</f>
        <v>0</v>
      </c>
      <c r="DF19" s="247" cm="1">
        <f t="array" ref="DF19">TRANSPOSE(SUMIFS(Графики!$F$7:$F$306,Графики!$D$7:$D$306,'DCF (2)'!DF$6))</f>
        <v>0</v>
      </c>
      <c r="DG19" s="247" cm="1">
        <f t="array" ref="DG19">TRANSPOSE(SUMIFS(Графики!$F$7:$F$306,Графики!$D$7:$D$306,'DCF (2)'!DG$6))</f>
        <v>0</v>
      </c>
      <c r="DH19" s="247" cm="1">
        <f t="array" ref="DH19">TRANSPOSE(SUMIFS(Графики!$F$7:$F$306,Графики!$D$7:$D$306,'DCF (2)'!DH$6))</f>
        <v>0</v>
      </c>
      <c r="DI19" s="247" cm="1">
        <f t="array" ref="DI19">TRANSPOSE(SUMIFS(Графики!$F$7:$F$306,Графики!$D$7:$D$306,'DCF (2)'!DI$6))</f>
        <v>0</v>
      </c>
      <c r="DJ19" s="247" cm="1">
        <f t="array" ref="DJ19">TRANSPOSE(SUMIFS(Графики!$F$7:$F$306,Графики!$D$7:$D$306,'DCF (2)'!DJ$6))</f>
        <v>0</v>
      </c>
      <c r="DK19" s="247" cm="1">
        <f t="array" ref="DK19">TRANSPOSE(SUMIFS(Графики!$F$7:$F$306,Графики!$D$7:$D$306,'DCF (2)'!DK$6))</f>
        <v>0</v>
      </c>
      <c r="DL19" s="247" cm="1">
        <f t="array" ref="DL19">TRANSPOSE(SUMIFS(Графики!$F$7:$F$306,Графики!$D$7:$D$306,'DCF (2)'!DL$6))</f>
        <v>0</v>
      </c>
      <c r="DM19" s="247" cm="1">
        <f t="array" ref="DM19">TRANSPOSE(SUMIFS(Графики!$F$7:$F$306,Графики!$D$7:$D$306,'DCF (2)'!DM$6))</f>
        <v>0</v>
      </c>
      <c r="DN19" s="247" cm="1">
        <f t="array" ref="DN19">TRANSPOSE(SUMIFS(Графики!$F$7:$F$306,Графики!$D$7:$D$306,'DCF (2)'!DN$6))</f>
        <v>0</v>
      </c>
      <c r="DO19" s="247" cm="1">
        <f t="array" ref="DO19">TRANSPOSE(SUMIFS(Графики!$F$7:$F$306,Графики!$D$7:$D$306,'DCF (2)'!DO$6))</f>
        <v>0</v>
      </c>
      <c r="DP19" s="247" cm="1">
        <f t="array" ref="DP19">TRANSPOSE(SUMIFS(Графики!$F$7:$F$306,Графики!$D$7:$D$306,'DCF (2)'!DP$6))</f>
        <v>0</v>
      </c>
      <c r="DQ19" s="247" cm="1">
        <f t="array" ref="DQ19">TRANSPOSE(SUMIFS(Графики!$F$7:$F$306,Графики!$D$7:$D$306,'DCF (2)'!DQ$6))</f>
        <v>0</v>
      </c>
      <c r="DR19" s="247" cm="1">
        <f t="array" ref="DR19">TRANSPOSE(SUMIFS(Графики!$F$7:$F$306,Графики!$D$7:$D$306,'DCF (2)'!DR$6))</f>
        <v>0</v>
      </c>
      <c r="DS19" s="247" cm="1">
        <f t="array" ref="DS19">TRANSPOSE(SUMIFS(Графики!$F$7:$F$306,Графики!$D$7:$D$306,'DCF (2)'!DS$6))</f>
        <v>0</v>
      </c>
      <c r="DT19" s="247" cm="1">
        <f t="array" ref="DT19">TRANSPOSE(SUMIFS(Графики!$F$7:$F$306,Графики!$D$7:$D$306,'DCF (2)'!DT$6))</f>
        <v>0</v>
      </c>
      <c r="DU19" s="247" cm="1">
        <f t="array" ref="DU19">TRANSPOSE(SUMIFS(Графики!$F$7:$F$306,Графики!$D$7:$D$306,'DCF (2)'!DU$6))</f>
        <v>0</v>
      </c>
      <c r="DV19" s="247" cm="1">
        <f t="array" ref="DV19">TRANSPOSE(SUMIFS(Графики!$F$7:$F$306,Графики!$D$7:$D$306,'DCF (2)'!DV$6))</f>
        <v>0</v>
      </c>
      <c r="DW19" s="247" cm="1">
        <f t="array" ref="DW19">TRANSPOSE(SUMIFS(Графики!$F$7:$F$306,Графики!$D$7:$D$306,'DCF (2)'!DW$6))</f>
        <v>0</v>
      </c>
      <c r="DX19" s="247" cm="1">
        <f t="array" ref="DX19">TRANSPOSE(SUMIFS(Графики!$F$7:$F$306,Графики!$D$7:$D$306,'DCF (2)'!DX$6))</f>
        <v>0</v>
      </c>
      <c r="DY19" s="247" cm="1">
        <f t="array" ref="DY19">TRANSPOSE(SUMIFS(Графики!$F$7:$F$306,Графики!$D$7:$D$306,'DCF (2)'!DY$6))</f>
        <v>0</v>
      </c>
      <c r="DZ19" s="247" cm="1">
        <f t="array" ref="DZ19">TRANSPOSE(SUMIFS(Графики!$F$7:$F$306,Графики!$D$7:$D$306,'DCF (2)'!DZ$6))</f>
        <v>0</v>
      </c>
      <c r="EA19" s="247" cm="1">
        <f t="array" ref="EA19">TRANSPOSE(SUMIFS(Графики!$F$7:$F$306,Графики!$D$7:$D$306,'DCF (2)'!EA$6))</f>
        <v>0</v>
      </c>
      <c r="EB19" s="247" cm="1">
        <f t="array" ref="EB19">TRANSPOSE(SUMIFS(Графики!$F$7:$F$306,Графики!$D$7:$D$306,'DCF (2)'!EB$6))</f>
        <v>0</v>
      </c>
      <c r="EC19" s="247" cm="1">
        <f t="array" ref="EC19">TRANSPOSE(SUMIFS(Графики!$F$7:$F$306,Графики!$D$7:$D$306,'DCF (2)'!EC$6))</f>
        <v>0</v>
      </c>
      <c r="ED19" s="247" cm="1">
        <f t="array" ref="ED19">TRANSPOSE(SUMIFS(Графики!$F$7:$F$306,Графики!$D$7:$D$306,'DCF (2)'!ED$6))</f>
        <v>0</v>
      </c>
      <c r="EE19" s="247" cm="1">
        <f t="array" ref="EE19">TRANSPOSE(SUMIFS(Графики!$F$7:$F$306,Графики!$D$7:$D$306,'DCF (2)'!EE$6))</f>
        <v>0</v>
      </c>
      <c r="EF19" s="247" cm="1">
        <f t="array" ref="EF19">TRANSPOSE(SUMIFS(Графики!$F$7:$F$306,Графики!$D$7:$D$306,'DCF (2)'!EF$6))</f>
        <v>0</v>
      </c>
      <c r="EG19" s="247" cm="1">
        <f t="array" ref="EG19">TRANSPOSE(SUMIFS(Графики!$F$7:$F$306,Графики!$D$7:$D$306,'DCF (2)'!EG$6))</f>
        <v>0</v>
      </c>
      <c r="EH19" s="247" cm="1">
        <f t="array" ref="EH19">TRANSPOSE(SUMIFS(Графики!$F$7:$F$306,Графики!$D$7:$D$306,'DCF (2)'!EH$6))</f>
        <v>0</v>
      </c>
      <c r="EI19" s="247" cm="1">
        <f t="array" ref="EI19">TRANSPOSE(SUMIFS(Графики!$F$7:$F$306,Графики!$D$7:$D$306,'DCF (2)'!EI$6))</f>
        <v>0</v>
      </c>
      <c r="EJ19" s="247" cm="1">
        <f t="array" ref="EJ19">TRANSPOSE(SUMIFS(Графики!$F$7:$F$306,Графики!$D$7:$D$306,'DCF (2)'!EJ$6))</f>
        <v>0</v>
      </c>
      <c r="EK19" s="247" cm="1">
        <f t="array" ref="EK19">TRANSPOSE(SUMIFS(Графики!$F$7:$F$306,Графики!$D$7:$D$306,'DCF (2)'!EK$6))</f>
        <v>0</v>
      </c>
      <c r="EL19" s="247" cm="1">
        <f t="array" ref="EL19">TRANSPOSE(SUMIFS(Графики!$F$7:$F$306,Графики!$D$7:$D$306,'DCF (2)'!EL$6))</f>
        <v>0</v>
      </c>
      <c r="EM19" s="247" cm="1">
        <f t="array" ref="EM19">TRANSPOSE(SUMIFS(Графики!$F$7:$F$306,Графики!$D$7:$D$306,'DCF (2)'!EM$6))</f>
        <v>0</v>
      </c>
      <c r="EN19" s="247" cm="1">
        <f t="array" ref="EN19">TRANSPOSE(SUMIFS(Графики!$F$7:$F$306,Графики!$D$7:$D$306,'DCF (2)'!EN$6))</f>
        <v>0</v>
      </c>
      <c r="EO19" s="247" cm="1">
        <f t="array" ref="EO19">TRANSPOSE(SUMIFS(Графики!$F$7:$F$306,Графики!$D$7:$D$306,'DCF (2)'!EO$6))</f>
        <v>0</v>
      </c>
      <c r="EP19" s="247" cm="1">
        <f t="array" ref="EP19">TRANSPOSE(SUMIFS(Графики!$F$7:$F$306,Графики!$D$7:$D$306,'DCF (2)'!EP$6))</f>
        <v>0</v>
      </c>
      <c r="EQ19" s="247" cm="1">
        <f t="array" ref="EQ19">TRANSPOSE(SUMIFS(Графики!$F$7:$F$306,Графики!$D$7:$D$306,'DCF (2)'!EQ$6))</f>
        <v>0</v>
      </c>
      <c r="ER19" s="247" cm="1">
        <f t="array" ref="ER19">TRANSPOSE(SUMIFS(Графики!$F$7:$F$306,Графики!$D$7:$D$306,'DCF (2)'!ER$6))</f>
        <v>0</v>
      </c>
      <c r="ES19" s="247" cm="1">
        <f t="array" ref="ES19">TRANSPOSE(SUMIFS(Графики!$F$7:$F$306,Графики!$D$7:$D$306,'DCF (2)'!ES$6))</f>
        <v>0</v>
      </c>
      <c r="ET19" s="247" cm="1">
        <f t="array" ref="ET19">TRANSPOSE(SUMIFS(Графики!$F$7:$F$306,Графики!$D$7:$D$306,'DCF (2)'!ET$6))</f>
        <v>0</v>
      </c>
      <c r="EU19" s="247" cm="1">
        <f t="array" ref="EU19">TRANSPOSE(SUMIFS(Графики!$F$7:$F$306,Графики!$D$7:$D$306,'DCF (2)'!EU$6))</f>
        <v>0</v>
      </c>
      <c r="EV19" s="247" cm="1">
        <f t="array" ref="EV19">TRANSPOSE(SUMIFS(Графики!$F$7:$F$306,Графики!$D$7:$D$306,'DCF (2)'!EV$6))</f>
        <v>0</v>
      </c>
      <c r="EW19" s="247" cm="1">
        <f t="array" ref="EW19">TRANSPOSE(SUMIFS(Графики!$F$7:$F$306,Графики!$D$7:$D$306,'DCF (2)'!EW$6))</f>
        <v>0</v>
      </c>
      <c r="EX19" s="247" cm="1">
        <f t="array" ref="EX19">TRANSPOSE(SUMIFS(Графики!$F$7:$F$306,Графики!$D$7:$D$306,'DCF (2)'!EX$6))</f>
        <v>0</v>
      </c>
      <c r="EY19" s="247" cm="1">
        <f t="array" ref="EY19">TRANSPOSE(SUMIFS(Графики!$F$7:$F$306,Графики!$D$7:$D$306,'DCF (2)'!EY$6))</f>
        <v>0</v>
      </c>
      <c r="EZ19" s="247" cm="1">
        <f t="array" ref="EZ19">TRANSPOSE(SUMIFS(Графики!$F$7:$F$306,Графики!$D$7:$D$306,'DCF (2)'!EZ$6))</f>
        <v>0</v>
      </c>
      <c r="FA19" s="247" cm="1">
        <f t="array" ref="FA19">TRANSPOSE(SUMIFS(Графики!$F$7:$F$306,Графики!$D$7:$D$306,'DCF (2)'!FA$6))</f>
        <v>0</v>
      </c>
      <c r="FB19" s="247" cm="1">
        <f t="array" ref="FB19">TRANSPOSE(SUMIFS(Графики!$F$7:$F$306,Графики!$D$7:$D$306,'DCF (2)'!FB$6))</f>
        <v>0</v>
      </c>
      <c r="FC19" s="247" cm="1">
        <f t="array" ref="FC19">TRANSPOSE(SUMIFS(Графики!$F$7:$F$306,Графики!$D$7:$D$306,'DCF (2)'!FC$6))</f>
        <v>0</v>
      </c>
      <c r="FD19" s="247" cm="1">
        <f t="array" ref="FD19">TRANSPOSE(SUMIFS(Графики!$F$7:$F$306,Графики!$D$7:$D$306,'DCF (2)'!FD$6))</f>
        <v>0</v>
      </c>
      <c r="FE19" s="247" cm="1">
        <f t="array" ref="FE19">TRANSPOSE(SUMIFS(Графики!$F$7:$F$306,Графики!$D$7:$D$306,'DCF (2)'!FE$6))</f>
        <v>0</v>
      </c>
      <c r="FF19" s="247" cm="1">
        <f t="array" ref="FF19">TRANSPOSE(SUMIFS(Графики!$F$7:$F$306,Графики!$D$7:$D$306,'DCF (2)'!FF$6))</f>
        <v>0</v>
      </c>
      <c r="FG19" s="247" cm="1">
        <f t="array" ref="FG19">TRANSPOSE(SUMIFS(Графики!$F$7:$F$306,Графики!$D$7:$D$306,'DCF (2)'!FG$6))</f>
        <v>0</v>
      </c>
      <c r="FH19" s="247" cm="1">
        <f t="array" ref="FH19">TRANSPOSE(SUMIFS(Графики!$F$7:$F$306,Графики!$D$7:$D$306,'DCF (2)'!FH$6))</f>
        <v>0</v>
      </c>
      <c r="FI19" s="247" cm="1">
        <f t="array" ref="FI19">TRANSPOSE(SUMIFS(Графики!$F$7:$F$306,Графики!$D$7:$D$306,'DCF (2)'!FI$6))</f>
        <v>0</v>
      </c>
      <c r="FJ19" s="247" cm="1">
        <f t="array" ref="FJ19">TRANSPOSE(SUMIFS(Графики!$F$7:$F$306,Графики!$D$7:$D$306,'DCF (2)'!FJ$6))</f>
        <v>0</v>
      </c>
      <c r="FK19" s="247" cm="1">
        <f t="array" ref="FK19">TRANSPOSE(SUMIFS(Графики!$F$7:$F$306,Графики!$D$7:$D$306,'DCF (2)'!FK$6))</f>
        <v>0</v>
      </c>
      <c r="FL19" s="247" cm="1">
        <f t="array" ref="FL19">TRANSPOSE(SUMIFS(Графики!$F$7:$F$306,Графики!$D$7:$D$306,'DCF (2)'!FL$6))</f>
        <v>0</v>
      </c>
      <c r="FM19" s="247" cm="1">
        <f t="array" ref="FM19">TRANSPOSE(SUMIFS(Графики!$F$7:$F$306,Графики!$D$7:$D$306,'DCF (2)'!FM$6))</f>
        <v>0</v>
      </c>
      <c r="FN19" s="247" cm="1">
        <f t="array" ref="FN19">TRANSPOSE(SUMIFS(Графики!$F$7:$F$306,Графики!$D$7:$D$306,'DCF (2)'!FN$6))</f>
        <v>0</v>
      </c>
      <c r="FO19" s="247" cm="1">
        <f t="array" ref="FO19">TRANSPOSE(SUMIFS(Графики!$F$7:$F$306,Графики!$D$7:$D$306,'DCF (2)'!FO$6))</f>
        <v>0</v>
      </c>
      <c r="FP19" s="247" cm="1">
        <f t="array" ref="FP19">TRANSPOSE(SUMIFS(Графики!$F$7:$F$306,Графики!$D$7:$D$306,'DCF (2)'!FP$6))</f>
        <v>0</v>
      </c>
      <c r="FQ19" s="247" cm="1">
        <f t="array" ref="FQ19">TRANSPOSE(SUMIFS(Графики!$F$7:$F$306,Графики!$D$7:$D$306,'DCF (2)'!FQ$6))</f>
        <v>0</v>
      </c>
      <c r="FR19" s="247" cm="1">
        <f t="array" ref="FR19">TRANSPOSE(SUMIFS(Графики!$F$7:$F$306,Графики!$D$7:$D$306,'DCF (2)'!FR$6))</f>
        <v>0</v>
      </c>
      <c r="FS19" s="247" cm="1">
        <f t="array" ref="FS19">TRANSPOSE(SUMIFS(Графики!$F$7:$F$306,Графики!$D$7:$D$306,'DCF (2)'!FS$6))</f>
        <v>0</v>
      </c>
      <c r="FT19" s="247" cm="1">
        <f t="array" ref="FT19">TRANSPOSE(SUMIFS(Графики!$F$7:$F$306,Графики!$D$7:$D$306,'DCF (2)'!FT$6))</f>
        <v>0</v>
      </c>
      <c r="FU19" s="247" cm="1">
        <f t="array" ref="FU19">TRANSPOSE(SUMIFS(Графики!$F$7:$F$306,Графики!$D$7:$D$306,'DCF (2)'!FU$6))</f>
        <v>0</v>
      </c>
      <c r="FV19" s="247" cm="1">
        <f t="array" ref="FV19">TRANSPOSE(SUMIFS(Графики!$F$7:$F$306,Графики!$D$7:$D$306,'DCF (2)'!FV$6))</f>
        <v>0</v>
      </c>
      <c r="FW19" s="247" cm="1">
        <f t="array" ref="FW19">TRANSPOSE(SUMIFS(Графики!$F$7:$F$306,Графики!$D$7:$D$306,'DCF (2)'!FW$6))</f>
        <v>0</v>
      </c>
      <c r="FX19" s="247" cm="1">
        <f t="array" ref="FX19">TRANSPOSE(SUMIFS(Графики!$F$7:$F$306,Графики!$D$7:$D$306,'DCF (2)'!FX$6))</f>
        <v>0</v>
      </c>
      <c r="FY19" s="247" cm="1">
        <f t="array" ref="FY19">TRANSPOSE(SUMIFS(Графики!$F$7:$F$306,Графики!$D$7:$D$306,'DCF (2)'!FY$6))</f>
        <v>0</v>
      </c>
      <c r="FZ19" s="247" cm="1">
        <f t="array" ref="FZ19">TRANSPOSE(SUMIFS(Графики!$F$7:$F$306,Графики!$D$7:$D$306,'DCF (2)'!FZ$6))</f>
        <v>0</v>
      </c>
      <c r="GA19" s="247" cm="1">
        <f t="array" ref="GA19">TRANSPOSE(SUMIFS(Графики!$F$7:$F$306,Графики!$D$7:$D$306,'DCF (2)'!GA$6))</f>
        <v>0</v>
      </c>
      <c r="GB19" s="247" cm="1">
        <f t="array" ref="GB19">TRANSPOSE(SUMIFS(Графики!$F$7:$F$306,Графики!$D$7:$D$306,'DCF (2)'!GB$6))</f>
        <v>0</v>
      </c>
      <c r="GC19" s="247" cm="1">
        <f t="array" ref="GC19">TRANSPOSE(SUMIFS(Графики!$F$7:$F$306,Графики!$D$7:$D$306,'DCF (2)'!GC$6))</f>
        <v>0</v>
      </c>
      <c r="GD19" s="247" cm="1">
        <f t="array" ref="GD19">TRANSPOSE(SUMIFS(Графики!$F$7:$F$306,Графики!$D$7:$D$306,'DCF (2)'!GD$6))</f>
        <v>0</v>
      </c>
      <c r="GE19" s="247" cm="1">
        <f t="array" ref="GE19">TRANSPOSE(SUMIFS(Графики!$F$7:$F$306,Графики!$D$7:$D$306,'DCF (2)'!GE$6))</f>
        <v>0</v>
      </c>
      <c r="GF19" s="247" cm="1">
        <f t="array" ref="GF19">TRANSPOSE(SUMIFS(Графики!$F$7:$F$306,Графики!$D$7:$D$306,'DCF (2)'!GF$6))</f>
        <v>0</v>
      </c>
      <c r="GG19" s="247" cm="1">
        <f t="array" ref="GG19">TRANSPOSE(SUMIFS(Графики!$F$7:$F$306,Графики!$D$7:$D$306,'DCF (2)'!GG$6))</f>
        <v>0</v>
      </c>
      <c r="GH19" s="247" cm="1">
        <f t="array" ref="GH19">TRANSPOSE(SUMIFS(Графики!$F$7:$F$306,Графики!$D$7:$D$306,'DCF (2)'!GH$6))</f>
        <v>0</v>
      </c>
      <c r="GI19" s="247" cm="1">
        <f t="array" ref="GI19">TRANSPOSE(SUMIFS(Графики!$F$7:$F$306,Графики!$D$7:$D$306,'DCF (2)'!GI$6))</f>
        <v>0</v>
      </c>
      <c r="GJ19" s="247" cm="1">
        <f t="array" ref="GJ19">TRANSPOSE(SUMIFS(Графики!$F$7:$F$306,Графики!$D$7:$D$306,'DCF (2)'!GJ$6))</f>
        <v>0</v>
      </c>
      <c r="GK19" s="247" cm="1">
        <f t="array" ref="GK19">TRANSPOSE(SUMIFS(Графики!$F$7:$F$306,Графики!$D$7:$D$306,'DCF (2)'!GK$6))</f>
        <v>0</v>
      </c>
      <c r="GL19" s="247" cm="1">
        <f t="array" ref="GL19">TRANSPOSE(SUMIFS(Графики!$F$7:$F$306,Графики!$D$7:$D$306,'DCF (2)'!GL$6))</f>
        <v>0</v>
      </c>
      <c r="GM19" s="247" cm="1">
        <f t="array" ref="GM19">TRANSPOSE(SUMIFS(Графики!$F$7:$F$306,Графики!$D$7:$D$306,'DCF (2)'!GM$6))</f>
        <v>0</v>
      </c>
      <c r="GN19" s="247" cm="1">
        <f t="array" ref="GN19">TRANSPOSE(SUMIFS(Графики!$F$7:$F$306,Графики!$D$7:$D$306,'DCF (2)'!GN$6))</f>
        <v>0</v>
      </c>
      <c r="GO19" s="247" cm="1">
        <f t="array" ref="GO19">TRANSPOSE(SUMIFS(Графики!$F$7:$F$306,Графики!$D$7:$D$306,'DCF (2)'!GO$6))</f>
        <v>0</v>
      </c>
      <c r="GP19" s="247" cm="1">
        <f t="array" ref="GP19">TRANSPOSE(SUMIFS(Графики!$F$7:$F$306,Графики!$D$7:$D$306,'DCF (2)'!GP$6))</f>
        <v>0</v>
      </c>
      <c r="GQ19" s="247" cm="1">
        <f t="array" ref="GQ19">TRANSPOSE(SUMIFS(Графики!$F$7:$F$306,Графики!$D$7:$D$306,'DCF (2)'!GQ$6))</f>
        <v>0</v>
      </c>
      <c r="GR19" s="247" cm="1">
        <f t="array" ref="GR19">TRANSPOSE(SUMIFS(Графики!$F$7:$F$306,Графики!$D$7:$D$306,'DCF (2)'!GR$6))</f>
        <v>0</v>
      </c>
      <c r="GS19" s="247" cm="1">
        <f t="array" ref="GS19">TRANSPOSE(SUMIFS(Графики!$F$7:$F$306,Графики!$D$7:$D$306,'DCF (2)'!GS$6))</f>
        <v>0</v>
      </c>
      <c r="GT19" s="247" cm="1">
        <f t="array" ref="GT19">TRANSPOSE(SUMIFS(Графики!$F$7:$F$306,Графики!$D$7:$D$306,'DCF (2)'!GT$6))</f>
        <v>0</v>
      </c>
      <c r="GU19" s="247" cm="1">
        <f t="array" ref="GU19">TRANSPOSE(SUMIFS(Графики!$F$7:$F$306,Графики!$D$7:$D$306,'DCF (2)'!GU$6))</f>
        <v>0</v>
      </c>
      <c r="GV19" s="247" cm="1">
        <f t="array" ref="GV19">TRANSPOSE(SUMIFS(Графики!$F$7:$F$306,Графики!$D$7:$D$306,'DCF (2)'!GV$6))</f>
        <v>0</v>
      </c>
      <c r="GW19" s="247" cm="1">
        <f t="array" ref="GW19">TRANSPOSE(SUMIFS(Графики!$F$7:$F$306,Графики!$D$7:$D$306,'DCF (2)'!GW$6))</f>
        <v>0</v>
      </c>
      <c r="GX19" s="247" cm="1">
        <f t="array" ref="GX19">TRANSPOSE(SUMIFS(Графики!$F$7:$F$306,Графики!$D$7:$D$306,'DCF (2)'!GX$6))</f>
        <v>0</v>
      </c>
      <c r="GY19" s="247" cm="1">
        <f t="array" ref="GY19">TRANSPOSE(SUMIFS(Графики!$F$7:$F$306,Графики!$D$7:$D$306,'DCF (2)'!GY$6))</f>
        <v>0</v>
      </c>
      <c r="GZ19" s="247" cm="1">
        <f t="array" ref="GZ19">TRANSPOSE(SUMIFS(Графики!$F$7:$F$306,Графики!$D$7:$D$306,'DCF (2)'!GZ$6))</f>
        <v>0</v>
      </c>
      <c r="HA19" s="247" cm="1">
        <f t="array" ref="HA19">TRANSPOSE(SUMIFS(Графики!$F$7:$F$306,Графики!$D$7:$D$306,'DCF (2)'!HA$6))</f>
        <v>0</v>
      </c>
      <c r="HB19" s="247" cm="1">
        <f t="array" ref="HB19">TRANSPOSE(SUMIFS(Графики!$F$7:$F$306,Графики!$D$7:$D$306,'DCF (2)'!HB$6))</f>
        <v>0</v>
      </c>
      <c r="HC19" s="247" cm="1">
        <f t="array" ref="HC19">TRANSPOSE(SUMIFS(Графики!$F$7:$F$306,Графики!$D$7:$D$306,'DCF (2)'!HC$6))</f>
        <v>0</v>
      </c>
      <c r="HD19" s="247" cm="1">
        <f t="array" ref="HD19">TRANSPOSE(SUMIFS(Графики!$F$7:$F$306,Графики!$D$7:$D$306,'DCF (2)'!HD$6))</f>
        <v>0</v>
      </c>
      <c r="HE19" s="247" cm="1">
        <f t="array" ref="HE19">TRANSPOSE(SUMIFS(Графики!$F$7:$F$306,Графики!$D$7:$D$306,'DCF (2)'!HE$6))</f>
        <v>0</v>
      </c>
      <c r="HF19" s="247" cm="1">
        <f t="array" ref="HF19">TRANSPOSE(SUMIFS(Графики!$F$7:$F$306,Графики!$D$7:$D$306,'DCF (2)'!HF$6))</f>
        <v>0</v>
      </c>
      <c r="HG19" s="247" cm="1">
        <f t="array" ref="HG19">TRANSPOSE(SUMIFS(Графики!$F$7:$F$306,Графики!$D$7:$D$306,'DCF (2)'!HG$6))</f>
        <v>0</v>
      </c>
      <c r="HH19" s="247" cm="1">
        <f t="array" ref="HH19">TRANSPOSE(SUMIFS(Графики!$F$7:$F$306,Графики!$D$7:$D$306,'DCF (2)'!HH$6))</f>
        <v>0</v>
      </c>
      <c r="HI19" s="247" cm="1">
        <f t="array" ref="HI19">TRANSPOSE(SUMIFS(Графики!$F$7:$F$306,Графики!$D$7:$D$306,'DCF (2)'!HI$6))</f>
        <v>0</v>
      </c>
      <c r="HJ19" s="247" cm="1">
        <f t="array" ref="HJ19">TRANSPOSE(SUMIFS(Графики!$F$7:$F$306,Графики!$D$7:$D$306,'DCF (2)'!HJ$6))</f>
        <v>0</v>
      </c>
      <c r="HK19" s="247" cm="1">
        <f t="array" ref="HK19">TRANSPOSE(SUMIFS(Графики!$F$7:$F$306,Графики!$D$7:$D$306,'DCF (2)'!HK$6))</f>
        <v>0</v>
      </c>
      <c r="HL19" s="247" cm="1">
        <f t="array" ref="HL19">TRANSPOSE(SUMIFS(Графики!$F$7:$F$306,Графики!$D$7:$D$306,'DCF (2)'!HL$6))</f>
        <v>0</v>
      </c>
      <c r="HM19" s="247" cm="1">
        <f t="array" ref="HM19">TRANSPOSE(SUMIFS(Графики!$F$7:$F$306,Графики!$D$7:$D$306,'DCF (2)'!HM$6))</f>
        <v>0</v>
      </c>
      <c r="HN19" s="247" cm="1">
        <f t="array" ref="HN19">TRANSPOSE(SUMIFS(Графики!$F$7:$F$306,Графики!$D$7:$D$306,'DCF (2)'!HN$6))</f>
        <v>0</v>
      </c>
      <c r="HO19" s="247" cm="1">
        <f t="array" ref="HO19">TRANSPOSE(SUMIFS(Графики!$F$7:$F$306,Графики!$D$7:$D$306,'DCF (2)'!HO$6))</f>
        <v>0</v>
      </c>
      <c r="HP19" s="247" cm="1">
        <f t="array" ref="HP19">TRANSPOSE(SUMIFS(Графики!$F$7:$F$306,Графики!$D$7:$D$306,'DCF (2)'!HP$6))</f>
        <v>0</v>
      </c>
      <c r="HQ19" s="247" cm="1">
        <f t="array" ref="HQ19">TRANSPOSE(SUMIFS(Графики!$F$7:$F$306,Графики!$D$7:$D$306,'DCF (2)'!HQ$6))</f>
        <v>0</v>
      </c>
      <c r="HR19" s="247" cm="1">
        <f t="array" ref="HR19">TRANSPOSE(SUMIFS(Графики!$F$7:$F$306,Графики!$D$7:$D$306,'DCF (2)'!HR$6))</f>
        <v>0</v>
      </c>
      <c r="HS19" s="247" cm="1">
        <f t="array" ref="HS19">TRANSPOSE(SUMIFS(Графики!$F$7:$F$306,Графики!$D$7:$D$306,'DCF (2)'!HS$6))</f>
        <v>0</v>
      </c>
      <c r="HT19" s="247" cm="1">
        <f t="array" ref="HT19">TRANSPOSE(SUMIFS(Графики!$F$7:$F$306,Графики!$D$7:$D$306,'DCF (2)'!HT$6))</f>
        <v>0</v>
      </c>
      <c r="HU19" s="247" cm="1">
        <f t="array" ref="HU19">TRANSPOSE(SUMIFS(Графики!$F$7:$F$306,Графики!$D$7:$D$306,'DCF (2)'!HU$6))</f>
        <v>0</v>
      </c>
      <c r="HV19" s="247" cm="1">
        <f t="array" ref="HV19">TRANSPOSE(SUMIFS(Графики!$F$7:$F$306,Графики!$D$7:$D$306,'DCF (2)'!HV$6))</f>
        <v>0</v>
      </c>
      <c r="HW19" s="247" cm="1">
        <f t="array" ref="HW19">TRANSPOSE(SUMIFS(Графики!$F$7:$F$306,Графики!$D$7:$D$306,'DCF (2)'!HW$6))</f>
        <v>0</v>
      </c>
      <c r="HX19" s="247" cm="1">
        <f t="array" ref="HX19">TRANSPOSE(SUMIFS(Графики!$F$7:$F$306,Графики!$D$7:$D$306,'DCF (2)'!HX$6))</f>
        <v>0</v>
      </c>
      <c r="HY19" s="247" cm="1">
        <f t="array" ref="HY19">TRANSPOSE(SUMIFS(Графики!$F$7:$F$306,Графики!$D$7:$D$306,'DCF (2)'!HY$6))</f>
        <v>0</v>
      </c>
      <c r="HZ19" s="247" cm="1">
        <f t="array" ref="HZ19">TRANSPOSE(SUMIFS(Графики!$F$7:$F$306,Графики!$D$7:$D$306,'DCF (2)'!HZ$6))</f>
        <v>0</v>
      </c>
      <c r="IA19" s="247" cm="1">
        <f t="array" ref="IA19">TRANSPOSE(SUMIFS(Графики!$F$7:$F$306,Графики!$D$7:$D$306,'DCF (2)'!IA$6))</f>
        <v>0</v>
      </c>
      <c r="IB19" s="247" cm="1">
        <f t="array" ref="IB19">TRANSPOSE(SUMIFS(Графики!$F$7:$F$306,Графики!$D$7:$D$306,'DCF (2)'!IB$6))</f>
        <v>0</v>
      </c>
      <c r="IC19" s="247" cm="1">
        <f t="array" ref="IC19">TRANSPOSE(SUMIFS(Графики!$F$7:$F$306,Графики!$D$7:$D$306,'DCF (2)'!IC$6))</f>
        <v>0</v>
      </c>
      <c r="ID19" s="247" cm="1">
        <f t="array" ref="ID19">TRANSPOSE(SUMIFS(Графики!$F$7:$F$306,Графики!$D$7:$D$306,'DCF (2)'!ID$6))</f>
        <v>0</v>
      </c>
      <c r="IE19" s="247" cm="1">
        <f t="array" ref="IE19">TRANSPOSE(SUMIFS(Графики!$F$7:$F$306,Графики!$D$7:$D$306,'DCF (2)'!IE$6))</f>
        <v>0</v>
      </c>
      <c r="IF19" s="247" cm="1">
        <f t="array" ref="IF19">TRANSPOSE(SUMIFS(Графики!$F$7:$F$306,Графики!$D$7:$D$306,'DCF (2)'!IF$6))</f>
        <v>0</v>
      </c>
      <c r="IG19" s="247" cm="1">
        <f t="array" ref="IG19">TRANSPOSE(SUMIFS(Графики!$F$7:$F$306,Графики!$D$7:$D$306,'DCF (2)'!IG$6))</f>
        <v>0</v>
      </c>
      <c r="IH19" s="247" cm="1">
        <f t="array" ref="IH19">TRANSPOSE(SUMIFS(Графики!$F$7:$F$306,Графики!$D$7:$D$306,'DCF (2)'!IH$6))</f>
        <v>0</v>
      </c>
      <c r="II19" s="247" cm="1">
        <f t="array" ref="II19">TRANSPOSE(SUMIFS(Графики!$F$7:$F$306,Графики!$D$7:$D$306,'DCF (2)'!II$6))</f>
        <v>0</v>
      </c>
      <c r="IJ19" s="247" cm="1">
        <f t="array" ref="IJ19">TRANSPOSE(SUMIFS(Графики!$F$7:$F$306,Графики!$D$7:$D$306,'DCF (2)'!IJ$6))</f>
        <v>0</v>
      </c>
      <c r="IK19" s="247" cm="1">
        <f t="array" ref="IK19">TRANSPOSE(SUMIFS(Графики!$F$7:$F$306,Графики!$D$7:$D$306,'DCF (2)'!IK$6))</f>
        <v>0</v>
      </c>
      <c r="IL19" s="247" cm="1">
        <f t="array" ref="IL19">TRANSPOSE(SUMIFS(Графики!$F$7:$F$306,Графики!$D$7:$D$306,'DCF (2)'!IL$6))</f>
        <v>0</v>
      </c>
      <c r="IM19" s="247" cm="1">
        <f t="array" ref="IM19">TRANSPOSE(SUMIFS(Графики!$F$7:$F$306,Графики!$D$7:$D$306,'DCF (2)'!IM$6))</f>
        <v>0</v>
      </c>
      <c r="IN19" s="247" cm="1">
        <f t="array" ref="IN19">TRANSPOSE(SUMIFS(Графики!$F$7:$F$306,Графики!$D$7:$D$306,'DCF (2)'!IN$6))</f>
        <v>0</v>
      </c>
      <c r="IO19" s="247" cm="1">
        <f t="array" ref="IO19">TRANSPOSE(SUMIFS(Графики!$F$7:$F$306,Графики!$D$7:$D$306,'DCF (2)'!IO$6))</f>
        <v>0</v>
      </c>
      <c r="IP19" s="247" cm="1">
        <f t="array" ref="IP19">TRANSPOSE(SUMIFS(Графики!$F$7:$F$306,Графики!$D$7:$D$306,'DCF (2)'!IP$6))</f>
        <v>0</v>
      </c>
      <c r="IQ19" s="247" cm="1">
        <f t="array" ref="IQ19">TRANSPOSE(SUMIFS(Графики!$F$7:$F$306,Графики!$D$7:$D$306,'DCF (2)'!IQ$6))</f>
        <v>0</v>
      </c>
      <c r="IR19" s="247" cm="1">
        <f t="array" ref="IR19">TRANSPOSE(SUMIFS(Графики!$F$7:$F$306,Графики!$D$7:$D$306,'DCF (2)'!IR$6))</f>
        <v>0</v>
      </c>
      <c r="IS19" s="247" cm="1">
        <f t="array" ref="IS19">TRANSPOSE(SUMIFS(Графики!$F$7:$F$306,Графики!$D$7:$D$306,'DCF (2)'!IS$6))</f>
        <v>0</v>
      </c>
      <c r="IT19" s="247" cm="1">
        <f t="array" ref="IT19">TRANSPOSE(SUMIFS(Графики!$F$7:$F$306,Графики!$D$7:$D$306,'DCF (2)'!IT$6))</f>
        <v>0</v>
      </c>
      <c r="IU19" s="247" cm="1">
        <f t="array" ref="IU19">TRANSPOSE(SUMIFS(Графики!$F$7:$F$306,Графики!$D$7:$D$306,'DCF (2)'!IU$6))</f>
        <v>0</v>
      </c>
      <c r="IV19" s="247" cm="1">
        <f t="array" ref="IV19">TRANSPOSE(SUMIFS(Графики!$F$7:$F$306,Графики!$D$7:$D$306,'DCF (2)'!IV$6))</f>
        <v>0</v>
      </c>
      <c r="IW19" s="247" cm="1">
        <f t="array" ref="IW19">TRANSPOSE(SUMIFS(Графики!$F$7:$F$306,Графики!$D$7:$D$306,'DCF (2)'!IW$6))</f>
        <v>0</v>
      </c>
      <c r="IX19" s="247" cm="1">
        <f t="array" ref="IX19">TRANSPOSE(SUMIFS(Графики!$F$7:$F$306,Графики!$D$7:$D$306,'DCF (2)'!IX$6))</f>
        <v>0</v>
      </c>
      <c r="IY19" s="247" cm="1">
        <f t="array" ref="IY19">TRANSPOSE(SUMIFS(Графики!$F$7:$F$306,Графики!$D$7:$D$306,'DCF (2)'!IY$6))</f>
        <v>0</v>
      </c>
      <c r="IZ19" s="247" cm="1">
        <f t="array" ref="IZ19">TRANSPOSE(SUMIFS(Графики!$F$7:$F$306,Графики!$D$7:$D$306,'DCF (2)'!IZ$6))</f>
        <v>0</v>
      </c>
      <c r="JA19" s="247" cm="1">
        <f t="array" ref="JA19">TRANSPOSE(SUMIFS(Графики!$F$7:$F$306,Графики!$D$7:$D$306,'DCF (2)'!JA$6))</f>
        <v>0</v>
      </c>
      <c r="JB19" s="247" cm="1">
        <f t="array" ref="JB19">TRANSPOSE(SUMIFS(Графики!$F$7:$F$306,Графики!$D$7:$D$306,'DCF (2)'!JB$6))</f>
        <v>0</v>
      </c>
      <c r="JC19" s="247" cm="1">
        <f t="array" ref="JC19">TRANSPOSE(SUMIFS(Графики!$F$7:$F$306,Графики!$D$7:$D$306,'DCF (2)'!JC$6))</f>
        <v>0</v>
      </c>
      <c r="JD19" s="247" cm="1">
        <f t="array" ref="JD19">TRANSPOSE(SUMIFS(Графики!$F$7:$F$306,Графики!$D$7:$D$306,'DCF (2)'!JD$6))</f>
        <v>0</v>
      </c>
      <c r="JE19" s="247" cm="1">
        <f t="array" ref="JE19">TRANSPOSE(SUMIFS(Графики!$F$7:$F$306,Графики!$D$7:$D$306,'DCF (2)'!JE$6))</f>
        <v>0</v>
      </c>
      <c r="JF19" s="247" cm="1">
        <f t="array" ref="JF19">TRANSPOSE(SUMIFS(Графики!$F$7:$F$306,Графики!$D$7:$D$306,'DCF (2)'!JF$6))</f>
        <v>0</v>
      </c>
      <c r="JG19" s="247" cm="1">
        <f t="array" ref="JG19">TRANSPOSE(SUMIFS(Графики!$F$7:$F$306,Графики!$D$7:$D$306,'DCF (2)'!JG$6))</f>
        <v>0</v>
      </c>
      <c r="JH19" s="247" cm="1">
        <f t="array" ref="JH19">TRANSPOSE(SUMIFS(Графики!$F$7:$F$306,Графики!$D$7:$D$306,'DCF (2)'!JH$6))</f>
        <v>0</v>
      </c>
      <c r="JI19" s="247" cm="1">
        <f t="array" ref="JI19">TRANSPOSE(SUMIFS(Графики!$F$7:$F$306,Графики!$D$7:$D$306,'DCF (2)'!JI$6))</f>
        <v>0</v>
      </c>
      <c r="JJ19" s="247" cm="1">
        <f t="array" ref="JJ19">TRANSPOSE(SUMIFS(Графики!$F$7:$F$306,Графики!$D$7:$D$306,'DCF (2)'!JJ$6))</f>
        <v>0</v>
      </c>
      <c r="JK19" s="247" cm="1">
        <f t="array" ref="JK19">TRANSPOSE(SUMIFS(Графики!$F$7:$F$306,Графики!$D$7:$D$306,'DCF (2)'!JK$6))</f>
        <v>0</v>
      </c>
      <c r="JL19" s="247" cm="1">
        <f t="array" ref="JL19">TRANSPOSE(SUMIFS(Графики!$F$7:$F$306,Графики!$D$7:$D$306,'DCF (2)'!JL$6))</f>
        <v>0</v>
      </c>
      <c r="JM19" s="247" cm="1">
        <f t="array" ref="JM19">TRANSPOSE(SUMIFS(Графики!$F$7:$F$306,Графики!$D$7:$D$306,'DCF (2)'!JM$6))</f>
        <v>0</v>
      </c>
      <c r="JN19" s="247" cm="1">
        <f t="array" ref="JN19">TRANSPOSE(SUMIFS(Графики!$F$7:$F$306,Графики!$D$7:$D$306,'DCF (2)'!JN$6))</f>
        <v>0</v>
      </c>
      <c r="JO19" s="247" cm="1">
        <f t="array" ref="JO19">TRANSPOSE(SUMIFS(Графики!$F$7:$F$306,Графики!$D$7:$D$306,'DCF (2)'!JO$6))</f>
        <v>0</v>
      </c>
      <c r="JP19" s="247" cm="1">
        <f t="array" ref="JP19">TRANSPOSE(SUMIFS(Графики!$F$7:$F$306,Графики!$D$7:$D$306,'DCF (2)'!JP$6))</f>
        <v>0</v>
      </c>
      <c r="JQ19" s="247" cm="1">
        <f t="array" ref="JQ19">TRANSPOSE(SUMIFS(Графики!$F$7:$F$306,Графики!$D$7:$D$306,'DCF (2)'!JQ$6))</f>
        <v>0</v>
      </c>
      <c r="JR19" s="247" cm="1">
        <f t="array" ref="JR19">TRANSPOSE(SUMIFS(Графики!$F$7:$F$306,Графики!$D$7:$D$306,'DCF (2)'!JR$6))</f>
        <v>0</v>
      </c>
      <c r="JS19" s="247" cm="1">
        <f t="array" ref="JS19">TRANSPOSE(SUMIFS(Графики!$F$7:$F$306,Графики!$D$7:$D$306,'DCF (2)'!JS$6))</f>
        <v>0</v>
      </c>
      <c r="JT19" s="247" cm="1">
        <f t="array" ref="JT19">TRANSPOSE(SUMIFS(Графики!$F$7:$F$306,Графики!$D$7:$D$306,'DCF (2)'!JT$6))</f>
        <v>0</v>
      </c>
      <c r="JU19" s="247" cm="1">
        <f t="array" ref="JU19">TRANSPOSE(SUMIFS(Графики!$F$7:$F$306,Графики!$D$7:$D$306,'DCF (2)'!JU$6))</f>
        <v>0</v>
      </c>
      <c r="JV19" s="247" cm="1">
        <f t="array" ref="JV19">TRANSPOSE(SUMIFS(Графики!$F$7:$F$306,Графики!$D$7:$D$306,'DCF (2)'!JV$6))</f>
        <v>0</v>
      </c>
      <c r="JW19" s="247" cm="1">
        <f t="array" ref="JW19">TRANSPOSE(SUMIFS(Графики!$F$7:$F$306,Графики!$D$7:$D$306,'DCF (2)'!JW$6))</f>
        <v>0</v>
      </c>
      <c r="JX19" s="247" cm="1">
        <f t="array" ref="JX19">TRANSPOSE(SUMIFS(Графики!$F$7:$F$306,Графики!$D$7:$D$306,'DCF (2)'!JX$6))</f>
        <v>0</v>
      </c>
      <c r="JY19" s="247" cm="1">
        <f t="array" ref="JY19">TRANSPOSE(SUMIFS(Графики!$F$7:$F$306,Графики!$D$7:$D$306,'DCF (2)'!JY$6))</f>
        <v>0</v>
      </c>
      <c r="JZ19" s="247" cm="1">
        <f t="array" ref="JZ19">TRANSPOSE(SUMIFS(Графики!$F$7:$F$306,Графики!$D$7:$D$306,'DCF (2)'!JZ$6))</f>
        <v>0</v>
      </c>
      <c r="KA19" s="247" cm="1">
        <f t="array" ref="KA19">TRANSPOSE(SUMIFS(Графики!$F$7:$F$306,Графики!$D$7:$D$306,'DCF (2)'!KA$6))</f>
        <v>0</v>
      </c>
      <c r="KB19" s="247" cm="1">
        <f t="array" ref="KB19">TRANSPOSE(SUMIFS(Графики!$F$7:$F$306,Графики!$D$7:$D$306,'DCF (2)'!KB$6))</f>
        <v>0</v>
      </c>
      <c r="KC19" s="247" cm="1">
        <f t="array" ref="KC19">TRANSPOSE(SUMIFS(Графики!$F$7:$F$306,Графики!$D$7:$D$306,'DCF (2)'!KC$6))</f>
        <v>0</v>
      </c>
      <c r="KD19" s="247" cm="1">
        <f t="array" ref="KD19">TRANSPOSE(SUMIFS(Графики!$F$7:$F$306,Графики!$D$7:$D$306,'DCF (2)'!KD$6))</f>
        <v>0</v>
      </c>
      <c r="KE19" s="247" cm="1">
        <f t="array" ref="KE19">TRANSPOSE(SUMIFS(Графики!$F$7:$F$306,Графики!$D$7:$D$306,'DCF (2)'!KE$6))</f>
        <v>0</v>
      </c>
      <c r="KF19" s="247" cm="1">
        <f t="array" ref="KF19">TRANSPOSE(SUMIFS(Графики!$F$7:$F$306,Графики!$D$7:$D$306,'DCF (2)'!KF$6))</f>
        <v>0</v>
      </c>
      <c r="KG19" s="247" cm="1">
        <f t="array" ref="KG19">TRANSPOSE(SUMIFS(Графики!$F$7:$F$306,Графики!$D$7:$D$306,'DCF (2)'!KG$6))</f>
        <v>0</v>
      </c>
      <c r="KH19" s="247" cm="1">
        <f t="array" ref="KH19">TRANSPOSE(SUMIFS(Графики!$F$7:$F$306,Графики!$D$7:$D$306,'DCF (2)'!KH$6))</f>
        <v>0</v>
      </c>
      <c r="KI19" s="247" cm="1">
        <f t="array" ref="KI19">TRANSPOSE(SUMIFS(Графики!$F$7:$F$306,Графики!$D$7:$D$306,'DCF (2)'!KI$6))</f>
        <v>0</v>
      </c>
      <c r="KJ19" s="247" cm="1">
        <f t="array" ref="KJ19">TRANSPOSE(SUMIFS(Графики!$F$7:$F$306,Графики!$D$7:$D$306,'DCF (2)'!KJ$6))</f>
        <v>0</v>
      </c>
      <c r="KK19" s="247" cm="1">
        <f t="array" ref="KK19">TRANSPOSE(SUMIFS(Графики!$F$7:$F$306,Графики!$D$7:$D$306,'DCF (2)'!KK$6))</f>
        <v>0</v>
      </c>
      <c r="KL19" s="247" cm="1">
        <f t="array" ref="KL19">TRANSPOSE(SUMIFS(Графики!$F$7:$F$306,Графики!$D$7:$D$306,'DCF (2)'!KL$6))</f>
        <v>0</v>
      </c>
      <c r="KM19" s="247" cm="1">
        <f t="array" ref="KM19">TRANSPOSE(SUMIFS(Графики!$F$7:$F$306,Графики!$D$7:$D$306,'DCF (2)'!KM$6))</f>
        <v>0</v>
      </c>
      <c r="KN19" s="247" cm="1">
        <f t="array" ref="KN19">TRANSPOSE(SUMIFS(Графики!$F$7:$F$306,Графики!$D$7:$D$306,'DCF (2)'!KN$6))</f>
        <v>0</v>
      </c>
      <c r="KO19" s="247" cm="1">
        <f t="array" ref="KO19">TRANSPOSE(SUMIFS(Графики!$F$7:$F$306,Графики!$D$7:$D$306,'DCF (2)'!KO$6))</f>
        <v>0</v>
      </c>
      <c r="KP19" s="247" cm="1">
        <f t="array" ref="KP19">TRANSPOSE(SUMIFS(Графики!$F$7:$F$306,Графики!$D$7:$D$306,'DCF (2)'!KP$6))</f>
        <v>0</v>
      </c>
      <c r="KQ19" s="247" cm="1">
        <f t="array" ref="KQ19">TRANSPOSE(SUMIFS(Графики!$F$7:$F$306,Графики!$D$7:$D$306,'DCF (2)'!KQ$6))</f>
        <v>0</v>
      </c>
    </row>
    <row r="20" spans="2:303" x14ac:dyDescent="0.35">
      <c r="B20" s="245" t="s">
        <v>115</v>
      </c>
      <c r="C20" s="248">
        <f>SUM(D20:KQ20)</f>
        <v>-10210252740.999996</v>
      </c>
      <c r="D20" s="246">
        <f t="shared" ref="D20:BO20" si="41">-SUM(D17:D19)</f>
        <v>-5022322219.2799997</v>
      </c>
      <c r="E20" s="246">
        <f t="shared" si="41"/>
        <v>-15772219.280000001</v>
      </c>
      <c r="F20" s="246">
        <f t="shared" si="41"/>
        <v>-15772219.280000001</v>
      </c>
      <c r="G20" s="246">
        <f t="shared" si="41"/>
        <v>-15772219.280000001</v>
      </c>
      <c r="H20" s="246">
        <f t="shared" si="41"/>
        <v>-15772219.280000001</v>
      </c>
      <c r="I20" s="246">
        <f t="shared" si="41"/>
        <v>-15772219.280000001</v>
      </c>
      <c r="J20" s="246">
        <f t="shared" si="41"/>
        <v>-15772219.280000001</v>
      </c>
      <c r="K20" s="246">
        <f t="shared" si="41"/>
        <v>-15772219.280000001</v>
      </c>
      <c r="L20" s="246">
        <f t="shared" si="41"/>
        <v>-15772219.280000001</v>
      </c>
      <c r="M20" s="246">
        <f t="shared" si="41"/>
        <v>-15772219.280000001</v>
      </c>
      <c r="N20" s="246">
        <f t="shared" si="41"/>
        <v>-15772219.280000001</v>
      </c>
      <c r="O20" s="246">
        <f t="shared" si="41"/>
        <v>-23658328.919999998</v>
      </c>
      <c r="P20" s="246">
        <f t="shared" si="41"/>
        <v>0</v>
      </c>
      <c r="Q20" s="246">
        <f t="shared" si="41"/>
        <v>0</v>
      </c>
      <c r="R20" s="246">
        <f t="shared" si="41"/>
        <v>0</v>
      </c>
      <c r="S20" s="246">
        <f t="shared" si="41"/>
        <v>0</v>
      </c>
      <c r="T20" s="246">
        <f t="shared" si="41"/>
        <v>0</v>
      </c>
      <c r="U20" s="246">
        <f t="shared" si="41"/>
        <v>0</v>
      </c>
      <c r="V20" s="246">
        <f t="shared" si="41"/>
        <v>0</v>
      </c>
      <c r="W20" s="246">
        <f t="shared" si="41"/>
        <v>0</v>
      </c>
      <c r="X20" s="246">
        <f t="shared" si="41"/>
        <v>0</v>
      </c>
      <c r="Y20" s="246">
        <f t="shared" si="41"/>
        <v>0</v>
      </c>
      <c r="Z20" s="246">
        <f t="shared" si="41"/>
        <v>0</v>
      </c>
      <c r="AA20" s="246">
        <f t="shared" si="41"/>
        <v>0</v>
      </c>
      <c r="AB20" s="246">
        <f t="shared" si="41"/>
        <v>0</v>
      </c>
      <c r="AC20" s="246">
        <f t="shared" si="41"/>
        <v>0</v>
      </c>
      <c r="AD20" s="246">
        <f t="shared" si="41"/>
        <v>0</v>
      </c>
      <c r="AE20" s="246">
        <f t="shared" si="41"/>
        <v>0</v>
      </c>
      <c r="AF20" s="246">
        <f t="shared" si="41"/>
        <v>0</v>
      </c>
      <c r="AG20" s="246">
        <f t="shared" si="41"/>
        <v>0</v>
      </c>
      <c r="AH20" s="246">
        <f t="shared" si="41"/>
        <v>0</v>
      </c>
      <c r="AI20" s="246">
        <f t="shared" si="41"/>
        <v>0</v>
      </c>
      <c r="AJ20" s="246">
        <f t="shared" si="41"/>
        <v>0</v>
      </c>
      <c r="AK20" s="246">
        <f t="shared" si="41"/>
        <v>0</v>
      </c>
      <c r="AL20" s="246">
        <f t="shared" si="41"/>
        <v>0</v>
      </c>
      <c r="AM20" s="246">
        <f t="shared" si="41"/>
        <v>0</v>
      </c>
      <c r="AN20" s="246">
        <f t="shared" si="41"/>
        <v>0</v>
      </c>
      <c r="AO20" s="246">
        <f t="shared" si="41"/>
        <v>0</v>
      </c>
      <c r="AP20" s="246">
        <f t="shared" si="41"/>
        <v>0</v>
      </c>
      <c r="AQ20" s="246">
        <f t="shared" si="41"/>
        <v>0</v>
      </c>
      <c r="AR20" s="246">
        <f t="shared" si="41"/>
        <v>0</v>
      </c>
      <c r="AS20" s="246">
        <f t="shared" si="41"/>
        <v>0</v>
      </c>
      <c r="AT20" s="246">
        <f t="shared" si="41"/>
        <v>0</v>
      </c>
      <c r="AU20" s="246">
        <f t="shared" si="41"/>
        <v>0</v>
      </c>
      <c r="AV20" s="246">
        <f t="shared" si="41"/>
        <v>0</v>
      </c>
      <c r="AW20" s="246">
        <f t="shared" si="41"/>
        <v>0</v>
      </c>
      <c r="AX20" s="246">
        <f t="shared" si="41"/>
        <v>0</v>
      </c>
      <c r="AY20" s="246">
        <f t="shared" si="41"/>
        <v>0</v>
      </c>
      <c r="AZ20" s="246">
        <f t="shared" si="41"/>
        <v>0</v>
      </c>
      <c r="BA20" s="246">
        <f t="shared" si="41"/>
        <v>0</v>
      </c>
      <c r="BB20" s="246">
        <f t="shared" si="41"/>
        <v>0</v>
      </c>
      <c r="BC20" s="246">
        <f t="shared" si="41"/>
        <v>0</v>
      </c>
      <c r="BD20" s="246">
        <f t="shared" si="41"/>
        <v>0</v>
      </c>
      <c r="BE20" s="246">
        <f t="shared" si="41"/>
        <v>0</v>
      </c>
      <c r="BF20" s="246">
        <f t="shared" si="41"/>
        <v>0</v>
      </c>
      <c r="BG20" s="246">
        <f t="shared" si="41"/>
        <v>0</v>
      </c>
      <c r="BH20" s="246">
        <f t="shared" si="41"/>
        <v>0</v>
      </c>
      <c r="BI20" s="246">
        <f t="shared" si="41"/>
        <v>0</v>
      </c>
      <c r="BJ20" s="246">
        <f t="shared" si="41"/>
        <v>0</v>
      </c>
      <c r="BK20" s="246">
        <f t="shared" si="41"/>
        <v>0</v>
      </c>
      <c r="BL20" s="246">
        <f t="shared" si="41"/>
        <v>0</v>
      </c>
      <c r="BM20" s="246">
        <f t="shared" si="41"/>
        <v>0</v>
      </c>
      <c r="BN20" s="246">
        <f t="shared" si="41"/>
        <v>0</v>
      </c>
      <c r="BO20" s="246">
        <f t="shared" si="41"/>
        <v>0</v>
      </c>
      <c r="BP20" s="246">
        <f t="shared" ref="BP20:EA20" si="42">-SUM(BP17:BP19)</f>
        <v>0</v>
      </c>
      <c r="BQ20" s="246">
        <f t="shared" si="42"/>
        <v>0</v>
      </c>
      <c r="BR20" s="246">
        <f t="shared" si="42"/>
        <v>0</v>
      </c>
      <c r="BS20" s="246">
        <f t="shared" si="42"/>
        <v>0</v>
      </c>
      <c r="BT20" s="246">
        <f t="shared" si="42"/>
        <v>0</v>
      </c>
      <c r="BU20" s="246">
        <f t="shared" si="42"/>
        <v>0</v>
      </c>
      <c r="BV20" s="246">
        <f t="shared" si="42"/>
        <v>0</v>
      </c>
      <c r="BW20" s="246">
        <f t="shared" si="42"/>
        <v>0</v>
      </c>
      <c r="BX20" s="246">
        <f t="shared" si="42"/>
        <v>0</v>
      </c>
      <c r="BY20" s="246">
        <f t="shared" si="42"/>
        <v>0</v>
      </c>
      <c r="BZ20" s="246">
        <f t="shared" si="42"/>
        <v>0</v>
      </c>
      <c r="CA20" s="246">
        <f t="shared" si="42"/>
        <v>0</v>
      </c>
      <c r="CB20" s="246">
        <f t="shared" si="42"/>
        <v>0</v>
      </c>
      <c r="CC20" s="246">
        <f t="shared" si="42"/>
        <v>0</v>
      </c>
      <c r="CD20" s="246">
        <f t="shared" si="42"/>
        <v>0</v>
      </c>
      <c r="CE20" s="246">
        <f t="shared" si="42"/>
        <v>0</v>
      </c>
      <c r="CF20" s="246">
        <f t="shared" si="42"/>
        <v>0</v>
      </c>
      <c r="CG20" s="246">
        <f t="shared" si="42"/>
        <v>0</v>
      </c>
      <c r="CH20" s="246">
        <f t="shared" si="42"/>
        <v>-5006550000</v>
      </c>
      <c r="CI20" s="246">
        <f t="shared" si="42"/>
        <v>0</v>
      </c>
      <c r="CJ20" s="246">
        <f t="shared" si="42"/>
        <v>0</v>
      </c>
      <c r="CK20" s="246">
        <f t="shared" si="42"/>
        <v>0</v>
      </c>
      <c r="CL20" s="246">
        <f t="shared" si="42"/>
        <v>0</v>
      </c>
      <c r="CM20" s="246">
        <f t="shared" si="42"/>
        <v>0</v>
      </c>
      <c r="CN20" s="246">
        <f t="shared" si="42"/>
        <v>0</v>
      </c>
      <c r="CO20" s="246">
        <f t="shared" si="42"/>
        <v>0</v>
      </c>
      <c r="CP20" s="246">
        <f t="shared" si="42"/>
        <v>0</v>
      </c>
      <c r="CQ20" s="246">
        <f t="shared" si="42"/>
        <v>0</v>
      </c>
      <c r="CR20" s="246">
        <f t="shared" si="42"/>
        <v>0</v>
      </c>
      <c r="CS20" s="246">
        <f t="shared" si="42"/>
        <v>0</v>
      </c>
      <c r="CT20" s="246">
        <f t="shared" si="42"/>
        <v>0</v>
      </c>
      <c r="CU20" s="246">
        <f t="shared" si="42"/>
        <v>0</v>
      </c>
      <c r="CV20" s="246">
        <f t="shared" si="42"/>
        <v>0</v>
      </c>
      <c r="CW20" s="246">
        <f t="shared" si="42"/>
        <v>0</v>
      </c>
      <c r="CX20" s="246">
        <f t="shared" si="42"/>
        <v>0</v>
      </c>
      <c r="CY20" s="246">
        <f t="shared" si="42"/>
        <v>0</v>
      </c>
      <c r="CZ20" s="246">
        <f t="shared" si="42"/>
        <v>0</v>
      </c>
      <c r="DA20" s="246">
        <f t="shared" si="42"/>
        <v>0</v>
      </c>
      <c r="DB20" s="246">
        <f t="shared" si="42"/>
        <v>0</v>
      </c>
      <c r="DC20" s="246">
        <f t="shared" si="42"/>
        <v>0</v>
      </c>
      <c r="DD20" s="246">
        <f t="shared" si="42"/>
        <v>0</v>
      </c>
      <c r="DE20" s="246">
        <f t="shared" si="42"/>
        <v>0</v>
      </c>
      <c r="DF20" s="246">
        <f t="shared" si="42"/>
        <v>0</v>
      </c>
      <c r="DG20" s="246">
        <f t="shared" si="42"/>
        <v>0</v>
      </c>
      <c r="DH20" s="246">
        <f t="shared" si="42"/>
        <v>0</v>
      </c>
      <c r="DI20" s="246">
        <f t="shared" si="42"/>
        <v>0</v>
      </c>
      <c r="DJ20" s="246">
        <f t="shared" si="42"/>
        <v>0</v>
      </c>
      <c r="DK20" s="246">
        <f t="shared" si="42"/>
        <v>0</v>
      </c>
      <c r="DL20" s="246">
        <f t="shared" si="42"/>
        <v>0</v>
      </c>
      <c r="DM20" s="246">
        <f t="shared" si="42"/>
        <v>0</v>
      </c>
      <c r="DN20" s="246">
        <f t="shared" si="42"/>
        <v>0</v>
      </c>
      <c r="DO20" s="246">
        <f t="shared" si="42"/>
        <v>0</v>
      </c>
      <c r="DP20" s="246">
        <f t="shared" si="42"/>
        <v>0</v>
      </c>
      <c r="DQ20" s="246">
        <f t="shared" si="42"/>
        <v>0</v>
      </c>
      <c r="DR20" s="246">
        <f t="shared" si="42"/>
        <v>0</v>
      </c>
      <c r="DS20" s="246">
        <f t="shared" si="42"/>
        <v>0</v>
      </c>
      <c r="DT20" s="246">
        <f t="shared" si="42"/>
        <v>0</v>
      </c>
      <c r="DU20" s="246">
        <f t="shared" si="42"/>
        <v>0</v>
      </c>
      <c r="DV20" s="246">
        <f t="shared" si="42"/>
        <v>0</v>
      </c>
      <c r="DW20" s="246">
        <f t="shared" si="42"/>
        <v>0</v>
      </c>
      <c r="DX20" s="246">
        <f t="shared" si="42"/>
        <v>0</v>
      </c>
      <c r="DY20" s="246">
        <f t="shared" si="42"/>
        <v>0</v>
      </c>
      <c r="DZ20" s="246">
        <f t="shared" si="42"/>
        <v>0</v>
      </c>
      <c r="EA20" s="246">
        <f t="shared" si="42"/>
        <v>0</v>
      </c>
      <c r="EB20" s="246">
        <f t="shared" ref="EB20:GM20" si="43">-SUM(EB17:EB19)</f>
        <v>0</v>
      </c>
      <c r="EC20" s="246">
        <f t="shared" si="43"/>
        <v>0</v>
      </c>
      <c r="ED20" s="246">
        <f t="shared" si="43"/>
        <v>0</v>
      </c>
      <c r="EE20" s="246">
        <f t="shared" si="43"/>
        <v>0</v>
      </c>
      <c r="EF20" s="246">
        <f t="shared" si="43"/>
        <v>0</v>
      </c>
      <c r="EG20" s="246">
        <f t="shared" si="43"/>
        <v>0</v>
      </c>
      <c r="EH20" s="246">
        <f t="shared" si="43"/>
        <v>0</v>
      </c>
      <c r="EI20" s="246">
        <f t="shared" si="43"/>
        <v>0</v>
      </c>
      <c r="EJ20" s="246">
        <f t="shared" si="43"/>
        <v>0</v>
      </c>
      <c r="EK20" s="246">
        <f t="shared" si="43"/>
        <v>0</v>
      </c>
      <c r="EL20" s="246">
        <f t="shared" si="43"/>
        <v>0</v>
      </c>
      <c r="EM20" s="246">
        <f t="shared" si="43"/>
        <v>0</v>
      </c>
      <c r="EN20" s="246">
        <f t="shared" si="43"/>
        <v>0</v>
      </c>
      <c r="EO20" s="246">
        <f t="shared" si="43"/>
        <v>0</v>
      </c>
      <c r="EP20" s="246">
        <f t="shared" si="43"/>
        <v>0</v>
      </c>
      <c r="EQ20" s="246">
        <f t="shared" si="43"/>
        <v>0</v>
      </c>
      <c r="ER20" s="246">
        <f t="shared" si="43"/>
        <v>0</v>
      </c>
      <c r="ES20" s="246">
        <f t="shared" si="43"/>
        <v>0</v>
      </c>
      <c r="ET20" s="246">
        <f t="shared" si="43"/>
        <v>0</v>
      </c>
      <c r="EU20" s="246">
        <f t="shared" si="43"/>
        <v>0</v>
      </c>
      <c r="EV20" s="246">
        <f t="shared" si="43"/>
        <v>0</v>
      </c>
      <c r="EW20" s="246">
        <f t="shared" si="43"/>
        <v>0</v>
      </c>
      <c r="EX20" s="246">
        <f t="shared" si="43"/>
        <v>0</v>
      </c>
      <c r="EY20" s="246">
        <f t="shared" si="43"/>
        <v>0</v>
      </c>
      <c r="EZ20" s="246">
        <f t="shared" si="43"/>
        <v>0</v>
      </c>
      <c r="FA20" s="246">
        <f t="shared" si="43"/>
        <v>0</v>
      </c>
      <c r="FB20" s="246">
        <f t="shared" si="43"/>
        <v>0</v>
      </c>
      <c r="FC20" s="246">
        <f t="shared" si="43"/>
        <v>0</v>
      </c>
      <c r="FD20" s="246">
        <f t="shared" si="43"/>
        <v>0</v>
      </c>
      <c r="FE20" s="246">
        <f t="shared" si="43"/>
        <v>0</v>
      </c>
      <c r="FF20" s="246">
        <f t="shared" si="43"/>
        <v>0</v>
      </c>
      <c r="FG20" s="246">
        <f t="shared" si="43"/>
        <v>0</v>
      </c>
      <c r="FH20" s="246">
        <f t="shared" si="43"/>
        <v>0</v>
      </c>
      <c r="FI20" s="246">
        <f t="shared" si="43"/>
        <v>0</v>
      </c>
      <c r="FJ20" s="246">
        <f t="shared" si="43"/>
        <v>0</v>
      </c>
      <c r="FK20" s="246">
        <f t="shared" si="43"/>
        <v>0</v>
      </c>
      <c r="FL20" s="246">
        <f t="shared" si="43"/>
        <v>0</v>
      </c>
      <c r="FM20" s="246">
        <f t="shared" si="43"/>
        <v>0</v>
      </c>
      <c r="FN20" s="246">
        <f t="shared" si="43"/>
        <v>0</v>
      </c>
      <c r="FO20" s="246">
        <f t="shared" si="43"/>
        <v>0</v>
      </c>
      <c r="FP20" s="246">
        <f t="shared" si="43"/>
        <v>0</v>
      </c>
      <c r="FQ20" s="246">
        <f t="shared" si="43"/>
        <v>0</v>
      </c>
      <c r="FR20" s="246">
        <f t="shared" si="43"/>
        <v>0</v>
      </c>
      <c r="FS20" s="246">
        <f t="shared" si="43"/>
        <v>0</v>
      </c>
      <c r="FT20" s="246">
        <f t="shared" si="43"/>
        <v>0</v>
      </c>
      <c r="FU20" s="246">
        <f t="shared" si="43"/>
        <v>0</v>
      </c>
      <c r="FV20" s="246">
        <f t="shared" si="43"/>
        <v>0</v>
      </c>
      <c r="FW20" s="246">
        <f t="shared" si="43"/>
        <v>0</v>
      </c>
      <c r="FX20" s="246">
        <f t="shared" si="43"/>
        <v>0</v>
      </c>
      <c r="FY20" s="246">
        <f t="shared" si="43"/>
        <v>0</v>
      </c>
      <c r="FZ20" s="246">
        <f t="shared" si="43"/>
        <v>0</v>
      </c>
      <c r="GA20" s="246">
        <f t="shared" si="43"/>
        <v>0</v>
      </c>
      <c r="GB20" s="246">
        <f t="shared" si="43"/>
        <v>0</v>
      </c>
      <c r="GC20" s="246">
        <f t="shared" si="43"/>
        <v>0</v>
      </c>
      <c r="GD20" s="246">
        <f t="shared" si="43"/>
        <v>0</v>
      </c>
      <c r="GE20" s="246">
        <f t="shared" si="43"/>
        <v>0</v>
      </c>
      <c r="GF20" s="246">
        <f t="shared" si="43"/>
        <v>0</v>
      </c>
      <c r="GG20" s="246">
        <f t="shared" si="43"/>
        <v>0</v>
      </c>
      <c r="GH20" s="246">
        <f t="shared" si="43"/>
        <v>0</v>
      </c>
      <c r="GI20" s="246">
        <f t="shared" si="43"/>
        <v>0</v>
      </c>
      <c r="GJ20" s="246">
        <f t="shared" si="43"/>
        <v>0</v>
      </c>
      <c r="GK20" s="246">
        <f t="shared" si="43"/>
        <v>0</v>
      </c>
      <c r="GL20" s="246">
        <f t="shared" si="43"/>
        <v>0</v>
      </c>
      <c r="GM20" s="246">
        <f t="shared" si="43"/>
        <v>0</v>
      </c>
      <c r="GN20" s="246">
        <f t="shared" ref="GN20:IY20" si="44">-SUM(GN17:GN19)</f>
        <v>0</v>
      </c>
      <c r="GO20" s="246">
        <f t="shared" si="44"/>
        <v>0</v>
      </c>
      <c r="GP20" s="246">
        <f t="shared" si="44"/>
        <v>0</v>
      </c>
      <c r="GQ20" s="246">
        <f t="shared" si="44"/>
        <v>0</v>
      </c>
      <c r="GR20" s="246">
        <f t="shared" si="44"/>
        <v>0</v>
      </c>
      <c r="GS20" s="246">
        <f t="shared" si="44"/>
        <v>0</v>
      </c>
      <c r="GT20" s="246">
        <f t="shared" si="44"/>
        <v>0</v>
      </c>
      <c r="GU20" s="246">
        <f t="shared" si="44"/>
        <v>0</v>
      </c>
      <c r="GV20" s="246">
        <f t="shared" si="44"/>
        <v>0</v>
      </c>
      <c r="GW20" s="246">
        <f t="shared" si="44"/>
        <v>0</v>
      </c>
      <c r="GX20" s="246">
        <f t="shared" si="44"/>
        <v>0</v>
      </c>
      <c r="GY20" s="246">
        <f t="shared" si="44"/>
        <v>0</v>
      </c>
      <c r="GZ20" s="246">
        <f t="shared" si="44"/>
        <v>0</v>
      </c>
      <c r="HA20" s="246">
        <f t="shared" si="44"/>
        <v>0</v>
      </c>
      <c r="HB20" s="246">
        <f t="shared" si="44"/>
        <v>0</v>
      </c>
      <c r="HC20" s="246">
        <f t="shared" si="44"/>
        <v>0</v>
      </c>
      <c r="HD20" s="246">
        <f t="shared" si="44"/>
        <v>0</v>
      </c>
      <c r="HE20" s="246">
        <f t="shared" si="44"/>
        <v>0</v>
      </c>
      <c r="HF20" s="246">
        <f t="shared" si="44"/>
        <v>0</v>
      </c>
      <c r="HG20" s="246">
        <f t="shared" si="44"/>
        <v>0</v>
      </c>
      <c r="HH20" s="246">
        <f t="shared" si="44"/>
        <v>0</v>
      </c>
      <c r="HI20" s="246">
        <f t="shared" si="44"/>
        <v>0</v>
      </c>
      <c r="HJ20" s="246">
        <f t="shared" si="44"/>
        <v>0</v>
      </c>
      <c r="HK20" s="246">
        <f t="shared" si="44"/>
        <v>0</v>
      </c>
      <c r="HL20" s="246">
        <f t="shared" si="44"/>
        <v>0</v>
      </c>
      <c r="HM20" s="246">
        <f t="shared" si="44"/>
        <v>0</v>
      </c>
      <c r="HN20" s="246">
        <f t="shared" si="44"/>
        <v>0</v>
      </c>
      <c r="HO20" s="246">
        <f t="shared" si="44"/>
        <v>0</v>
      </c>
      <c r="HP20" s="246">
        <f t="shared" si="44"/>
        <v>0</v>
      </c>
      <c r="HQ20" s="246">
        <f t="shared" si="44"/>
        <v>0</v>
      </c>
      <c r="HR20" s="246">
        <f t="shared" si="44"/>
        <v>0</v>
      </c>
      <c r="HS20" s="246">
        <f t="shared" si="44"/>
        <v>0</v>
      </c>
      <c r="HT20" s="246">
        <f t="shared" si="44"/>
        <v>0</v>
      </c>
      <c r="HU20" s="246">
        <f t="shared" si="44"/>
        <v>0</v>
      </c>
      <c r="HV20" s="246">
        <f t="shared" si="44"/>
        <v>0</v>
      </c>
      <c r="HW20" s="246">
        <f t="shared" si="44"/>
        <v>0</v>
      </c>
      <c r="HX20" s="246">
        <f t="shared" si="44"/>
        <v>0</v>
      </c>
      <c r="HY20" s="246">
        <f t="shared" si="44"/>
        <v>0</v>
      </c>
      <c r="HZ20" s="246">
        <f t="shared" si="44"/>
        <v>0</v>
      </c>
      <c r="IA20" s="246">
        <f t="shared" si="44"/>
        <v>0</v>
      </c>
      <c r="IB20" s="246">
        <f t="shared" si="44"/>
        <v>0</v>
      </c>
      <c r="IC20" s="246">
        <f t="shared" si="44"/>
        <v>0</v>
      </c>
      <c r="ID20" s="246">
        <f t="shared" si="44"/>
        <v>0</v>
      </c>
      <c r="IE20" s="246">
        <f t="shared" si="44"/>
        <v>0</v>
      </c>
      <c r="IF20" s="246">
        <f t="shared" si="44"/>
        <v>0</v>
      </c>
      <c r="IG20" s="246">
        <f t="shared" si="44"/>
        <v>0</v>
      </c>
      <c r="IH20" s="246">
        <f t="shared" si="44"/>
        <v>0</v>
      </c>
      <c r="II20" s="246">
        <f t="shared" si="44"/>
        <v>0</v>
      </c>
      <c r="IJ20" s="246">
        <f t="shared" si="44"/>
        <v>0</v>
      </c>
      <c r="IK20" s="246">
        <f t="shared" si="44"/>
        <v>0</v>
      </c>
      <c r="IL20" s="246">
        <f t="shared" si="44"/>
        <v>0</v>
      </c>
      <c r="IM20" s="246">
        <f t="shared" si="44"/>
        <v>0</v>
      </c>
      <c r="IN20" s="246">
        <f t="shared" si="44"/>
        <v>0</v>
      </c>
      <c r="IO20" s="246">
        <f t="shared" si="44"/>
        <v>0</v>
      </c>
      <c r="IP20" s="246">
        <f t="shared" si="44"/>
        <v>0</v>
      </c>
      <c r="IQ20" s="246">
        <f t="shared" si="44"/>
        <v>0</v>
      </c>
      <c r="IR20" s="246">
        <f t="shared" si="44"/>
        <v>0</v>
      </c>
      <c r="IS20" s="246">
        <f t="shared" si="44"/>
        <v>0</v>
      </c>
      <c r="IT20" s="246">
        <f t="shared" si="44"/>
        <v>0</v>
      </c>
      <c r="IU20" s="246">
        <f t="shared" si="44"/>
        <v>0</v>
      </c>
      <c r="IV20" s="246">
        <f t="shared" si="44"/>
        <v>0</v>
      </c>
      <c r="IW20" s="246">
        <f t="shared" si="44"/>
        <v>0</v>
      </c>
      <c r="IX20" s="246">
        <f t="shared" si="44"/>
        <v>0</v>
      </c>
      <c r="IY20" s="246">
        <f t="shared" si="44"/>
        <v>0</v>
      </c>
      <c r="IZ20" s="246">
        <f t="shared" ref="IZ20:KQ20" si="45">-SUM(IZ17:IZ19)</f>
        <v>0</v>
      </c>
      <c r="JA20" s="246">
        <f t="shared" si="45"/>
        <v>0</v>
      </c>
      <c r="JB20" s="246">
        <f t="shared" si="45"/>
        <v>0</v>
      </c>
      <c r="JC20" s="246">
        <f t="shared" si="45"/>
        <v>0</v>
      </c>
      <c r="JD20" s="246">
        <f t="shared" si="45"/>
        <v>0</v>
      </c>
      <c r="JE20" s="246">
        <f t="shared" si="45"/>
        <v>0</v>
      </c>
      <c r="JF20" s="246">
        <f t="shared" si="45"/>
        <v>0</v>
      </c>
      <c r="JG20" s="246">
        <f t="shared" si="45"/>
        <v>0</v>
      </c>
      <c r="JH20" s="246">
        <f t="shared" si="45"/>
        <v>0</v>
      </c>
      <c r="JI20" s="246">
        <f t="shared" si="45"/>
        <v>0</v>
      </c>
      <c r="JJ20" s="246">
        <f t="shared" si="45"/>
        <v>0</v>
      </c>
      <c r="JK20" s="246">
        <f t="shared" si="45"/>
        <v>0</v>
      </c>
      <c r="JL20" s="246">
        <f t="shared" si="45"/>
        <v>0</v>
      </c>
      <c r="JM20" s="246">
        <f t="shared" si="45"/>
        <v>0</v>
      </c>
      <c r="JN20" s="246">
        <f t="shared" si="45"/>
        <v>0</v>
      </c>
      <c r="JO20" s="246">
        <f t="shared" si="45"/>
        <v>0</v>
      </c>
      <c r="JP20" s="246">
        <f t="shared" si="45"/>
        <v>0</v>
      </c>
      <c r="JQ20" s="246">
        <f t="shared" si="45"/>
        <v>0</v>
      </c>
      <c r="JR20" s="246">
        <f t="shared" si="45"/>
        <v>0</v>
      </c>
      <c r="JS20" s="246">
        <f t="shared" si="45"/>
        <v>0</v>
      </c>
      <c r="JT20" s="246">
        <f t="shared" si="45"/>
        <v>0</v>
      </c>
      <c r="JU20" s="246">
        <f t="shared" si="45"/>
        <v>0</v>
      </c>
      <c r="JV20" s="246">
        <f t="shared" si="45"/>
        <v>0</v>
      </c>
      <c r="JW20" s="246">
        <f t="shared" si="45"/>
        <v>0</v>
      </c>
      <c r="JX20" s="246">
        <f t="shared" si="45"/>
        <v>0</v>
      </c>
      <c r="JY20" s="246">
        <f t="shared" si="45"/>
        <v>0</v>
      </c>
      <c r="JZ20" s="246">
        <f t="shared" si="45"/>
        <v>0</v>
      </c>
      <c r="KA20" s="246">
        <f t="shared" si="45"/>
        <v>0</v>
      </c>
      <c r="KB20" s="246">
        <f t="shared" si="45"/>
        <v>0</v>
      </c>
      <c r="KC20" s="246">
        <f t="shared" si="45"/>
        <v>0</v>
      </c>
      <c r="KD20" s="246">
        <f t="shared" si="45"/>
        <v>0</v>
      </c>
      <c r="KE20" s="246">
        <f t="shared" si="45"/>
        <v>0</v>
      </c>
      <c r="KF20" s="246">
        <f t="shared" si="45"/>
        <v>0</v>
      </c>
      <c r="KG20" s="246">
        <f t="shared" si="45"/>
        <v>0</v>
      </c>
      <c r="KH20" s="246">
        <f t="shared" si="45"/>
        <v>0</v>
      </c>
      <c r="KI20" s="246">
        <f t="shared" si="45"/>
        <v>0</v>
      </c>
      <c r="KJ20" s="246">
        <f t="shared" si="45"/>
        <v>0</v>
      </c>
      <c r="KK20" s="246">
        <f t="shared" si="45"/>
        <v>0</v>
      </c>
      <c r="KL20" s="246">
        <f t="shared" si="45"/>
        <v>0</v>
      </c>
      <c r="KM20" s="246">
        <f t="shared" si="45"/>
        <v>0</v>
      </c>
      <c r="KN20" s="246">
        <f t="shared" si="45"/>
        <v>0</v>
      </c>
      <c r="KO20" s="246">
        <f t="shared" si="45"/>
        <v>0</v>
      </c>
      <c r="KP20" s="246">
        <f t="shared" si="45"/>
        <v>0</v>
      </c>
      <c r="KQ20" s="246">
        <f t="shared" si="45"/>
        <v>0</v>
      </c>
    </row>
    <row r="21" spans="2:303" x14ac:dyDescent="0.35"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</row>
    <row r="22" spans="2:303" x14ac:dyDescent="0.35">
      <c r="B22" s="249" t="s">
        <v>116</v>
      </c>
      <c r="C22" s="250">
        <f>SUM(D22:KQ22)</f>
        <v>-64065974495.243362</v>
      </c>
      <c r="D22" s="251">
        <f t="shared" ref="D22:BO22" si="46">D15+D20</f>
        <v>-4700923219.2799997</v>
      </c>
      <c r="E22" s="251">
        <f t="shared" si="46"/>
        <v>124174494.88638189</v>
      </c>
      <c r="F22" s="251">
        <f t="shared" si="46"/>
        <v>106981708.41396815</v>
      </c>
      <c r="G22" s="251">
        <f t="shared" si="46"/>
        <v>124174494.88638189</v>
      </c>
      <c r="H22" s="251">
        <f t="shared" si="46"/>
        <v>134887794.88638189</v>
      </c>
      <c r="I22" s="251">
        <f t="shared" si="46"/>
        <v>57210913.136095464</v>
      </c>
      <c r="J22" s="251">
        <f t="shared" si="46"/>
        <v>-621163396.08702672</v>
      </c>
      <c r="K22" s="251">
        <f t="shared" si="46"/>
        <v>-621163396.08702672</v>
      </c>
      <c r="L22" s="251">
        <f t="shared" si="46"/>
        <v>-627642882.55944049</v>
      </c>
      <c r="M22" s="251">
        <f t="shared" si="46"/>
        <v>-610450096.08702672</v>
      </c>
      <c r="N22" s="251">
        <f t="shared" si="46"/>
        <v>-610450096.08702672</v>
      </c>
      <c r="O22" s="251">
        <f t="shared" si="46"/>
        <v>-763556160.47430134</v>
      </c>
      <c r="P22" s="251">
        <f t="shared" si="46"/>
        <v>-382983543.33447242</v>
      </c>
      <c r="Q22" s="251">
        <f t="shared" si="46"/>
        <v>-372270243.33447242</v>
      </c>
      <c r="R22" s="251">
        <f t="shared" si="46"/>
        <v>-389463029.8068862</v>
      </c>
      <c r="S22" s="251">
        <f t="shared" si="46"/>
        <v>-372270243.33447242</v>
      </c>
      <c r="T22" s="251">
        <f t="shared" si="46"/>
        <v>-372270243.33447242</v>
      </c>
      <c r="U22" s="251">
        <f t="shared" si="46"/>
        <v>-389463029.8068862</v>
      </c>
      <c r="V22" s="251">
        <f t="shared" si="46"/>
        <v>43762906.665527463</v>
      </c>
      <c r="W22" s="251">
        <f t="shared" si="46"/>
        <v>43762906.665527463</v>
      </c>
      <c r="X22" s="251">
        <f t="shared" si="46"/>
        <v>26570120.193113707</v>
      </c>
      <c r="Y22" s="251">
        <f t="shared" si="46"/>
        <v>43762906.665527463</v>
      </c>
      <c r="Z22" s="251">
        <f t="shared" si="46"/>
        <v>43762906.665527463</v>
      </c>
      <c r="AA22" s="251">
        <f t="shared" si="46"/>
        <v>-313151381.5543015</v>
      </c>
      <c r="AB22" s="251">
        <f t="shared" si="46"/>
        <v>-725809143.33447242</v>
      </c>
      <c r="AC22" s="251">
        <f t="shared" si="46"/>
        <v>-725809143.33447242</v>
      </c>
      <c r="AD22" s="251">
        <f t="shared" si="46"/>
        <v>-743001929.8068862</v>
      </c>
      <c r="AE22" s="251">
        <f t="shared" si="46"/>
        <v>-725809143.33447242</v>
      </c>
      <c r="AF22" s="251">
        <f t="shared" si="46"/>
        <v>-725809143.33447242</v>
      </c>
      <c r="AG22" s="251">
        <f t="shared" si="46"/>
        <v>-803486025.08475876</v>
      </c>
      <c r="AH22" s="251">
        <f t="shared" si="46"/>
        <v>-786293238.61234498</v>
      </c>
      <c r="AI22" s="251">
        <f t="shared" si="46"/>
        <v>-786293238.61234498</v>
      </c>
      <c r="AJ22" s="251">
        <f t="shared" si="46"/>
        <v>-803486025.08475876</v>
      </c>
      <c r="AK22" s="251">
        <f t="shared" si="46"/>
        <v>-816535286.25128138</v>
      </c>
      <c r="AL22" s="251">
        <f t="shared" si="46"/>
        <v>-816535286.25128138</v>
      </c>
      <c r="AM22" s="251">
        <f t="shared" si="46"/>
        <v>-1173449574.4711103</v>
      </c>
      <c r="AN22" s="251">
        <f t="shared" si="46"/>
        <v>-816535286.25128138</v>
      </c>
      <c r="AO22" s="251">
        <f t="shared" si="46"/>
        <v>-816535286.25128138</v>
      </c>
      <c r="AP22" s="251">
        <f t="shared" si="46"/>
        <v>-833728072.72369516</v>
      </c>
      <c r="AQ22" s="251">
        <f t="shared" si="46"/>
        <v>-816535286.25128138</v>
      </c>
      <c r="AR22" s="251">
        <f t="shared" si="46"/>
        <v>-816535286.25128138</v>
      </c>
      <c r="AS22" s="251">
        <f t="shared" si="46"/>
        <v>-833728072.72369516</v>
      </c>
      <c r="AT22" s="251">
        <f t="shared" si="46"/>
        <v>-816535286.25128138</v>
      </c>
      <c r="AU22" s="251">
        <f t="shared" si="46"/>
        <v>-816535286.25128138</v>
      </c>
      <c r="AV22" s="251">
        <f t="shared" si="46"/>
        <v>-833728072.72369516</v>
      </c>
      <c r="AW22" s="251">
        <f t="shared" si="46"/>
        <v>-816535286.25128138</v>
      </c>
      <c r="AX22" s="251">
        <f t="shared" si="46"/>
        <v>-816535286.25128138</v>
      </c>
      <c r="AY22" s="251">
        <f t="shared" si="46"/>
        <v>-1173449574.4711103</v>
      </c>
      <c r="AZ22" s="251">
        <f t="shared" si="46"/>
        <v>-816535286.25128138</v>
      </c>
      <c r="BA22" s="251">
        <f t="shared" si="46"/>
        <v>-816535286.25128138</v>
      </c>
      <c r="BB22" s="251">
        <f t="shared" si="46"/>
        <v>-833728072.72369516</v>
      </c>
      <c r="BC22" s="251">
        <f t="shared" si="46"/>
        <v>-816535286.25128138</v>
      </c>
      <c r="BD22" s="251">
        <f t="shared" si="46"/>
        <v>-816535286.25128138</v>
      </c>
      <c r="BE22" s="251">
        <f t="shared" si="46"/>
        <v>-833728072.72369516</v>
      </c>
      <c r="BF22" s="251">
        <f t="shared" si="46"/>
        <v>-816535286.25128138</v>
      </c>
      <c r="BG22" s="251">
        <f t="shared" si="46"/>
        <v>-816535286.25128138</v>
      </c>
      <c r="BH22" s="251">
        <f t="shared" si="46"/>
        <v>-833728072.72369516</v>
      </c>
      <c r="BI22" s="251">
        <f t="shared" si="46"/>
        <v>-816535286.25128138</v>
      </c>
      <c r="BJ22" s="251">
        <f t="shared" si="46"/>
        <v>-816535286.25128138</v>
      </c>
      <c r="BK22" s="251">
        <f t="shared" si="46"/>
        <v>-1173449574.4711103</v>
      </c>
      <c r="BL22" s="251">
        <f t="shared" si="46"/>
        <v>-816535286.25128138</v>
      </c>
      <c r="BM22" s="251">
        <f t="shared" si="46"/>
        <v>-816535286.25128138</v>
      </c>
      <c r="BN22" s="251">
        <f t="shared" si="46"/>
        <v>-833728072.72369516</v>
      </c>
      <c r="BO22" s="251">
        <f t="shared" si="46"/>
        <v>-816535286.25128138</v>
      </c>
      <c r="BP22" s="251">
        <f t="shared" ref="BP22:EA22" si="47">BP15+BP20</f>
        <v>-816535286.25128138</v>
      </c>
      <c r="BQ22" s="251">
        <f t="shared" si="47"/>
        <v>-833728072.72369516</v>
      </c>
      <c r="BR22" s="251">
        <f t="shared" si="47"/>
        <v>-816535286.25128138</v>
      </c>
      <c r="BS22" s="251">
        <f t="shared" si="47"/>
        <v>-816535286.25128138</v>
      </c>
      <c r="BT22" s="251">
        <f t="shared" si="47"/>
        <v>-833728072.72369516</v>
      </c>
      <c r="BU22" s="251">
        <f t="shared" si="47"/>
        <v>-816535286.25128138</v>
      </c>
      <c r="BV22" s="251">
        <f t="shared" si="47"/>
        <v>-816535286.25128138</v>
      </c>
      <c r="BW22" s="251">
        <f t="shared" si="47"/>
        <v>-1173449574.4711103</v>
      </c>
      <c r="BX22" s="251">
        <f t="shared" si="47"/>
        <v>-816535286.25128138</v>
      </c>
      <c r="BY22" s="251">
        <f t="shared" si="47"/>
        <v>-816535286.25128138</v>
      </c>
      <c r="BZ22" s="251">
        <f t="shared" si="47"/>
        <v>-850920859.19610894</v>
      </c>
      <c r="CA22" s="251">
        <f t="shared" si="47"/>
        <v>-816535286.25128138</v>
      </c>
      <c r="CB22" s="251">
        <f t="shared" si="47"/>
        <v>-816535286.25128138</v>
      </c>
      <c r="CC22" s="251">
        <f t="shared" si="47"/>
        <v>-850920859.19610894</v>
      </c>
      <c r="CD22" s="251">
        <f t="shared" si="47"/>
        <v>-267858136.23057833</v>
      </c>
      <c r="CE22" s="251">
        <f t="shared" si="47"/>
        <v>-267858136.23057833</v>
      </c>
      <c r="CF22" s="251">
        <f t="shared" si="47"/>
        <v>-302243709.17540586</v>
      </c>
      <c r="CG22" s="251">
        <f t="shared" si="47"/>
        <v>-267858136.23057833</v>
      </c>
      <c r="CH22" s="251">
        <f t="shared" si="47"/>
        <v>-5274408136.2305784</v>
      </c>
      <c r="CI22" s="251">
        <f t="shared" si="47"/>
        <v>-641965210.92282104</v>
      </c>
      <c r="CJ22" s="251">
        <f t="shared" si="47"/>
        <v>-267858136.23057833</v>
      </c>
      <c r="CK22" s="251">
        <f t="shared" si="47"/>
        <v>0</v>
      </c>
      <c r="CL22" s="251">
        <f t="shared" si="47"/>
        <v>-34385572.944827512</v>
      </c>
      <c r="CM22" s="251">
        <f t="shared" si="47"/>
        <v>0</v>
      </c>
      <c r="CN22" s="251">
        <f t="shared" si="47"/>
        <v>0</v>
      </c>
      <c r="CO22" s="251">
        <f t="shared" si="47"/>
        <v>-34385572.944827512</v>
      </c>
      <c r="CP22" s="251">
        <f t="shared" si="47"/>
        <v>0</v>
      </c>
      <c r="CQ22" s="251">
        <f t="shared" si="47"/>
        <v>0</v>
      </c>
      <c r="CR22" s="251">
        <f t="shared" si="47"/>
        <v>-34385572.944827512</v>
      </c>
      <c r="CS22" s="251">
        <f t="shared" si="47"/>
        <v>0</v>
      </c>
      <c r="CT22" s="251">
        <f t="shared" si="47"/>
        <v>0</v>
      </c>
      <c r="CU22" s="251">
        <f t="shared" si="47"/>
        <v>-1053550078.187073</v>
      </c>
      <c r="CV22" s="251">
        <f t="shared" si="47"/>
        <v>0</v>
      </c>
      <c r="CW22" s="251">
        <f t="shared" si="47"/>
        <v>0</v>
      </c>
      <c r="CX22" s="251">
        <f t="shared" si="47"/>
        <v>0</v>
      </c>
      <c r="CY22" s="251">
        <f t="shared" si="47"/>
        <v>0</v>
      </c>
      <c r="CZ22" s="251">
        <f t="shared" si="47"/>
        <v>0</v>
      </c>
      <c r="DA22" s="251">
        <f t="shared" si="47"/>
        <v>0</v>
      </c>
      <c r="DB22" s="251">
        <f t="shared" si="47"/>
        <v>0</v>
      </c>
      <c r="DC22" s="251">
        <f t="shared" si="47"/>
        <v>0</v>
      </c>
      <c r="DD22" s="251">
        <f t="shared" si="47"/>
        <v>0</v>
      </c>
      <c r="DE22" s="251">
        <f t="shared" si="47"/>
        <v>0</v>
      </c>
      <c r="DF22" s="251">
        <f t="shared" si="47"/>
        <v>0</v>
      </c>
      <c r="DG22" s="251">
        <f t="shared" si="47"/>
        <v>0</v>
      </c>
      <c r="DH22" s="251">
        <f t="shared" si="47"/>
        <v>0</v>
      </c>
      <c r="DI22" s="251">
        <f t="shared" si="47"/>
        <v>0</v>
      </c>
      <c r="DJ22" s="251">
        <f t="shared" si="47"/>
        <v>0</v>
      </c>
      <c r="DK22" s="251">
        <f t="shared" si="47"/>
        <v>0</v>
      </c>
      <c r="DL22" s="251">
        <f t="shared" si="47"/>
        <v>0</v>
      </c>
      <c r="DM22" s="251">
        <f t="shared" si="47"/>
        <v>0</v>
      </c>
      <c r="DN22" s="251">
        <f t="shared" si="47"/>
        <v>0</v>
      </c>
      <c r="DO22" s="251">
        <f t="shared" si="47"/>
        <v>0</v>
      </c>
      <c r="DP22" s="251">
        <f t="shared" si="47"/>
        <v>0</v>
      </c>
      <c r="DQ22" s="251">
        <f t="shared" si="47"/>
        <v>0</v>
      </c>
      <c r="DR22" s="251">
        <f t="shared" si="47"/>
        <v>0</v>
      </c>
      <c r="DS22" s="251">
        <f t="shared" si="47"/>
        <v>0</v>
      </c>
      <c r="DT22" s="251">
        <f t="shared" si="47"/>
        <v>0</v>
      </c>
      <c r="DU22" s="251">
        <f t="shared" si="47"/>
        <v>0</v>
      </c>
      <c r="DV22" s="251">
        <f t="shared" si="47"/>
        <v>0</v>
      </c>
      <c r="DW22" s="251">
        <f t="shared" si="47"/>
        <v>0</v>
      </c>
      <c r="DX22" s="251">
        <f t="shared" si="47"/>
        <v>0</v>
      </c>
      <c r="DY22" s="251">
        <f t="shared" si="47"/>
        <v>0</v>
      </c>
      <c r="DZ22" s="251">
        <f t="shared" si="47"/>
        <v>0</v>
      </c>
      <c r="EA22" s="251">
        <f t="shared" si="47"/>
        <v>0</v>
      </c>
      <c r="EB22" s="251">
        <f t="shared" ref="EB22:GM22" si="48">EB15+EB20</f>
        <v>0</v>
      </c>
      <c r="EC22" s="251">
        <f t="shared" si="48"/>
        <v>0</v>
      </c>
      <c r="ED22" s="251">
        <f t="shared" si="48"/>
        <v>0</v>
      </c>
      <c r="EE22" s="251">
        <f t="shared" si="48"/>
        <v>0</v>
      </c>
      <c r="EF22" s="251">
        <f t="shared" si="48"/>
        <v>0</v>
      </c>
      <c r="EG22" s="251">
        <f t="shared" si="48"/>
        <v>0</v>
      </c>
      <c r="EH22" s="251">
        <f t="shared" si="48"/>
        <v>0</v>
      </c>
      <c r="EI22" s="251">
        <f t="shared" si="48"/>
        <v>0</v>
      </c>
      <c r="EJ22" s="251">
        <f t="shared" si="48"/>
        <v>0</v>
      </c>
      <c r="EK22" s="251">
        <f t="shared" si="48"/>
        <v>0</v>
      </c>
      <c r="EL22" s="251">
        <f t="shared" si="48"/>
        <v>0</v>
      </c>
      <c r="EM22" s="251">
        <f t="shared" si="48"/>
        <v>0</v>
      </c>
      <c r="EN22" s="251">
        <f t="shared" si="48"/>
        <v>0</v>
      </c>
      <c r="EO22" s="251">
        <f t="shared" si="48"/>
        <v>0</v>
      </c>
      <c r="EP22" s="251">
        <f t="shared" si="48"/>
        <v>0</v>
      </c>
      <c r="EQ22" s="251">
        <f t="shared" si="48"/>
        <v>0</v>
      </c>
      <c r="ER22" s="251">
        <f t="shared" si="48"/>
        <v>0</v>
      </c>
      <c r="ES22" s="251">
        <f t="shared" si="48"/>
        <v>0</v>
      </c>
      <c r="ET22" s="251">
        <f t="shared" si="48"/>
        <v>0</v>
      </c>
      <c r="EU22" s="251">
        <f t="shared" si="48"/>
        <v>0</v>
      </c>
      <c r="EV22" s="251">
        <f t="shared" si="48"/>
        <v>0</v>
      </c>
      <c r="EW22" s="251">
        <f t="shared" si="48"/>
        <v>0</v>
      </c>
      <c r="EX22" s="251">
        <f t="shared" si="48"/>
        <v>0</v>
      </c>
      <c r="EY22" s="251">
        <f t="shared" si="48"/>
        <v>0</v>
      </c>
      <c r="EZ22" s="251">
        <f t="shared" si="48"/>
        <v>0</v>
      </c>
      <c r="FA22" s="251">
        <f t="shared" si="48"/>
        <v>0</v>
      </c>
      <c r="FB22" s="251">
        <f t="shared" si="48"/>
        <v>0</v>
      </c>
      <c r="FC22" s="251">
        <f t="shared" si="48"/>
        <v>0</v>
      </c>
      <c r="FD22" s="251">
        <f t="shared" si="48"/>
        <v>0</v>
      </c>
      <c r="FE22" s="251">
        <f t="shared" si="48"/>
        <v>0</v>
      </c>
      <c r="FF22" s="251">
        <f t="shared" si="48"/>
        <v>0</v>
      </c>
      <c r="FG22" s="251">
        <f t="shared" si="48"/>
        <v>0</v>
      </c>
      <c r="FH22" s="251">
        <f t="shared" si="48"/>
        <v>0</v>
      </c>
      <c r="FI22" s="251">
        <f t="shared" si="48"/>
        <v>0</v>
      </c>
      <c r="FJ22" s="251">
        <f t="shared" si="48"/>
        <v>0</v>
      </c>
      <c r="FK22" s="251">
        <f t="shared" si="48"/>
        <v>0</v>
      </c>
      <c r="FL22" s="251">
        <f t="shared" si="48"/>
        <v>0</v>
      </c>
      <c r="FM22" s="251">
        <f t="shared" si="48"/>
        <v>0</v>
      </c>
      <c r="FN22" s="251">
        <f t="shared" si="48"/>
        <v>0</v>
      </c>
      <c r="FO22" s="251">
        <f t="shared" si="48"/>
        <v>0</v>
      </c>
      <c r="FP22" s="251">
        <f t="shared" si="48"/>
        <v>0</v>
      </c>
      <c r="FQ22" s="251">
        <f t="shared" si="48"/>
        <v>0</v>
      </c>
      <c r="FR22" s="251">
        <f t="shared" si="48"/>
        <v>0</v>
      </c>
      <c r="FS22" s="251">
        <f t="shared" si="48"/>
        <v>0</v>
      </c>
      <c r="FT22" s="251">
        <f t="shared" si="48"/>
        <v>0</v>
      </c>
      <c r="FU22" s="251">
        <f t="shared" si="48"/>
        <v>0</v>
      </c>
      <c r="FV22" s="251">
        <f t="shared" si="48"/>
        <v>0</v>
      </c>
      <c r="FW22" s="251">
        <f t="shared" si="48"/>
        <v>0</v>
      </c>
      <c r="FX22" s="251">
        <f t="shared" si="48"/>
        <v>0</v>
      </c>
      <c r="FY22" s="251">
        <f t="shared" si="48"/>
        <v>0</v>
      </c>
      <c r="FZ22" s="251">
        <f t="shared" si="48"/>
        <v>0</v>
      </c>
      <c r="GA22" s="251">
        <f t="shared" si="48"/>
        <v>0</v>
      </c>
      <c r="GB22" s="251">
        <f t="shared" si="48"/>
        <v>0</v>
      </c>
      <c r="GC22" s="251">
        <f t="shared" si="48"/>
        <v>0</v>
      </c>
      <c r="GD22" s="251">
        <f t="shared" si="48"/>
        <v>0</v>
      </c>
      <c r="GE22" s="251">
        <f t="shared" si="48"/>
        <v>0</v>
      </c>
      <c r="GF22" s="251">
        <f t="shared" si="48"/>
        <v>0</v>
      </c>
      <c r="GG22" s="251">
        <f t="shared" si="48"/>
        <v>0</v>
      </c>
      <c r="GH22" s="251">
        <f t="shared" si="48"/>
        <v>0</v>
      </c>
      <c r="GI22" s="251">
        <f t="shared" si="48"/>
        <v>0</v>
      </c>
      <c r="GJ22" s="251">
        <f t="shared" si="48"/>
        <v>0</v>
      </c>
      <c r="GK22" s="251">
        <f t="shared" si="48"/>
        <v>0</v>
      </c>
      <c r="GL22" s="251">
        <f t="shared" si="48"/>
        <v>0</v>
      </c>
      <c r="GM22" s="251">
        <f t="shared" si="48"/>
        <v>0</v>
      </c>
      <c r="GN22" s="251">
        <f t="shared" ref="GN22:IY22" si="49">GN15+GN20</f>
        <v>0</v>
      </c>
      <c r="GO22" s="251">
        <f t="shared" si="49"/>
        <v>0</v>
      </c>
      <c r="GP22" s="251">
        <f t="shared" si="49"/>
        <v>0</v>
      </c>
      <c r="GQ22" s="251">
        <f t="shared" si="49"/>
        <v>0</v>
      </c>
      <c r="GR22" s="251">
        <f t="shared" si="49"/>
        <v>0</v>
      </c>
      <c r="GS22" s="251">
        <f t="shared" si="49"/>
        <v>0</v>
      </c>
      <c r="GT22" s="251">
        <f t="shared" si="49"/>
        <v>0</v>
      </c>
      <c r="GU22" s="251">
        <f t="shared" si="49"/>
        <v>0</v>
      </c>
      <c r="GV22" s="251">
        <f t="shared" si="49"/>
        <v>0</v>
      </c>
      <c r="GW22" s="251">
        <f t="shared" si="49"/>
        <v>0</v>
      </c>
      <c r="GX22" s="251">
        <f t="shared" si="49"/>
        <v>0</v>
      </c>
      <c r="GY22" s="251">
        <f t="shared" si="49"/>
        <v>0</v>
      </c>
      <c r="GZ22" s="251">
        <f t="shared" si="49"/>
        <v>0</v>
      </c>
      <c r="HA22" s="251">
        <f t="shared" si="49"/>
        <v>0</v>
      </c>
      <c r="HB22" s="251">
        <f t="shared" si="49"/>
        <v>0</v>
      </c>
      <c r="HC22" s="251">
        <f t="shared" si="49"/>
        <v>0</v>
      </c>
      <c r="HD22" s="251">
        <f t="shared" si="49"/>
        <v>0</v>
      </c>
      <c r="HE22" s="251">
        <f t="shared" si="49"/>
        <v>0</v>
      </c>
      <c r="HF22" s="251">
        <f t="shared" si="49"/>
        <v>0</v>
      </c>
      <c r="HG22" s="251">
        <f t="shared" si="49"/>
        <v>0</v>
      </c>
      <c r="HH22" s="251">
        <f t="shared" si="49"/>
        <v>0</v>
      </c>
      <c r="HI22" s="251">
        <f t="shared" si="49"/>
        <v>0</v>
      </c>
      <c r="HJ22" s="251">
        <f t="shared" si="49"/>
        <v>0</v>
      </c>
      <c r="HK22" s="251">
        <f t="shared" si="49"/>
        <v>0</v>
      </c>
      <c r="HL22" s="251">
        <f t="shared" si="49"/>
        <v>0</v>
      </c>
      <c r="HM22" s="251">
        <f t="shared" si="49"/>
        <v>0</v>
      </c>
      <c r="HN22" s="251">
        <f t="shared" si="49"/>
        <v>0</v>
      </c>
      <c r="HO22" s="251">
        <f t="shared" si="49"/>
        <v>0</v>
      </c>
      <c r="HP22" s="251">
        <f t="shared" si="49"/>
        <v>0</v>
      </c>
      <c r="HQ22" s="251">
        <f t="shared" si="49"/>
        <v>0</v>
      </c>
      <c r="HR22" s="251">
        <f t="shared" si="49"/>
        <v>0</v>
      </c>
      <c r="HS22" s="251">
        <f t="shared" si="49"/>
        <v>0</v>
      </c>
      <c r="HT22" s="251">
        <f t="shared" si="49"/>
        <v>0</v>
      </c>
      <c r="HU22" s="251">
        <f t="shared" si="49"/>
        <v>0</v>
      </c>
      <c r="HV22" s="251">
        <f t="shared" si="49"/>
        <v>0</v>
      </c>
      <c r="HW22" s="251">
        <f t="shared" si="49"/>
        <v>0</v>
      </c>
      <c r="HX22" s="251">
        <f t="shared" si="49"/>
        <v>0</v>
      </c>
      <c r="HY22" s="251">
        <f t="shared" si="49"/>
        <v>0</v>
      </c>
      <c r="HZ22" s="251">
        <f t="shared" si="49"/>
        <v>0</v>
      </c>
      <c r="IA22" s="251">
        <f t="shared" si="49"/>
        <v>0</v>
      </c>
      <c r="IB22" s="251">
        <f t="shared" si="49"/>
        <v>0</v>
      </c>
      <c r="IC22" s="251">
        <f t="shared" si="49"/>
        <v>0</v>
      </c>
      <c r="ID22" s="251">
        <f t="shared" si="49"/>
        <v>0</v>
      </c>
      <c r="IE22" s="251">
        <f t="shared" si="49"/>
        <v>0</v>
      </c>
      <c r="IF22" s="251">
        <f t="shared" si="49"/>
        <v>0</v>
      </c>
      <c r="IG22" s="251">
        <f t="shared" si="49"/>
        <v>0</v>
      </c>
      <c r="IH22" s="251">
        <f t="shared" si="49"/>
        <v>0</v>
      </c>
      <c r="II22" s="251">
        <f t="shared" si="49"/>
        <v>0</v>
      </c>
      <c r="IJ22" s="251">
        <f t="shared" si="49"/>
        <v>0</v>
      </c>
      <c r="IK22" s="251">
        <f t="shared" si="49"/>
        <v>0</v>
      </c>
      <c r="IL22" s="251">
        <f t="shared" si="49"/>
        <v>0</v>
      </c>
      <c r="IM22" s="251">
        <f t="shared" si="49"/>
        <v>0</v>
      </c>
      <c r="IN22" s="251">
        <f t="shared" si="49"/>
        <v>0</v>
      </c>
      <c r="IO22" s="251">
        <f t="shared" si="49"/>
        <v>0</v>
      </c>
      <c r="IP22" s="251">
        <f t="shared" si="49"/>
        <v>0</v>
      </c>
      <c r="IQ22" s="251">
        <f t="shared" si="49"/>
        <v>0</v>
      </c>
      <c r="IR22" s="251">
        <f t="shared" si="49"/>
        <v>0</v>
      </c>
      <c r="IS22" s="251">
        <f t="shared" si="49"/>
        <v>0</v>
      </c>
      <c r="IT22" s="251">
        <f t="shared" si="49"/>
        <v>0</v>
      </c>
      <c r="IU22" s="251">
        <f t="shared" si="49"/>
        <v>0</v>
      </c>
      <c r="IV22" s="251">
        <f t="shared" si="49"/>
        <v>0</v>
      </c>
      <c r="IW22" s="251">
        <f t="shared" si="49"/>
        <v>0</v>
      </c>
      <c r="IX22" s="251">
        <f t="shared" si="49"/>
        <v>0</v>
      </c>
      <c r="IY22" s="251">
        <f t="shared" si="49"/>
        <v>0</v>
      </c>
      <c r="IZ22" s="251">
        <f t="shared" ref="IZ22:KQ22" si="50">IZ15+IZ20</f>
        <v>0</v>
      </c>
      <c r="JA22" s="251">
        <f t="shared" si="50"/>
        <v>0</v>
      </c>
      <c r="JB22" s="251">
        <f t="shared" si="50"/>
        <v>0</v>
      </c>
      <c r="JC22" s="251">
        <f t="shared" si="50"/>
        <v>0</v>
      </c>
      <c r="JD22" s="251">
        <f t="shared" si="50"/>
        <v>0</v>
      </c>
      <c r="JE22" s="251">
        <f t="shared" si="50"/>
        <v>0</v>
      </c>
      <c r="JF22" s="251">
        <f t="shared" si="50"/>
        <v>0</v>
      </c>
      <c r="JG22" s="251">
        <f t="shared" si="50"/>
        <v>0</v>
      </c>
      <c r="JH22" s="251">
        <f t="shared" si="50"/>
        <v>0</v>
      </c>
      <c r="JI22" s="251">
        <f t="shared" si="50"/>
        <v>0</v>
      </c>
      <c r="JJ22" s="251">
        <f t="shared" si="50"/>
        <v>0</v>
      </c>
      <c r="JK22" s="251">
        <f t="shared" si="50"/>
        <v>0</v>
      </c>
      <c r="JL22" s="251">
        <f t="shared" si="50"/>
        <v>0</v>
      </c>
      <c r="JM22" s="251">
        <f t="shared" si="50"/>
        <v>0</v>
      </c>
      <c r="JN22" s="251">
        <f t="shared" si="50"/>
        <v>0</v>
      </c>
      <c r="JO22" s="251">
        <f t="shared" si="50"/>
        <v>0</v>
      </c>
      <c r="JP22" s="251">
        <f t="shared" si="50"/>
        <v>0</v>
      </c>
      <c r="JQ22" s="251">
        <f t="shared" si="50"/>
        <v>0</v>
      </c>
      <c r="JR22" s="251">
        <f t="shared" si="50"/>
        <v>0</v>
      </c>
      <c r="JS22" s="251">
        <f t="shared" si="50"/>
        <v>0</v>
      </c>
      <c r="JT22" s="251">
        <f t="shared" si="50"/>
        <v>0</v>
      </c>
      <c r="JU22" s="251">
        <f t="shared" si="50"/>
        <v>0</v>
      </c>
      <c r="JV22" s="251">
        <f t="shared" si="50"/>
        <v>0</v>
      </c>
      <c r="JW22" s="251">
        <f t="shared" si="50"/>
        <v>0</v>
      </c>
      <c r="JX22" s="251">
        <f t="shared" si="50"/>
        <v>0</v>
      </c>
      <c r="JY22" s="251">
        <f t="shared" si="50"/>
        <v>0</v>
      </c>
      <c r="JZ22" s="251">
        <f t="shared" si="50"/>
        <v>0</v>
      </c>
      <c r="KA22" s="251">
        <f t="shared" si="50"/>
        <v>0</v>
      </c>
      <c r="KB22" s="251">
        <f t="shared" si="50"/>
        <v>0</v>
      </c>
      <c r="KC22" s="251">
        <f t="shared" si="50"/>
        <v>0</v>
      </c>
      <c r="KD22" s="251">
        <f t="shared" si="50"/>
        <v>0</v>
      </c>
      <c r="KE22" s="251">
        <f t="shared" si="50"/>
        <v>0</v>
      </c>
      <c r="KF22" s="251">
        <f t="shared" si="50"/>
        <v>0</v>
      </c>
      <c r="KG22" s="251">
        <f t="shared" si="50"/>
        <v>0</v>
      </c>
      <c r="KH22" s="251">
        <f t="shared" si="50"/>
        <v>0</v>
      </c>
      <c r="KI22" s="251">
        <f t="shared" si="50"/>
        <v>0</v>
      </c>
      <c r="KJ22" s="251">
        <f t="shared" si="50"/>
        <v>0</v>
      </c>
      <c r="KK22" s="251">
        <f t="shared" si="50"/>
        <v>0</v>
      </c>
      <c r="KL22" s="251">
        <f t="shared" si="50"/>
        <v>0</v>
      </c>
      <c r="KM22" s="251">
        <f t="shared" si="50"/>
        <v>0</v>
      </c>
      <c r="KN22" s="251">
        <f t="shared" si="50"/>
        <v>0</v>
      </c>
      <c r="KO22" s="251">
        <f t="shared" si="50"/>
        <v>0</v>
      </c>
      <c r="KP22" s="251">
        <f t="shared" si="50"/>
        <v>0</v>
      </c>
      <c r="KQ22" s="251">
        <f t="shared" si="50"/>
        <v>0</v>
      </c>
    </row>
    <row r="23" spans="2:303" x14ac:dyDescent="0.35">
      <c r="B23" s="252"/>
      <c r="C23" s="241"/>
      <c r="D23" s="253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</row>
    <row r="24" spans="2:303" x14ac:dyDescent="0.35">
      <c r="B24" s="289" t="s">
        <v>117</v>
      </c>
      <c r="C24" s="241">
        <f t="shared" ref="C24:C31" si="51">SUM(D24:KQ24)</f>
        <v>0</v>
      </c>
      <c r="D24" s="255">
        <f>'Dashboard (2)'!F24</f>
        <v>0</v>
      </c>
      <c r="E24" s="255"/>
      <c r="F24" s="255"/>
      <c r="G24" s="255"/>
      <c r="H24" s="255"/>
      <c r="I24" s="255"/>
      <c r="J24" s="255"/>
      <c r="K24" s="255"/>
      <c r="L24" s="255"/>
      <c r="M24" s="255"/>
      <c r="N24" s="255"/>
      <c r="O24" s="255"/>
      <c r="P24" s="255"/>
      <c r="Q24" s="255"/>
      <c r="R24" s="255"/>
      <c r="S24" s="255"/>
      <c r="T24" s="255"/>
      <c r="U24" s="255"/>
      <c r="V24" s="255"/>
      <c r="W24" s="255"/>
      <c r="X24" s="255"/>
      <c r="Y24" s="255"/>
      <c r="Z24" s="255"/>
      <c r="AA24" s="255"/>
      <c r="AB24" s="255"/>
      <c r="AC24" s="255"/>
      <c r="AD24" s="255"/>
      <c r="AE24" s="255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255"/>
      <c r="AZ24" s="255"/>
      <c r="BA24" s="255"/>
      <c r="BB24" s="255"/>
      <c r="BC24" s="255"/>
      <c r="BD24" s="255"/>
      <c r="BE24" s="255"/>
      <c r="BF24" s="255"/>
      <c r="BG24" s="255"/>
      <c r="BH24" s="255"/>
      <c r="BI24" s="255"/>
      <c r="BJ24" s="255"/>
      <c r="BK24" s="255"/>
      <c r="BL24" s="255"/>
      <c r="BM24" s="255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55"/>
      <c r="BY24" s="255"/>
      <c r="BZ24" s="255"/>
      <c r="CA24" s="255"/>
      <c r="CB24" s="255"/>
      <c r="CC24" s="255"/>
      <c r="CD24" s="255"/>
      <c r="CE24" s="255"/>
      <c r="CF24" s="255"/>
      <c r="CG24" s="255"/>
      <c r="CH24" s="255"/>
      <c r="CI24" s="255"/>
      <c r="CJ24" s="255"/>
      <c r="CK24" s="255"/>
      <c r="CL24" s="255"/>
      <c r="CM24" s="255"/>
      <c r="CN24" s="255"/>
      <c r="CO24" s="255"/>
      <c r="CP24" s="255"/>
      <c r="CQ24" s="255"/>
      <c r="CR24" s="255"/>
      <c r="CS24" s="255"/>
      <c r="CT24" s="255"/>
      <c r="CU24" s="255"/>
      <c r="CV24" s="255"/>
      <c r="CW24" s="255"/>
      <c r="CX24" s="255"/>
      <c r="CY24" s="255"/>
      <c r="CZ24" s="255"/>
      <c r="DA24" s="255"/>
      <c r="DB24" s="255"/>
      <c r="DC24" s="255"/>
      <c r="DD24" s="255"/>
      <c r="DE24" s="255"/>
      <c r="DF24" s="255"/>
      <c r="DG24" s="255"/>
      <c r="DH24" s="255"/>
      <c r="DI24" s="255"/>
      <c r="DJ24" s="255"/>
      <c r="DK24" s="255"/>
      <c r="DL24" s="255"/>
      <c r="DM24" s="255"/>
      <c r="DN24" s="255"/>
      <c r="DO24" s="255"/>
      <c r="DP24" s="255"/>
      <c r="DQ24" s="255"/>
      <c r="DR24" s="255"/>
      <c r="DS24" s="255"/>
      <c r="DT24" s="255"/>
      <c r="DU24" s="255"/>
      <c r="DV24" s="255"/>
      <c r="DW24" s="255"/>
      <c r="DX24" s="255"/>
      <c r="DY24" s="255"/>
      <c r="DZ24" s="255"/>
      <c r="EA24" s="255"/>
      <c r="EB24" s="255"/>
      <c r="EC24" s="255"/>
      <c r="ED24" s="255"/>
      <c r="EE24" s="255"/>
      <c r="EF24" s="255"/>
      <c r="EG24" s="255"/>
      <c r="EH24" s="255"/>
      <c r="EI24" s="255"/>
      <c r="EJ24" s="255"/>
      <c r="EK24" s="255"/>
      <c r="EL24" s="255"/>
      <c r="EM24" s="255"/>
      <c r="EN24" s="255"/>
      <c r="EO24" s="255"/>
      <c r="EP24" s="255"/>
      <c r="EQ24" s="255"/>
      <c r="ER24" s="255"/>
      <c r="ES24" s="255"/>
      <c r="ET24" s="255"/>
      <c r="EU24" s="255"/>
      <c r="EV24" s="255"/>
      <c r="EW24" s="255"/>
      <c r="EX24" s="255"/>
      <c r="EY24" s="255"/>
      <c r="EZ24" s="255"/>
      <c r="FA24" s="255"/>
      <c r="FB24" s="255"/>
      <c r="FC24" s="255"/>
      <c r="FD24" s="255"/>
      <c r="FE24" s="255"/>
      <c r="FF24" s="255"/>
      <c r="FG24" s="255"/>
      <c r="FH24" s="255"/>
      <c r="FI24" s="255"/>
      <c r="FJ24" s="255"/>
      <c r="FK24" s="255"/>
      <c r="FL24" s="255"/>
      <c r="FM24" s="255"/>
      <c r="FN24" s="255"/>
      <c r="FO24" s="255"/>
      <c r="FP24" s="255"/>
      <c r="FQ24" s="255"/>
      <c r="FR24" s="255"/>
      <c r="FS24" s="255"/>
      <c r="FT24" s="255"/>
      <c r="FU24" s="255"/>
      <c r="FV24" s="255"/>
      <c r="FW24" s="255"/>
      <c r="FX24" s="255"/>
      <c r="FY24" s="255"/>
      <c r="FZ24" s="255"/>
      <c r="GA24" s="255"/>
      <c r="GB24" s="255"/>
      <c r="GC24" s="255"/>
      <c r="GD24" s="255"/>
      <c r="GE24" s="255"/>
      <c r="GF24" s="255"/>
      <c r="GG24" s="255"/>
      <c r="GH24" s="255"/>
      <c r="GI24" s="255"/>
      <c r="GJ24" s="255"/>
      <c r="GK24" s="255"/>
      <c r="GL24" s="255"/>
      <c r="GM24" s="255"/>
      <c r="GN24" s="255"/>
      <c r="GO24" s="255"/>
      <c r="GP24" s="255"/>
      <c r="GQ24" s="255"/>
      <c r="GR24" s="255"/>
      <c r="GS24" s="255"/>
      <c r="GT24" s="255"/>
      <c r="GU24" s="255"/>
      <c r="GV24" s="255"/>
      <c r="GW24" s="255"/>
      <c r="GX24" s="255"/>
      <c r="GY24" s="255"/>
      <c r="GZ24" s="255"/>
      <c r="HA24" s="255"/>
      <c r="HB24" s="255"/>
      <c r="HC24" s="255"/>
      <c r="HD24" s="255"/>
      <c r="HE24" s="255"/>
      <c r="HF24" s="255"/>
      <c r="HG24" s="255"/>
      <c r="HH24" s="255"/>
      <c r="HI24" s="255"/>
      <c r="HJ24" s="255"/>
      <c r="HK24" s="255"/>
      <c r="HL24" s="255"/>
      <c r="HM24" s="255"/>
      <c r="HN24" s="255"/>
      <c r="HO24" s="255"/>
      <c r="HP24" s="255"/>
      <c r="HQ24" s="255"/>
      <c r="HR24" s="255"/>
      <c r="HS24" s="255"/>
      <c r="HT24" s="255"/>
      <c r="HU24" s="255"/>
      <c r="HV24" s="255"/>
      <c r="HW24" s="255"/>
      <c r="HX24" s="255"/>
      <c r="HY24" s="255"/>
      <c r="HZ24" s="255"/>
      <c r="IA24" s="255"/>
      <c r="IB24" s="255"/>
      <c r="IC24" s="255"/>
      <c r="ID24" s="255"/>
      <c r="IE24" s="255"/>
      <c r="IF24" s="255"/>
      <c r="IG24" s="255"/>
      <c r="IH24" s="255"/>
      <c r="II24" s="255"/>
      <c r="IJ24" s="255"/>
      <c r="IK24" s="255"/>
      <c r="IL24" s="255"/>
      <c r="IM24" s="255"/>
      <c r="IN24" s="255"/>
      <c r="IO24" s="255"/>
      <c r="IP24" s="255"/>
      <c r="IQ24" s="255"/>
      <c r="IR24" s="255"/>
      <c r="IS24" s="255"/>
      <c r="IT24" s="255"/>
      <c r="IU24" s="255"/>
      <c r="IV24" s="255"/>
      <c r="IW24" s="255"/>
      <c r="IX24" s="255"/>
      <c r="IY24" s="255"/>
      <c r="IZ24" s="255"/>
      <c r="JA24" s="255"/>
      <c r="JB24" s="255"/>
      <c r="JC24" s="255"/>
      <c r="JD24" s="255"/>
      <c r="JE24" s="255"/>
      <c r="JF24" s="255"/>
      <c r="JG24" s="255"/>
      <c r="JH24" s="255"/>
      <c r="JI24" s="255"/>
      <c r="JJ24" s="255"/>
      <c r="JK24" s="255"/>
      <c r="JL24" s="255"/>
      <c r="JM24" s="255"/>
      <c r="JN24" s="255"/>
      <c r="JO24" s="255"/>
      <c r="JP24" s="255"/>
      <c r="JQ24" s="255"/>
      <c r="JR24" s="255"/>
      <c r="JS24" s="255"/>
      <c r="JT24" s="255"/>
      <c r="JU24" s="255"/>
      <c r="JV24" s="255"/>
      <c r="JW24" s="255"/>
      <c r="JX24" s="255"/>
      <c r="JY24" s="255"/>
      <c r="JZ24" s="255"/>
      <c r="KA24" s="255"/>
      <c r="KB24" s="255"/>
      <c r="KC24" s="255"/>
      <c r="KD24" s="255"/>
      <c r="KE24" s="255"/>
      <c r="KF24" s="255"/>
      <c r="KG24" s="255"/>
      <c r="KH24" s="255"/>
      <c r="KI24" s="255"/>
      <c r="KJ24" s="255"/>
      <c r="KK24" s="255"/>
      <c r="KL24" s="255"/>
      <c r="KM24" s="255"/>
      <c r="KN24" s="255"/>
      <c r="KO24" s="255"/>
      <c r="KP24" s="255"/>
      <c r="KQ24" s="255"/>
    </row>
    <row r="25" spans="2:303" x14ac:dyDescent="0.35">
      <c r="B25" s="289" t="s">
        <v>118</v>
      </c>
      <c r="C25" s="241">
        <f t="shared" si="51"/>
        <v>10013100000</v>
      </c>
      <c r="D25" s="255">
        <f>5006550000*2</f>
        <v>10013100000</v>
      </c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6"/>
      <c r="Y25" s="256"/>
      <c r="Z25" s="256"/>
      <c r="AA25" s="256"/>
      <c r="AB25" s="256"/>
      <c r="AC25" s="256"/>
      <c r="AD25" s="256"/>
      <c r="AE25" s="256"/>
      <c r="AF25" s="256"/>
      <c r="AG25" s="256"/>
      <c r="AH25" s="256"/>
      <c r="AI25" s="256"/>
      <c r="AJ25" s="256"/>
      <c r="AK25" s="256"/>
      <c r="AL25" s="256"/>
      <c r="AM25" s="256"/>
      <c r="AN25" s="256"/>
      <c r="AO25" s="256"/>
      <c r="AP25" s="256"/>
    </row>
    <row r="26" spans="2:303" x14ac:dyDescent="0.35">
      <c r="B26" s="289" t="s">
        <v>119</v>
      </c>
      <c r="C26" s="241">
        <f t="shared" si="51"/>
        <v>0</v>
      </c>
      <c r="D26" s="257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</row>
    <row r="27" spans="2:303" x14ac:dyDescent="0.35">
      <c r="B27" s="289" t="s">
        <v>120</v>
      </c>
      <c r="C27" s="241">
        <f t="shared" si="51"/>
        <v>0</v>
      </c>
      <c r="D27" s="247" cm="1">
        <f t="array" ref="D27">TRANSPOSE(SUMIFS(Графики!$K$7:$K$306,Графики!$D$7:$D$306,'DCF (2)'!D$6))*0</f>
        <v>0</v>
      </c>
      <c r="E27" s="247" cm="1">
        <f t="array" ref="E27">TRANSPOSE(SUMIFS(Графики!$K$7:$K$306,Графики!$D$7:$D$306,'DCF (2)'!E$6))*0</f>
        <v>0</v>
      </c>
      <c r="F27" s="247" cm="1">
        <f t="array" ref="F27">TRANSPOSE(SUMIFS(Графики!$K$7:$K$306,Графики!$D$7:$D$306,'DCF (2)'!F$6))*0</f>
        <v>0</v>
      </c>
      <c r="G27" s="247" cm="1">
        <f t="array" ref="G27">TRANSPOSE(SUMIFS(Графики!$K$7:$K$306,Графики!$D$7:$D$306,'DCF (2)'!G$6))*0</f>
        <v>0</v>
      </c>
      <c r="H27" s="247" cm="1">
        <f t="array" ref="H27">TRANSPOSE(SUMIFS(Графики!$K$7:$K$306,Графики!$D$7:$D$306,'DCF (2)'!H$6))*0</f>
        <v>0</v>
      </c>
      <c r="I27" s="247" cm="1">
        <f t="array" ref="I27">TRANSPOSE(SUMIFS(Графики!$K$7:$K$306,Графики!$D$7:$D$306,'DCF (2)'!I$6))*0</f>
        <v>0</v>
      </c>
      <c r="J27" s="247" cm="1">
        <f t="array" ref="J27">TRANSPOSE(SUMIFS(Графики!$K$7:$K$306,Графики!$D$7:$D$306,'DCF (2)'!J$6))*0</f>
        <v>0</v>
      </c>
      <c r="K27" s="247" cm="1">
        <f t="array" ref="K27">TRANSPOSE(SUMIFS(Графики!$K$7:$K$306,Графики!$D$7:$D$306,'DCF (2)'!K$6))*0</f>
        <v>0</v>
      </c>
      <c r="L27" s="247" cm="1">
        <f t="array" ref="L27">TRANSPOSE(SUMIFS(Графики!$K$7:$K$306,Графики!$D$7:$D$306,'DCF (2)'!L$6))*0</f>
        <v>0</v>
      </c>
      <c r="M27" s="247" cm="1">
        <f t="array" ref="M27">TRANSPOSE(SUMIFS(Графики!$K$7:$K$306,Графики!$D$7:$D$306,'DCF (2)'!M$6))*0</f>
        <v>0</v>
      </c>
      <c r="N27" s="247" cm="1">
        <f t="array" ref="N27">TRANSPOSE(SUMIFS(Графики!$K$7:$K$306,Графики!$D$7:$D$306,'DCF (2)'!N$6))*0</f>
        <v>0</v>
      </c>
      <c r="O27" s="247" cm="1">
        <f t="array" ref="O27">TRANSPOSE(SUMIFS(Графики!$K$7:$K$306,Графики!$D$7:$D$306,'DCF (2)'!O$6))*0</f>
        <v>0</v>
      </c>
      <c r="P27" s="247" cm="1">
        <f t="array" ref="P27">TRANSPOSE(SUMIFS(Графики!$K$7:$K$306,Графики!$D$7:$D$306,'DCF (2)'!P$6))*0</f>
        <v>0</v>
      </c>
      <c r="Q27" s="247" cm="1">
        <f t="array" ref="Q27">TRANSPOSE(SUMIFS(Графики!$K$7:$K$306,Графики!$D$7:$D$306,'DCF (2)'!Q$6))*0</f>
        <v>0</v>
      </c>
      <c r="R27" s="247" cm="1">
        <f t="array" ref="R27">TRANSPOSE(SUMIFS(Графики!$K$7:$K$306,Графики!$D$7:$D$306,'DCF (2)'!R$6))*0</f>
        <v>0</v>
      </c>
      <c r="S27" s="247" cm="1">
        <f t="array" ref="S27">TRANSPOSE(SUMIFS(Графики!$K$7:$K$306,Графики!$D$7:$D$306,'DCF (2)'!S$6))*0</f>
        <v>0</v>
      </c>
      <c r="T27" s="247" cm="1">
        <f t="array" ref="T27">TRANSPOSE(SUMIFS(Графики!$K$7:$K$306,Графики!$D$7:$D$306,'DCF (2)'!T$6))*0</f>
        <v>0</v>
      </c>
      <c r="U27" s="247" cm="1">
        <f t="array" ref="U27">TRANSPOSE(SUMIFS(Графики!$K$7:$K$306,Графики!$D$7:$D$306,'DCF (2)'!U$6))*0</f>
        <v>0</v>
      </c>
      <c r="V27" s="247" cm="1">
        <f t="array" ref="V27">TRANSPOSE(SUMIFS(Графики!$K$7:$K$306,Графики!$D$7:$D$306,'DCF (2)'!V$6))*0</f>
        <v>0</v>
      </c>
      <c r="W27" s="247" cm="1">
        <f t="array" ref="W27">TRANSPOSE(SUMIFS(Графики!$K$7:$K$306,Графики!$D$7:$D$306,'DCF (2)'!W$6))*0</f>
        <v>0</v>
      </c>
      <c r="X27" s="247" cm="1">
        <f t="array" ref="X27">TRANSPOSE(SUMIFS(Графики!$K$7:$K$306,Графики!$D$7:$D$306,'DCF (2)'!X$6))*0</f>
        <v>0</v>
      </c>
      <c r="Y27" s="247" cm="1">
        <f t="array" ref="Y27">TRANSPOSE(SUMIFS(Графики!$K$7:$K$306,Графики!$D$7:$D$306,'DCF (2)'!Y$6))*0</f>
        <v>0</v>
      </c>
      <c r="Z27" s="247" cm="1">
        <f t="array" ref="Z27">TRANSPOSE(SUMIFS(Графики!$K$7:$K$306,Графики!$D$7:$D$306,'DCF (2)'!Z$6))*0</f>
        <v>0</v>
      </c>
      <c r="AA27" s="247" cm="1">
        <f t="array" ref="AA27">TRANSPOSE(SUMIFS(Графики!$K$7:$K$306,Графики!$D$7:$D$306,'DCF (2)'!AA$6))*0</f>
        <v>0</v>
      </c>
      <c r="AB27" s="247" cm="1">
        <f t="array" ref="AB27">TRANSPOSE(SUMIFS(Графики!$K$7:$K$306,Графики!$D$7:$D$306,'DCF (2)'!AB$6))*0</f>
        <v>0</v>
      </c>
      <c r="AC27" s="247" cm="1">
        <f t="array" ref="AC27">TRANSPOSE(SUMIFS(Графики!$K$7:$K$306,Графики!$D$7:$D$306,'DCF (2)'!AC$6))*0</f>
        <v>0</v>
      </c>
      <c r="AD27" s="247" cm="1">
        <f t="array" ref="AD27">TRANSPOSE(SUMIFS(Графики!$K$7:$K$306,Графики!$D$7:$D$306,'DCF (2)'!AD$6))*0</f>
        <v>0</v>
      </c>
      <c r="AE27" s="247" cm="1">
        <f t="array" ref="AE27">TRANSPOSE(SUMIFS(Графики!$K$7:$K$306,Графики!$D$7:$D$306,'DCF (2)'!AE$6))*0</f>
        <v>0</v>
      </c>
      <c r="AF27" s="247" cm="1">
        <f t="array" ref="AF27">TRANSPOSE(SUMIFS(Графики!$K$7:$K$306,Графики!$D$7:$D$306,'DCF (2)'!AF$6))*0</f>
        <v>0</v>
      </c>
      <c r="AG27" s="247" cm="1">
        <f t="array" ref="AG27">TRANSPOSE(SUMIFS(Графики!$K$7:$K$306,Графики!$D$7:$D$306,'DCF (2)'!AG$6))*0</f>
        <v>0</v>
      </c>
      <c r="AH27" s="247" cm="1">
        <f t="array" ref="AH27">TRANSPOSE(SUMIFS(Графики!$K$7:$K$306,Графики!$D$7:$D$306,'DCF (2)'!AH$6))*0</f>
        <v>0</v>
      </c>
      <c r="AI27" s="247" cm="1">
        <f t="array" ref="AI27">TRANSPOSE(SUMIFS(Графики!$K$7:$K$306,Графики!$D$7:$D$306,'DCF (2)'!AI$6))*0</f>
        <v>0</v>
      </c>
      <c r="AJ27" s="247" cm="1">
        <f t="array" ref="AJ27">TRANSPOSE(SUMIFS(Графики!$K$7:$K$306,Графики!$D$7:$D$306,'DCF (2)'!AJ$6))*0</f>
        <v>0</v>
      </c>
      <c r="AK27" s="247" cm="1">
        <f t="array" ref="AK27">TRANSPOSE(SUMIFS(Графики!$K$7:$K$306,Графики!$D$7:$D$306,'DCF (2)'!AK$6))*0</f>
        <v>0</v>
      </c>
      <c r="AL27" s="247" cm="1">
        <f t="array" ref="AL27">TRANSPOSE(SUMIFS(Графики!$K$7:$K$306,Графики!$D$7:$D$306,'DCF (2)'!AL$6))*0</f>
        <v>0</v>
      </c>
      <c r="AM27" s="247" cm="1">
        <f t="array" ref="AM27">TRANSPOSE(SUMIFS(Графики!$K$7:$K$306,Графики!$D$7:$D$306,'DCF (2)'!AM$6))*0</f>
        <v>0</v>
      </c>
      <c r="AN27" s="247" cm="1">
        <f t="array" ref="AN27">TRANSPOSE(SUMIFS(Графики!$K$7:$K$306,Графики!$D$7:$D$306,'DCF (2)'!AN$6))*0</f>
        <v>0</v>
      </c>
      <c r="AO27" s="247" cm="1">
        <f t="array" ref="AO27">TRANSPOSE(SUMIFS(Графики!$K$7:$K$306,Графики!$D$7:$D$306,'DCF (2)'!AO$6))*0</f>
        <v>0</v>
      </c>
      <c r="AP27" s="247" cm="1">
        <f t="array" ref="AP27">TRANSPOSE(SUMIFS(Графики!$K$7:$K$306,Графики!$D$7:$D$306,'DCF (2)'!AP$6))*0</f>
        <v>0</v>
      </c>
      <c r="AQ27" s="247" cm="1">
        <f t="array" ref="AQ27">TRANSPOSE(SUMIFS(Графики!$K$7:$K$306,Графики!$D$7:$D$306,'DCF (2)'!AQ$6))*0</f>
        <v>0</v>
      </c>
      <c r="AR27" s="247" cm="1">
        <f t="array" ref="AR27">TRANSPOSE(SUMIFS(Графики!$K$7:$K$306,Графики!$D$7:$D$306,'DCF (2)'!AR$6))*0</f>
        <v>0</v>
      </c>
      <c r="AS27" s="247" cm="1">
        <f t="array" ref="AS27">TRANSPOSE(SUMIFS(Графики!$K$7:$K$306,Графики!$D$7:$D$306,'DCF (2)'!AS$6))*0</f>
        <v>0</v>
      </c>
      <c r="AT27" s="247" cm="1">
        <f t="array" ref="AT27">TRANSPOSE(SUMIFS(Графики!$K$7:$K$306,Графики!$D$7:$D$306,'DCF (2)'!AT$6))*0</f>
        <v>0</v>
      </c>
      <c r="AU27" s="247" cm="1">
        <f t="array" ref="AU27">TRANSPOSE(SUMIFS(Графики!$K$7:$K$306,Графики!$D$7:$D$306,'DCF (2)'!AU$6))*0</f>
        <v>0</v>
      </c>
      <c r="AV27" s="247" cm="1">
        <f t="array" ref="AV27">TRANSPOSE(SUMIFS(Графики!$K$7:$K$306,Графики!$D$7:$D$306,'DCF (2)'!AV$6))*0</f>
        <v>0</v>
      </c>
      <c r="AW27" s="247" cm="1">
        <f t="array" ref="AW27">TRANSPOSE(SUMIFS(Графики!$K$7:$K$306,Графики!$D$7:$D$306,'DCF (2)'!AW$6))*0</f>
        <v>0</v>
      </c>
      <c r="AX27" s="247" cm="1">
        <f t="array" ref="AX27">TRANSPOSE(SUMIFS(Графики!$K$7:$K$306,Графики!$D$7:$D$306,'DCF (2)'!AX$6))*0</f>
        <v>0</v>
      </c>
      <c r="AY27" s="247" cm="1">
        <f t="array" ref="AY27">TRANSPOSE(SUMIFS(Графики!$K$7:$K$306,Графики!$D$7:$D$306,'DCF (2)'!AY$6))*0</f>
        <v>0</v>
      </c>
      <c r="AZ27" s="247" cm="1">
        <f t="array" ref="AZ27">TRANSPOSE(SUMIFS(Графики!$K$7:$K$306,Графики!$D$7:$D$306,'DCF (2)'!AZ$6))*0</f>
        <v>0</v>
      </c>
      <c r="BA27" s="247" cm="1">
        <f t="array" ref="BA27">TRANSPOSE(SUMIFS(Графики!$K$7:$K$306,Графики!$D$7:$D$306,'DCF (2)'!BA$6))*0</f>
        <v>0</v>
      </c>
      <c r="BB27" s="247" cm="1">
        <f t="array" ref="BB27">TRANSPOSE(SUMIFS(Графики!$K$7:$K$306,Графики!$D$7:$D$306,'DCF (2)'!BB$6))*0</f>
        <v>0</v>
      </c>
      <c r="BC27" s="247" cm="1">
        <f t="array" ref="BC27">TRANSPOSE(SUMIFS(Графики!$K$7:$K$306,Графики!$D$7:$D$306,'DCF (2)'!BC$6))*0</f>
        <v>0</v>
      </c>
      <c r="BD27" s="247" cm="1">
        <f t="array" ref="BD27">TRANSPOSE(SUMIFS(Графики!$K$7:$K$306,Графики!$D$7:$D$306,'DCF (2)'!BD$6))*0</f>
        <v>0</v>
      </c>
      <c r="BE27" s="247" cm="1">
        <f t="array" ref="BE27">TRANSPOSE(SUMIFS(Графики!$K$7:$K$306,Графики!$D$7:$D$306,'DCF (2)'!BE$6))*0</f>
        <v>0</v>
      </c>
      <c r="BF27" s="247" cm="1">
        <f t="array" ref="BF27">TRANSPOSE(SUMIFS(Графики!$K$7:$K$306,Графики!$D$7:$D$306,'DCF (2)'!BF$6))*0</f>
        <v>0</v>
      </c>
      <c r="BG27" s="247" cm="1">
        <f t="array" ref="BG27">TRANSPOSE(SUMIFS(Графики!$K$7:$K$306,Графики!$D$7:$D$306,'DCF (2)'!BG$6))*0</f>
        <v>0</v>
      </c>
      <c r="BH27" s="247" cm="1">
        <f t="array" ref="BH27">TRANSPOSE(SUMIFS(Графики!$K$7:$K$306,Графики!$D$7:$D$306,'DCF (2)'!BH$6))*0</f>
        <v>0</v>
      </c>
      <c r="BI27" s="247" cm="1">
        <f t="array" ref="BI27">TRANSPOSE(SUMIFS(Графики!$K$7:$K$306,Графики!$D$7:$D$306,'DCF (2)'!BI$6))*0</f>
        <v>0</v>
      </c>
      <c r="BJ27" s="247" cm="1">
        <f t="array" ref="BJ27">TRANSPOSE(SUMIFS(Графики!$K$7:$K$306,Графики!$D$7:$D$306,'DCF (2)'!BJ$6))*0</f>
        <v>0</v>
      </c>
      <c r="BK27" s="247" cm="1">
        <f t="array" ref="BK27">TRANSPOSE(SUMIFS(Графики!$K$7:$K$306,Графики!$D$7:$D$306,'DCF (2)'!BK$6))*0</f>
        <v>0</v>
      </c>
      <c r="BL27" s="247" cm="1">
        <f t="array" ref="BL27">TRANSPOSE(SUMIFS(Графики!$K$7:$K$306,Графики!$D$7:$D$306,'DCF (2)'!BL$6))*0</f>
        <v>0</v>
      </c>
      <c r="BM27" s="247" cm="1">
        <f t="array" ref="BM27">TRANSPOSE(SUMIFS(Графики!$K$7:$K$306,Графики!$D$7:$D$306,'DCF (2)'!BM$6))*0</f>
        <v>0</v>
      </c>
      <c r="BN27" s="247" cm="1">
        <f t="array" ref="BN27">TRANSPOSE(SUMIFS(Графики!$K$7:$K$306,Графики!$D$7:$D$306,'DCF (2)'!BN$6))*0</f>
        <v>0</v>
      </c>
      <c r="BO27" s="247" cm="1">
        <f t="array" ref="BO27">TRANSPOSE(SUMIFS(Графики!$K$7:$K$306,Графики!$D$7:$D$306,'DCF (2)'!BO$6))*0</f>
        <v>0</v>
      </c>
      <c r="BP27" s="247" cm="1">
        <f t="array" ref="BP27">TRANSPOSE(SUMIFS(Графики!$K$7:$K$306,Графики!$D$7:$D$306,'DCF (2)'!BP$6))*0</f>
        <v>0</v>
      </c>
      <c r="BQ27" s="247" cm="1">
        <f t="array" ref="BQ27">TRANSPOSE(SUMIFS(Графики!$K$7:$K$306,Графики!$D$7:$D$306,'DCF (2)'!BQ$6))*0</f>
        <v>0</v>
      </c>
      <c r="BR27" s="247" cm="1">
        <f t="array" ref="BR27">TRANSPOSE(SUMIFS(Графики!$K$7:$K$306,Графики!$D$7:$D$306,'DCF (2)'!BR$6))*0</f>
        <v>0</v>
      </c>
      <c r="BS27" s="247" cm="1">
        <f t="array" ref="BS27">TRANSPOSE(SUMIFS(Графики!$K$7:$K$306,Графики!$D$7:$D$306,'DCF (2)'!BS$6))*0</f>
        <v>0</v>
      </c>
      <c r="BT27" s="247" cm="1">
        <f t="array" ref="BT27">TRANSPOSE(SUMIFS(Графики!$K$7:$K$306,Графики!$D$7:$D$306,'DCF (2)'!BT$6))*0</f>
        <v>0</v>
      </c>
      <c r="BU27" s="247" cm="1">
        <f t="array" ref="BU27">TRANSPOSE(SUMIFS(Графики!$K$7:$K$306,Графики!$D$7:$D$306,'DCF (2)'!BU$6))*0</f>
        <v>0</v>
      </c>
      <c r="BV27" s="247" cm="1">
        <f t="array" ref="BV27">TRANSPOSE(SUMIFS(Графики!$K$7:$K$306,Графики!$D$7:$D$306,'DCF (2)'!BV$6))*0</f>
        <v>0</v>
      </c>
      <c r="BW27" s="247" cm="1">
        <f t="array" ref="BW27">TRANSPOSE(SUMIFS(Графики!$K$7:$K$306,Графики!$D$7:$D$306,'DCF (2)'!BW$6))*0</f>
        <v>0</v>
      </c>
      <c r="BX27" s="247" cm="1">
        <f t="array" ref="BX27">TRANSPOSE(SUMIFS(Графики!$K$7:$K$306,Графики!$D$7:$D$306,'DCF (2)'!BX$6))*0</f>
        <v>0</v>
      </c>
      <c r="BY27" s="247" cm="1">
        <f t="array" ref="BY27">TRANSPOSE(SUMIFS(Графики!$K$7:$K$306,Графики!$D$7:$D$306,'DCF (2)'!BY$6))*0</f>
        <v>0</v>
      </c>
      <c r="BZ27" s="247" cm="1">
        <f t="array" ref="BZ27">TRANSPOSE(SUMIFS(Графики!$K$7:$K$306,Графики!$D$7:$D$306,'DCF (2)'!BZ$6))*0</f>
        <v>0</v>
      </c>
      <c r="CA27" s="247" cm="1">
        <f t="array" ref="CA27">TRANSPOSE(SUMIFS(Графики!$K$7:$K$306,Графики!$D$7:$D$306,'DCF (2)'!CA$6))*0</f>
        <v>0</v>
      </c>
      <c r="CB27" s="247" cm="1">
        <f t="array" ref="CB27">TRANSPOSE(SUMIFS(Графики!$K$7:$K$306,Графики!$D$7:$D$306,'DCF (2)'!CB$6))*0</f>
        <v>0</v>
      </c>
      <c r="CC27" s="247" cm="1">
        <f t="array" ref="CC27">TRANSPOSE(SUMIFS(Графики!$K$7:$K$306,Графики!$D$7:$D$306,'DCF (2)'!CC$6))*0</f>
        <v>0</v>
      </c>
      <c r="CD27" s="247" cm="1">
        <f t="array" ref="CD27">TRANSPOSE(SUMIFS(Графики!$K$7:$K$306,Графики!$D$7:$D$306,'DCF (2)'!CD$6))*0</f>
        <v>0</v>
      </c>
      <c r="CE27" s="247" cm="1">
        <f t="array" ref="CE27">TRANSPOSE(SUMIFS(Графики!$K$7:$K$306,Графики!$D$7:$D$306,'DCF (2)'!CE$6))*0</f>
        <v>0</v>
      </c>
      <c r="CF27" s="247" cm="1">
        <f t="array" ref="CF27">TRANSPOSE(SUMIFS(Графики!$K$7:$K$306,Графики!$D$7:$D$306,'DCF (2)'!CF$6))*0</f>
        <v>0</v>
      </c>
      <c r="CG27" s="247" cm="1">
        <f t="array" ref="CG27">TRANSPOSE(SUMIFS(Графики!$K$7:$K$306,Графики!$D$7:$D$306,'DCF (2)'!CG$6))*0</f>
        <v>0</v>
      </c>
      <c r="CH27" s="247" cm="1">
        <f t="array" ref="CH27">TRANSPOSE(SUMIFS(Графики!$K$7:$K$306,Графики!$D$7:$D$306,'DCF (2)'!CH$6))*0</f>
        <v>0</v>
      </c>
      <c r="CI27" s="247" cm="1">
        <f t="array" ref="CI27">TRANSPOSE(SUMIFS(Графики!$K$7:$K$306,Графики!$D$7:$D$306,'DCF (2)'!CI$6))*0</f>
        <v>0</v>
      </c>
      <c r="CJ27" s="247" cm="1">
        <f t="array" ref="CJ27">TRANSPOSE(SUMIFS(Графики!$K$7:$K$306,Графики!$D$7:$D$306,'DCF (2)'!CJ$6))*0</f>
        <v>0</v>
      </c>
      <c r="CK27" s="247" cm="1">
        <f t="array" ref="CK27">TRANSPOSE(SUMIFS(Графики!$K$7:$K$306,Графики!$D$7:$D$306,'DCF (2)'!CK$6))*0</f>
        <v>0</v>
      </c>
      <c r="CL27" s="247" cm="1">
        <f t="array" ref="CL27">TRANSPOSE(SUMIFS(Графики!$K$7:$K$306,Графики!$D$7:$D$306,'DCF (2)'!CL$6))*0</f>
        <v>0</v>
      </c>
      <c r="CM27" s="247" cm="1">
        <f t="array" ref="CM27">TRANSPOSE(SUMIFS(Графики!$K$7:$K$306,Графики!$D$7:$D$306,'DCF (2)'!CM$6))*0</f>
        <v>0</v>
      </c>
      <c r="CN27" s="247" cm="1">
        <f t="array" ref="CN27">TRANSPOSE(SUMIFS(Графики!$K$7:$K$306,Графики!$D$7:$D$306,'DCF (2)'!CN$6))*0</f>
        <v>0</v>
      </c>
      <c r="CO27" s="247" cm="1">
        <f t="array" ref="CO27">TRANSPOSE(SUMIFS(Графики!$K$7:$K$306,Графики!$D$7:$D$306,'DCF (2)'!CO$6))</f>
        <v>0</v>
      </c>
      <c r="CP27" s="247" cm="1">
        <f t="array" ref="CP27">TRANSPOSE(SUMIFS(Графики!$K$7:$K$306,Графики!$D$7:$D$306,'DCF (2)'!CP$6))</f>
        <v>0</v>
      </c>
      <c r="CQ27" s="247" cm="1">
        <f t="array" ref="CQ27">TRANSPOSE(SUMIFS(Графики!$K$7:$K$306,Графики!$D$7:$D$306,'DCF (2)'!CQ$6))</f>
        <v>0</v>
      </c>
      <c r="CR27" s="247" cm="1">
        <f t="array" ref="CR27">TRANSPOSE(SUMIFS(Графики!$K$7:$K$306,Графики!$D$7:$D$306,'DCF (2)'!CR$6))</f>
        <v>0</v>
      </c>
      <c r="CS27" s="247" cm="1">
        <f t="array" ref="CS27">TRANSPOSE(SUMIFS(Графики!$K$7:$K$306,Графики!$D$7:$D$306,'DCF (2)'!CS$6))</f>
        <v>0</v>
      </c>
      <c r="CT27" s="247" cm="1">
        <f t="array" ref="CT27">TRANSPOSE(SUMIFS(Графики!$K$7:$K$306,Графики!$D$7:$D$306,'DCF (2)'!CT$6))</f>
        <v>0</v>
      </c>
      <c r="CU27" s="247" cm="1">
        <f t="array" ref="CU27">TRANSPOSE(SUMIFS(Графики!$K$7:$K$306,Графики!$D$7:$D$306,'DCF (2)'!CU$6))</f>
        <v>0</v>
      </c>
      <c r="CV27" s="247" cm="1">
        <f t="array" ref="CV27">TRANSPOSE(SUMIFS(Графики!$K$7:$K$306,Графики!$D$7:$D$306,'DCF (2)'!CV$6))</f>
        <v>0</v>
      </c>
      <c r="CW27" s="247" cm="1">
        <f t="array" ref="CW27">TRANSPOSE(SUMIFS(Графики!$K$7:$K$306,Графики!$D$7:$D$306,'DCF (2)'!CW$6))</f>
        <v>0</v>
      </c>
      <c r="CX27" s="247" cm="1">
        <f t="array" ref="CX27">TRANSPOSE(SUMIFS(Графики!$K$7:$K$306,Графики!$D$7:$D$306,'DCF (2)'!CX$6))</f>
        <v>0</v>
      </c>
      <c r="CY27" s="247" cm="1">
        <f t="array" ref="CY27">TRANSPOSE(SUMIFS(Графики!$K$7:$K$306,Графики!$D$7:$D$306,'DCF (2)'!CY$6))</f>
        <v>0</v>
      </c>
      <c r="CZ27" s="247" cm="1">
        <f t="array" ref="CZ27">TRANSPOSE(SUMIFS(Графики!$K$7:$K$306,Графики!$D$7:$D$306,'DCF (2)'!CZ$6))</f>
        <v>0</v>
      </c>
      <c r="DA27" s="247" cm="1">
        <f t="array" ref="DA27">TRANSPOSE(SUMIFS(Графики!$K$7:$K$306,Графики!$D$7:$D$306,'DCF (2)'!DA$6))</f>
        <v>0</v>
      </c>
      <c r="DB27" s="247" cm="1">
        <f t="array" ref="DB27">TRANSPOSE(SUMIFS(Графики!$K$7:$K$306,Графики!$D$7:$D$306,'DCF (2)'!DB$6))</f>
        <v>0</v>
      </c>
      <c r="DC27" s="247" cm="1">
        <f t="array" ref="DC27">TRANSPOSE(SUMIFS(Графики!$K$7:$K$306,Графики!$D$7:$D$306,'DCF (2)'!DC$6))</f>
        <v>0</v>
      </c>
      <c r="DD27" s="247" cm="1">
        <f t="array" ref="DD27">TRANSPOSE(SUMIFS(Графики!$K$7:$K$306,Графики!$D$7:$D$306,'DCF (2)'!DD$6))</f>
        <v>0</v>
      </c>
      <c r="DE27" s="247" cm="1">
        <f t="array" ref="DE27">TRANSPOSE(SUMIFS(Графики!$K$7:$K$306,Графики!$D$7:$D$306,'DCF (2)'!DE$6))</f>
        <v>0</v>
      </c>
      <c r="DF27" s="247" cm="1">
        <f t="array" ref="DF27">TRANSPOSE(SUMIFS(Графики!$K$7:$K$306,Графики!$D$7:$D$306,'DCF (2)'!DF$6))</f>
        <v>0</v>
      </c>
      <c r="DG27" s="247" cm="1">
        <f t="array" ref="DG27">TRANSPOSE(SUMIFS(Графики!$K$7:$K$306,Графики!$D$7:$D$306,'DCF (2)'!DG$6))</f>
        <v>0</v>
      </c>
      <c r="DH27" s="247" cm="1">
        <f t="array" ref="DH27">TRANSPOSE(SUMIFS(Графики!$K$7:$K$306,Графики!$D$7:$D$306,'DCF (2)'!DH$6))</f>
        <v>0</v>
      </c>
      <c r="DI27" s="247" cm="1">
        <f t="array" ref="DI27">TRANSPOSE(SUMIFS(Графики!$K$7:$K$306,Графики!$D$7:$D$306,'DCF (2)'!DI$6))</f>
        <v>0</v>
      </c>
      <c r="DJ27" s="247" cm="1">
        <f t="array" ref="DJ27">TRANSPOSE(SUMIFS(Графики!$K$7:$K$306,Графики!$D$7:$D$306,'DCF (2)'!DJ$6))</f>
        <v>0</v>
      </c>
      <c r="DK27" s="247" cm="1">
        <f t="array" ref="DK27">TRANSPOSE(SUMIFS(Графики!$K$7:$K$306,Графики!$D$7:$D$306,'DCF (2)'!DK$6))</f>
        <v>0</v>
      </c>
      <c r="DL27" s="247" cm="1">
        <f t="array" ref="DL27">TRANSPOSE(SUMIFS(Графики!$K$7:$K$306,Графики!$D$7:$D$306,'DCF (2)'!DL$6))</f>
        <v>0</v>
      </c>
      <c r="DM27" s="247" cm="1">
        <f t="array" ref="DM27">TRANSPOSE(SUMIFS(Графики!$K$7:$K$306,Графики!$D$7:$D$306,'DCF (2)'!DM$6))</f>
        <v>0</v>
      </c>
      <c r="DN27" s="247" cm="1">
        <f t="array" ref="DN27">TRANSPOSE(SUMIFS(Графики!$K$7:$K$306,Графики!$D$7:$D$306,'DCF (2)'!DN$6))</f>
        <v>0</v>
      </c>
      <c r="DO27" s="247" cm="1">
        <f t="array" ref="DO27">TRANSPOSE(SUMIFS(Графики!$K$7:$K$306,Графики!$D$7:$D$306,'DCF (2)'!DO$6))</f>
        <v>0</v>
      </c>
      <c r="DP27" s="247" cm="1">
        <f t="array" ref="DP27">TRANSPOSE(SUMIFS(Графики!$K$7:$K$306,Графики!$D$7:$D$306,'DCF (2)'!DP$6))</f>
        <v>0</v>
      </c>
      <c r="DQ27" s="247" cm="1">
        <f t="array" ref="DQ27">TRANSPOSE(SUMIFS(Графики!$K$7:$K$306,Графики!$D$7:$D$306,'DCF (2)'!DQ$6))</f>
        <v>0</v>
      </c>
      <c r="DR27" s="247" cm="1">
        <f t="array" ref="DR27">TRANSPOSE(SUMIFS(Графики!$K$7:$K$306,Графики!$D$7:$D$306,'DCF (2)'!DR$6))</f>
        <v>0</v>
      </c>
      <c r="DS27" s="247" cm="1">
        <f t="array" ref="DS27">TRANSPOSE(SUMIFS(Графики!$K$7:$K$306,Графики!$D$7:$D$306,'DCF (2)'!DS$6))</f>
        <v>0</v>
      </c>
      <c r="DT27" s="247" cm="1">
        <f t="array" ref="DT27">TRANSPOSE(SUMIFS(Графики!$K$7:$K$306,Графики!$D$7:$D$306,'DCF (2)'!DT$6))</f>
        <v>0</v>
      </c>
      <c r="DU27" s="247" cm="1">
        <f t="array" ref="DU27">TRANSPOSE(SUMIFS(Графики!$K$7:$K$306,Графики!$D$7:$D$306,'DCF (2)'!DU$6))</f>
        <v>0</v>
      </c>
      <c r="DV27" s="247" cm="1">
        <f t="array" ref="DV27">TRANSPOSE(SUMIFS(Графики!$K$7:$K$306,Графики!$D$7:$D$306,'DCF (2)'!DV$6))</f>
        <v>0</v>
      </c>
      <c r="DW27" s="247" cm="1">
        <f t="array" ref="DW27">TRANSPOSE(SUMIFS(Графики!$K$7:$K$306,Графики!$D$7:$D$306,'DCF (2)'!DW$6))</f>
        <v>0</v>
      </c>
      <c r="DX27" s="247" cm="1">
        <f t="array" ref="DX27">TRANSPOSE(SUMIFS(Графики!$K$7:$K$306,Графики!$D$7:$D$306,'DCF (2)'!DX$6))</f>
        <v>0</v>
      </c>
      <c r="DY27" s="247" cm="1">
        <f t="array" ref="DY27">TRANSPOSE(SUMIFS(Графики!$K$7:$K$306,Графики!$D$7:$D$306,'DCF (2)'!DY$6))</f>
        <v>0</v>
      </c>
      <c r="DZ27" s="247" cm="1">
        <f t="array" ref="DZ27">TRANSPOSE(SUMIFS(Графики!$K$7:$K$306,Графики!$D$7:$D$306,'DCF (2)'!DZ$6))</f>
        <v>0</v>
      </c>
      <c r="EA27" s="247" cm="1">
        <f t="array" ref="EA27">TRANSPOSE(SUMIFS(Графики!$K$7:$K$306,Графики!$D$7:$D$306,'DCF (2)'!EA$6))</f>
        <v>0</v>
      </c>
      <c r="EB27" s="247" cm="1">
        <f t="array" ref="EB27">TRANSPOSE(SUMIFS(Графики!$K$7:$K$306,Графики!$D$7:$D$306,'DCF (2)'!EB$6))</f>
        <v>0</v>
      </c>
      <c r="EC27" s="247" cm="1">
        <f t="array" ref="EC27">TRANSPOSE(SUMIFS(Графики!$K$7:$K$306,Графики!$D$7:$D$306,'DCF (2)'!EC$6))</f>
        <v>0</v>
      </c>
      <c r="ED27" s="247" cm="1">
        <f t="array" ref="ED27">TRANSPOSE(SUMIFS(Графики!$K$7:$K$306,Графики!$D$7:$D$306,'DCF (2)'!ED$6))</f>
        <v>0</v>
      </c>
      <c r="EE27" s="247" cm="1">
        <f t="array" ref="EE27">TRANSPOSE(SUMIFS(Графики!$K$7:$K$306,Графики!$D$7:$D$306,'DCF (2)'!EE$6))</f>
        <v>0</v>
      </c>
      <c r="EF27" s="247" cm="1">
        <f t="array" ref="EF27">TRANSPOSE(SUMIFS(Графики!$K$7:$K$306,Графики!$D$7:$D$306,'DCF (2)'!EF$6))</f>
        <v>0</v>
      </c>
      <c r="EG27" s="247" cm="1">
        <f t="array" ref="EG27">TRANSPOSE(SUMIFS(Графики!$K$7:$K$306,Графики!$D$7:$D$306,'DCF (2)'!EG$6))</f>
        <v>0</v>
      </c>
      <c r="EH27" s="247" cm="1">
        <f t="array" ref="EH27">TRANSPOSE(SUMIFS(Графики!$K$7:$K$306,Графики!$D$7:$D$306,'DCF (2)'!EH$6))</f>
        <v>0</v>
      </c>
      <c r="EI27" s="247" cm="1">
        <f t="array" ref="EI27">TRANSPOSE(SUMIFS(Графики!$K$7:$K$306,Графики!$D$7:$D$306,'DCF (2)'!EI$6))</f>
        <v>0</v>
      </c>
      <c r="EJ27" s="247" cm="1">
        <f t="array" ref="EJ27">TRANSPOSE(SUMIFS(Графики!$K$7:$K$306,Графики!$D$7:$D$306,'DCF (2)'!EJ$6))</f>
        <v>0</v>
      </c>
      <c r="EK27" s="247" cm="1">
        <f t="array" ref="EK27">TRANSPOSE(SUMIFS(Графики!$K$7:$K$306,Графики!$D$7:$D$306,'DCF (2)'!EK$6))</f>
        <v>0</v>
      </c>
      <c r="EL27" s="247" cm="1">
        <f t="array" ref="EL27">TRANSPOSE(SUMIFS(Графики!$K$7:$K$306,Графики!$D$7:$D$306,'DCF (2)'!EL$6))</f>
        <v>0</v>
      </c>
      <c r="EM27" s="247" cm="1">
        <f t="array" ref="EM27">TRANSPOSE(SUMIFS(Графики!$K$7:$K$306,Графики!$D$7:$D$306,'DCF (2)'!EM$6))</f>
        <v>0</v>
      </c>
      <c r="EN27" s="247" cm="1">
        <f t="array" ref="EN27">TRANSPOSE(SUMIFS(Графики!$K$7:$K$306,Графики!$D$7:$D$306,'DCF (2)'!EN$6))</f>
        <v>0</v>
      </c>
      <c r="EO27" s="247" cm="1">
        <f t="array" ref="EO27">TRANSPOSE(SUMIFS(Графики!$K$7:$K$306,Графики!$D$7:$D$306,'DCF (2)'!EO$6))</f>
        <v>0</v>
      </c>
      <c r="EP27" s="247" cm="1">
        <f t="array" ref="EP27">TRANSPOSE(SUMIFS(Графики!$K$7:$K$306,Графики!$D$7:$D$306,'DCF (2)'!EP$6))</f>
        <v>0</v>
      </c>
      <c r="EQ27" s="247" cm="1">
        <f t="array" ref="EQ27">TRANSPOSE(SUMIFS(Графики!$K$7:$K$306,Графики!$D$7:$D$306,'DCF (2)'!EQ$6))</f>
        <v>0</v>
      </c>
      <c r="ER27" s="247" cm="1">
        <f t="array" ref="ER27">TRANSPOSE(SUMIFS(Графики!$K$7:$K$306,Графики!$D$7:$D$306,'DCF (2)'!ER$6))</f>
        <v>0</v>
      </c>
      <c r="ES27" s="247" cm="1">
        <f t="array" ref="ES27">TRANSPOSE(SUMIFS(Графики!$K$7:$K$306,Графики!$D$7:$D$306,'DCF (2)'!ES$6))</f>
        <v>0</v>
      </c>
      <c r="ET27" s="247" cm="1">
        <f t="array" ref="ET27">TRANSPOSE(SUMIFS(Графики!$K$7:$K$306,Графики!$D$7:$D$306,'DCF (2)'!ET$6))</f>
        <v>0</v>
      </c>
      <c r="EU27" s="247" cm="1">
        <f t="array" ref="EU27">TRANSPOSE(SUMIFS(Графики!$K$7:$K$306,Графики!$D$7:$D$306,'DCF (2)'!EU$6))</f>
        <v>0</v>
      </c>
      <c r="EV27" s="247" cm="1">
        <f t="array" ref="EV27">TRANSPOSE(SUMIFS(Графики!$K$7:$K$306,Графики!$D$7:$D$306,'DCF (2)'!EV$6))</f>
        <v>0</v>
      </c>
      <c r="EW27" s="247" cm="1">
        <f t="array" ref="EW27">TRANSPOSE(SUMIFS(Графики!$K$7:$K$306,Графики!$D$7:$D$306,'DCF (2)'!EW$6))</f>
        <v>0</v>
      </c>
      <c r="EX27" s="247" cm="1">
        <f t="array" ref="EX27">TRANSPOSE(SUMIFS(Графики!$K$7:$K$306,Графики!$D$7:$D$306,'DCF (2)'!EX$6))</f>
        <v>0</v>
      </c>
      <c r="EY27" s="247" cm="1">
        <f t="array" ref="EY27">TRANSPOSE(SUMIFS(Графики!$K$7:$K$306,Графики!$D$7:$D$306,'DCF (2)'!EY$6))</f>
        <v>0</v>
      </c>
      <c r="EZ27" s="247" cm="1">
        <f t="array" ref="EZ27">TRANSPOSE(SUMIFS(Графики!$K$7:$K$306,Графики!$D$7:$D$306,'DCF (2)'!EZ$6))</f>
        <v>0</v>
      </c>
      <c r="FA27" s="247" cm="1">
        <f t="array" ref="FA27">TRANSPOSE(SUMIFS(Графики!$K$7:$K$306,Графики!$D$7:$D$306,'DCF (2)'!FA$6))</f>
        <v>0</v>
      </c>
      <c r="FB27" s="247" cm="1">
        <f t="array" ref="FB27">TRANSPOSE(SUMIFS(Графики!$K$7:$K$306,Графики!$D$7:$D$306,'DCF (2)'!FB$6))</f>
        <v>0</v>
      </c>
      <c r="FC27" s="247" cm="1">
        <f t="array" ref="FC27">TRANSPOSE(SUMIFS(Графики!$K$7:$K$306,Графики!$D$7:$D$306,'DCF (2)'!FC$6))</f>
        <v>0</v>
      </c>
      <c r="FD27" s="247" cm="1">
        <f t="array" ref="FD27">TRANSPOSE(SUMIFS(Графики!$K$7:$K$306,Графики!$D$7:$D$306,'DCF (2)'!FD$6))</f>
        <v>0</v>
      </c>
      <c r="FE27" s="247" cm="1">
        <f t="array" ref="FE27">TRANSPOSE(SUMIFS(Графики!$K$7:$K$306,Графики!$D$7:$D$306,'DCF (2)'!FE$6))</f>
        <v>0</v>
      </c>
      <c r="FF27" s="247" cm="1">
        <f t="array" ref="FF27">TRANSPOSE(SUMIFS(Графики!$K$7:$K$306,Графики!$D$7:$D$306,'DCF (2)'!FF$6))</f>
        <v>0</v>
      </c>
      <c r="FG27" s="247" cm="1">
        <f t="array" ref="FG27">TRANSPOSE(SUMIFS(Графики!$K$7:$K$306,Графики!$D$7:$D$306,'DCF (2)'!FG$6))</f>
        <v>0</v>
      </c>
      <c r="FH27" s="247" cm="1">
        <f t="array" ref="FH27">TRANSPOSE(SUMIFS(Графики!$K$7:$K$306,Графики!$D$7:$D$306,'DCF (2)'!FH$6))</f>
        <v>0</v>
      </c>
      <c r="FI27" s="247" cm="1">
        <f t="array" ref="FI27">TRANSPOSE(SUMIFS(Графики!$K$7:$K$306,Графики!$D$7:$D$306,'DCF (2)'!FI$6))</f>
        <v>0</v>
      </c>
      <c r="FJ27" s="247" cm="1">
        <f t="array" ref="FJ27">TRANSPOSE(SUMIFS(Графики!$K$7:$K$306,Графики!$D$7:$D$306,'DCF (2)'!FJ$6))</f>
        <v>0</v>
      </c>
      <c r="FK27" s="247" cm="1">
        <f t="array" ref="FK27">TRANSPOSE(SUMIFS(Графики!$K$7:$K$306,Графики!$D$7:$D$306,'DCF (2)'!FK$6))</f>
        <v>0</v>
      </c>
      <c r="FL27" s="247" cm="1">
        <f t="array" ref="FL27">TRANSPOSE(SUMIFS(Графики!$K$7:$K$306,Графики!$D$7:$D$306,'DCF (2)'!FL$6))</f>
        <v>0</v>
      </c>
      <c r="FM27" s="247" cm="1">
        <f t="array" ref="FM27">TRANSPOSE(SUMIFS(Графики!$K$7:$K$306,Графики!$D$7:$D$306,'DCF (2)'!FM$6))</f>
        <v>0</v>
      </c>
      <c r="FN27" s="247" cm="1">
        <f t="array" ref="FN27">TRANSPOSE(SUMIFS(Графики!$K$7:$K$306,Графики!$D$7:$D$306,'DCF (2)'!FN$6))</f>
        <v>0</v>
      </c>
      <c r="FO27" s="247" cm="1">
        <f t="array" ref="FO27">TRANSPOSE(SUMIFS(Графики!$K$7:$K$306,Графики!$D$7:$D$306,'DCF (2)'!FO$6))</f>
        <v>0</v>
      </c>
      <c r="FP27" s="247" cm="1">
        <f t="array" ref="FP27">TRANSPOSE(SUMIFS(Графики!$K$7:$K$306,Графики!$D$7:$D$306,'DCF (2)'!FP$6))</f>
        <v>0</v>
      </c>
      <c r="FQ27" s="247" cm="1">
        <f t="array" ref="FQ27">TRANSPOSE(SUMIFS(Графики!$K$7:$K$306,Графики!$D$7:$D$306,'DCF (2)'!FQ$6))</f>
        <v>0</v>
      </c>
      <c r="FR27" s="247" cm="1">
        <f t="array" ref="FR27">TRANSPOSE(SUMIFS(Графики!$K$7:$K$306,Графики!$D$7:$D$306,'DCF (2)'!FR$6))</f>
        <v>0</v>
      </c>
      <c r="FS27" s="247" cm="1">
        <f t="array" ref="FS27">TRANSPOSE(SUMIFS(Графики!$K$7:$K$306,Графики!$D$7:$D$306,'DCF (2)'!FS$6))</f>
        <v>0</v>
      </c>
      <c r="FT27" s="247" cm="1">
        <f t="array" ref="FT27">TRANSPOSE(SUMIFS(Графики!$K$7:$K$306,Графики!$D$7:$D$306,'DCF (2)'!FT$6))</f>
        <v>0</v>
      </c>
      <c r="FU27" s="247" cm="1">
        <f t="array" ref="FU27">TRANSPOSE(SUMIFS(Графики!$K$7:$K$306,Графики!$D$7:$D$306,'DCF (2)'!FU$6))</f>
        <v>0</v>
      </c>
      <c r="FV27" s="247" cm="1">
        <f t="array" ref="FV27">TRANSPOSE(SUMIFS(Графики!$K$7:$K$306,Графики!$D$7:$D$306,'DCF (2)'!FV$6))</f>
        <v>0</v>
      </c>
      <c r="FW27" s="247" cm="1">
        <f t="array" ref="FW27">TRANSPOSE(SUMIFS(Графики!$K$7:$K$306,Графики!$D$7:$D$306,'DCF (2)'!FW$6))</f>
        <v>0</v>
      </c>
      <c r="FX27" s="247" cm="1">
        <f t="array" ref="FX27">TRANSPOSE(SUMIFS(Графики!$K$7:$K$306,Графики!$D$7:$D$306,'DCF (2)'!FX$6))</f>
        <v>0</v>
      </c>
      <c r="FY27" s="247" cm="1">
        <f t="array" ref="FY27">TRANSPOSE(SUMIFS(Графики!$K$7:$K$306,Графики!$D$7:$D$306,'DCF (2)'!FY$6))</f>
        <v>0</v>
      </c>
      <c r="FZ27" s="247" cm="1">
        <f t="array" ref="FZ27">TRANSPOSE(SUMIFS(Графики!$K$7:$K$306,Графики!$D$7:$D$306,'DCF (2)'!FZ$6))</f>
        <v>0</v>
      </c>
      <c r="GA27" s="247" cm="1">
        <f t="array" ref="GA27">TRANSPOSE(SUMIFS(Графики!$K$7:$K$306,Графики!$D$7:$D$306,'DCF (2)'!GA$6))</f>
        <v>0</v>
      </c>
      <c r="GB27" s="247" cm="1">
        <f t="array" ref="GB27">TRANSPOSE(SUMIFS(Графики!$K$7:$K$306,Графики!$D$7:$D$306,'DCF (2)'!GB$6))</f>
        <v>0</v>
      </c>
      <c r="GC27" s="247" cm="1">
        <f t="array" ref="GC27">TRANSPOSE(SUMIFS(Графики!$K$7:$K$306,Графики!$D$7:$D$306,'DCF (2)'!GC$6))</f>
        <v>0</v>
      </c>
      <c r="GD27" s="247" cm="1">
        <f t="array" ref="GD27">TRANSPOSE(SUMIFS(Графики!$K$7:$K$306,Графики!$D$7:$D$306,'DCF (2)'!GD$6))</f>
        <v>0</v>
      </c>
      <c r="GE27" s="247" cm="1">
        <f t="array" ref="GE27">TRANSPOSE(SUMIFS(Графики!$K$7:$K$306,Графики!$D$7:$D$306,'DCF (2)'!GE$6))</f>
        <v>0</v>
      </c>
      <c r="GF27" s="247" cm="1">
        <f t="array" ref="GF27">TRANSPOSE(SUMIFS(Графики!$K$7:$K$306,Графики!$D$7:$D$306,'DCF (2)'!GF$6))</f>
        <v>0</v>
      </c>
      <c r="GG27" s="247" cm="1">
        <f t="array" ref="GG27">TRANSPOSE(SUMIFS(Графики!$K$7:$K$306,Графики!$D$7:$D$306,'DCF (2)'!GG$6))</f>
        <v>0</v>
      </c>
      <c r="GH27" s="247" cm="1">
        <f t="array" ref="GH27">TRANSPOSE(SUMIFS(Графики!$K$7:$K$306,Графики!$D$7:$D$306,'DCF (2)'!GH$6))</f>
        <v>0</v>
      </c>
      <c r="GI27" s="247" cm="1">
        <f t="array" ref="GI27">TRANSPOSE(SUMIFS(Графики!$K$7:$K$306,Графики!$D$7:$D$306,'DCF (2)'!GI$6))</f>
        <v>0</v>
      </c>
      <c r="GJ27" s="247" cm="1">
        <f t="array" ref="GJ27">TRANSPOSE(SUMIFS(Графики!$K$7:$K$306,Графики!$D$7:$D$306,'DCF (2)'!GJ$6))</f>
        <v>0</v>
      </c>
      <c r="GK27" s="247" cm="1">
        <f t="array" ref="GK27">TRANSPOSE(SUMIFS(Графики!$K$7:$K$306,Графики!$D$7:$D$306,'DCF (2)'!GK$6))</f>
        <v>0</v>
      </c>
      <c r="GL27" s="247" cm="1">
        <f t="array" ref="GL27">TRANSPOSE(SUMIFS(Графики!$K$7:$K$306,Графики!$D$7:$D$306,'DCF (2)'!GL$6))</f>
        <v>0</v>
      </c>
      <c r="GM27" s="247" cm="1">
        <f t="array" ref="GM27">TRANSPOSE(SUMIFS(Графики!$K$7:$K$306,Графики!$D$7:$D$306,'DCF (2)'!GM$6))</f>
        <v>0</v>
      </c>
      <c r="GN27" s="247" cm="1">
        <f t="array" ref="GN27">TRANSPOSE(SUMIFS(Графики!$K$7:$K$306,Графики!$D$7:$D$306,'DCF (2)'!GN$6))</f>
        <v>0</v>
      </c>
      <c r="GO27" s="247" cm="1">
        <f t="array" ref="GO27">TRANSPOSE(SUMIFS(Графики!$K$7:$K$306,Графики!$D$7:$D$306,'DCF (2)'!GO$6))</f>
        <v>0</v>
      </c>
      <c r="GP27" s="247" cm="1">
        <f t="array" ref="GP27">TRANSPOSE(SUMIFS(Графики!$K$7:$K$306,Графики!$D$7:$D$306,'DCF (2)'!GP$6))</f>
        <v>0</v>
      </c>
      <c r="GQ27" s="247" cm="1">
        <f t="array" ref="GQ27">TRANSPOSE(SUMIFS(Графики!$K$7:$K$306,Графики!$D$7:$D$306,'DCF (2)'!GQ$6))</f>
        <v>0</v>
      </c>
      <c r="GR27" s="247" cm="1">
        <f t="array" ref="GR27">TRANSPOSE(SUMIFS(Графики!$K$7:$K$306,Графики!$D$7:$D$306,'DCF (2)'!GR$6))</f>
        <v>0</v>
      </c>
      <c r="GS27" s="247" cm="1">
        <f t="array" ref="GS27">TRANSPOSE(SUMIFS(Графики!$K$7:$K$306,Графики!$D$7:$D$306,'DCF (2)'!GS$6))</f>
        <v>0</v>
      </c>
      <c r="GT27" s="247" cm="1">
        <f t="array" ref="GT27">TRANSPOSE(SUMIFS(Графики!$K$7:$K$306,Графики!$D$7:$D$306,'DCF (2)'!GT$6))</f>
        <v>0</v>
      </c>
      <c r="GU27" s="247" cm="1">
        <f t="array" ref="GU27">TRANSPOSE(SUMIFS(Графики!$K$7:$K$306,Графики!$D$7:$D$306,'DCF (2)'!GU$6))</f>
        <v>0</v>
      </c>
      <c r="GV27" s="247" cm="1">
        <f t="array" ref="GV27">TRANSPOSE(SUMIFS(Графики!$K$7:$K$306,Графики!$D$7:$D$306,'DCF (2)'!GV$6))</f>
        <v>0</v>
      </c>
      <c r="GW27" s="247" cm="1">
        <f t="array" ref="GW27">TRANSPOSE(SUMIFS(Графики!$K$7:$K$306,Графики!$D$7:$D$306,'DCF (2)'!GW$6))</f>
        <v>0</v>
      </c>
      <c r="GX27" s="247" cm="1">
        <f t="array" ref="GX27">TRANSPOSE(SUMIFS(Графики!$K$7:$K$306,Графики!$D$7:$D$306,'DCF (2)'!GX$6))</f>
        <v>0</v>
      </c>
      <c r="GY27" s="247" cm="1">
        <f t="array" ref="GY27">TRANSPOSE(SUMIFS(Графики!$K$7:$K$306,Графики!$D$7:$D$306,'DCF (2)'!GY$6))</f>
        <v>0</v>
      </c>
      <c r="GZ27" s="247" cm="1">
        <f t="array" ref="GZ27">TRANSPOSE(SUMIFS(Графики!$K$7:$K$306,Графики!$D$7:$D$306,'DCF (2)'!GZ$6))</f>
        <v>0</v>
      </c>
      <c r="HA27" s="247" cm="1">
        <f t="array" ref="HA27">TRANSPOSE(SUMIFS(Графики!$K$7:$K$306,Графики!$D$7:$D$306,'DCF (2)'!HA$6))</f>
        <v>0</v>
      </c>
      <c r="HB27" s="247" cm="1">
        <f t="array" ref="HB27">TRANSPOSE(SUMIFS(Графики!$K$7:$K$306,Графики!$D$7:$D$306,'DCF (2)'!HB$6))</f>
        <v>0</v>
      </c>
      <c r="HC27" s="247" cm="1">
        <f t="array" ref="HC27">TRANSPOSE(SUMIFS(Графики!$K$7:$K$306,Графики!$D$7:$D$306,'DCF (2)'!HC$6))</f>
        <v>0</v>
      </c>
      <c r="HD27" s="247" cm="1">
        <f t="array" ref="HD27">TRANSPOSE(SUMIFS(Графики!$K$7:$K$306,Графики!$D$7:$D$306,'DCF (2)'!HD$6))</f>
        <v>0</v>
      </c>
      <c r="HE27" s="247" cm="1">
        <f t="array" ref="HE27">TRANSPOSE(SUMIFS(Графики!$K$7:$K$306,Графики!$D$7:$D$306,'DCF (2)'!HE$6))</f>
        <v>0</v>
      </c>
      <c r="HF27" s="247" cm="1">
        <f t="array" ref="HF27">TRANSPOSE(SUMIFS(Графики!$K$7:$K$306,Графики!$D$7:$D$306,'DCF (2)'!HF$6))</f>
        <v>0</v>
      </c>
      <c r="HG27" s="247" cm="1">
        <f t="array" ref="HG27">TRANSPOSE(SUMIFS(Графики!$K$7:$K$306,Графики!$D$7:$D$306,'DCF (2)'!HG$6))</f>
        <v>0</v>
      </c>
      <c r="HH27" s="247" cm="1">
        <f t="array" ref="HH27">TRANSPOSE(SUMIFS(Графики!$K$7:$K$306,Графики!$D$7:$D$306,'DCF (2)'!HH$6))</f>
        <v>0</v>
      </c>
      <c r="HI27" s="247" cm="1">
        <f t="array" ref="HI27">TRANSPOSE(SUMIFS(Графики!$K$7:$K$306,Графики!$D$7:$D$306,'DCF (2)'!HI$6))</f>
        <v>0</v>
      </c>
      <c r="HJ27" s="247" cm="1">
        <f t="array" ref="HJ27">TRANSPOSE(SUMIFS(Графики!$K$7:$K$306,Графики!$D$7:$D$306,'DCF (2)'!HJ$6))</f>
        <v>0</v>
      </c>
      <c r="HK27" s="247" cm="1">
        <f t="array" ref="HK27">TRANSPOSE(SUMIFS(Графики!$K$7:$K$306,Графики!$D$7:$D$306,'DCF (2)'!HK$6))</f>
        <v>0</v>
      </c>
      <c r="HL27" s="247" cm="1">
        <f t="array" ref="HL27">TRANSPOSE(SUMIFS(Графики!$K$7:$K$306,Графики!$D$7:$D$306,'DCF (2)'!HL$6))</f>
        <v>0</v>
      </c>
      <c r="HM27" s="247" cm="1">
        <f t="array" ref="HM27">TRANSPOSE(SUMIFS(Графики!$K$7:$K$306,Графики!$D$7:$D$306,'DCF (2)'!HM$6))</f>
        <v>0</v>
      </c>
      <c r="HN27" s="247" cm="1">
        <f t="array" ref="HN27">TRANSPOSE(SUMIFS(Графики!$K$7:$K$306,Графики!$D$7:$D$306,'DCF (2)'!HN$6))</f>
        <v>0</v>
      </c>
      <c r="HO27" s="247" cm="1">
        <f t="array" ref="HO27">TRANSPOSE(SUMIFS(Графики!$K$7:$K$306,Графики!$D$7:$D$306,'DCF (2)'!HO$6))</f>
        <v>0</v>
      </c>
      <c r="HP27" s="247" cm="1">
        <f t="array" ref="HP27">TRANSPOSE(SUMIFS(Графики!$K$7:$K$306,Графики!$D$7:$D$306,'DCF (2)'!HP$6))</f>
        <v>0</v>
      </c>
      <c r="HQ27" s="247" cm="1">
        <f t="array" ref="HQ27">TRANSPOSE(SUMIFS(Графики!$K$7:$K$306,Графики!$D$7:$D$306,'DCF (2)'!HQ$6))</f>
        <v>0</v>
      </c>
      <c r="HR27" s="247" cm="1">
        <f t="array" ref="HR27">TRANSPOSE(SUMIFS(Графики!$K$7:$K$306,Графики!$D$7:$D$306,'DCF (2)'!HR$6))</f>
        <v>0</v>
      </c>
      <c r="HS27" s="247" cm="1">
        <f t="array" ref="HS27">TRANSPOSE(SUMIFS(Графики!$K$7:$K$306,Графики!$D$7:$D$306,'DCF (2)'!HS$6))</f>
        <v>0</v>
      </c>
      <c r="HT27" s="247" cm="1">
        <f t="array" ref="HT27">TRANSPOSE(SUMIFS(Графики!$K$7:$K$306,Графики!$D$7:$D$306,'DCF (2)'!HT$6))</f>
        <v>0</v>
      </c>
      <c r="HU27" s="247" cm="1">
        <f t="array" ref="HU27">TRANSPOSE(SUMIFS(Графики!$K$7:$K$306,Графики!$D$7:$D$306,'DCF (2)'!HU$6))</f>
        <v>0</v>
      </c>
      <c r="HV27" s="247" cm="1">
        <f t="array" ref="HV27">TRANSPOSE(SUMIFS(Графики!$K$7:$K$306,Графики!$D$7:$D$306,'DCF (2)'!HV$6))</f>
        <v>0</v>
      </c>
      <c r="HW27" s="247" cm="1">
        <f t="array" ref="HW27">TRANSPOSE(SUMIFS(Графики!$K$7:$K$306,Графики!$D$7:$D$306,'DCF (2)'!HW$6))</f>
        <v>0</v>
      </c>
      <c r="HX27" s="247" cm="1">
        <f t="array" ref="HX27">TRANSPOSE(SUMIFS(Графики!$K$7:$K$306,Графики!$D$7:$D$306,'DCF (2)'!HX$6))</f>
        <v>0</v>
      </c>
      <c r="HY27" s="247" cm="1">
        <f t="array" ref="HY27">TRANSPOSE(SUMIFS(Графики!$K$7:$K$306,Графики!$D$7:$D$306,'DCF (2)'!HY$6))</f>
        <v>0</v>
      </c>
      <c r="HZ27" s="247" cm="1">
        <f t="array" ref="HZ27">TRANSPOSE(SUMIFS(Графики!$K$7:$K$306,Графики!$D$7:$D$306,'DCF (2)'!HZ$6))</f>
        <v>0</v>
      </c>
      <c r="IA27" s="247" cm="1">
        <f t="array" ref="IA27">TRANSPOSE(SUMIFS(Графики!$K$7:$K$306,Графики!$D$7:$D$306,'DCF (2)'!IA$6))</f>
        <v>0</v>
      </c>
      <c r="IB27" s="247" cm="1">
        <f t="array" ref="IB27">TRANSPOSE(SUMIFS(Графики!$K$7:$K$306,Графики!$D$7:$D$306,'DCF (2)'!IB$6))</f>
        <v>0</v>
      </c>
      <c r="IC27" s="247" cm="1">
        <f t="array" ref="IC27">TRANSPOSE(SUMIFS(Графики!$K$7:$K$306,Графики!$D$7:$D$306,'DCF (2)'!IC$6))</f>
        <v>0</v>
      </c>
      <c r="ID27" s="247" cm="1">
        <f t="array" ref="ID27">TRANSPOSE(SUMIFS(Графики!$K$7:$K$306,Графики!$D$7:$D$306,'DCF (2)'!ID$6))</f>
        <v>0</v>
      </c>
      <c r="IE27" s="247" cm="1">
        <f t="array" ref="IE27">TRANSPOSE(SUMIFS(Графики!$K$7:$K$306,Графики!$D$7:$D$306,'DCF (2)'!IE$6))</f>
        <v>0</v>
      </c>
      <c r="IF27" s="247" cm="1">
        <f t="array" ref="IF27">TRANSPOSE(SUMIFS(Графики!$K$7:$K$306,Графики!$D$7:$D$306,'DCF (2)'!IF$6))</f>
        <v>0</v>
      </c>
      <c r="IG27" s="247" cm="1">
        <f t="array" ref="IG27">TRANSPOSE(SUMIFS(Графики!$K$7:$K$306,Графики!$D$7:$D$306,'DCF (2)'!IG$6))</f>
        <v>0</v>
      </c>
      <c r="IH27" s="247" cm="1">
        <f t="array" ref="IH27">TRANSPOSE(SUMIFS(Графики!$K$7:$K$306,Графики!$D$7:$D$306,'DCF (2)'!IH$6))</f>
        <v>0</v>
      </c>
      <c r="II27" s="247" cm="1">
        <f t="array" ref="II27">TRANSPOSE(SUMIFS(Графики!$K$7:$K$306,Графики!$D$7:$D$306,'DCF (2)'!II$6))</f>
        <v>0</v>
      </c>
      <c r="IJ27" s="247" cm="1">
        <f t="array" ref="IJ27">TRANSPOSE(SUMIFS(Графики!$K$7:$K$306,Графики!$D$7:$D$306,'DCF (2)'!IJ$6))</f>
        <v>0</v>
      </c>
      <c r="IK27" s="247" cm="1">
        <f t="array" ref="IK27">TRANSPOSE(SUMIFS(Графики!$K$7:$K$306,Графики!$D$7:$D$306,'DCF (2)'!IK$6))</f>
        <v>0</v>
      </c>
      <c r="IL27" s="247" cm="1">
        <f t="array" ref="IL27">TRANSPOSE(SUMIFS(Графики!$K$7:$K$306,Графики!$D$7:$D$306,'DCF (2)'!IL$6))</f>
        <v>0</v>
      </c>
      <c r="IM27" s="247" cm="1">
        <f t="array" ref="IM27">TRANSPOSE(SUMIFS(Графики!$K$7:$K$306,Графики!$D$7:$D$306,'DCF (2)'!IM$6))</f>
        <v>0</v>
      </c>
      <c r="IN27" s="247" cm="1">
        <f t="array" ref="IN27">TRANSPOSE(SUMIFS(Графики!$K$7:$K$306,Графики!$D$7:$D$306,'DCF (2)'!IN$6))</f>
        <v>0</v>
      </c>
      <c r="IO27" s="247" cm="1">
        <f t="array" ref="IO27">TRANSPOSE(SUMIFS(Графики!$K$7:$K$306,Графики!$D$7:$D$306,'DCF (2)'!IO$6))</f>
        <v>0</v>
      </c>
      <c r="IP27" s="247" cm="1">
        <f t="array" ref="IP27">TRANSPOSE(SUMIFS(Графики!$K$7:$K$306,Графики!$D$7:$D$306,'DCF (2)'!IP$6))</f>
        <v>0</v>
      </c>
      <c r="IQ27" s="247" cm="1">
        <f t="array" ref="IQ27">TRANSPOSE(SUMIFS(Графики!$K$7:$K$306,Графики!$D$7:$D$306,'DCF (2)'!IQ$6))</f>
        <v>0</v>
      </c>
      <c r="IR27" s="247" cm="1">
        <f t="array" ref="IR27">TRANSPOSE(SUMIFS(Графики!$K$7:$K$306,Графики!$D$7:$D$306,'DCF (2)'!IR$6))</f>
        <v>0</v>
      </c>
      <c r="IS27" s="247" cm="1">
        <f t="array" ref="IS27">TRANSPOSE(SUMIFS(Графики!$K$7:$K$306,Графики!$D$7:$D$306,'DCF (2)'!IS$6))</f>
        <v>0</v>
      </c>
      <c r="IT27" s="247" cm="1">
        <f t="array" ref="IT27">TRANSPOSE(SUMIFS(Графики!$K$7:$K$306,Графики!$D$7:$D$306,'DCF (2)'!IT$6))</f>
        <v>0</v>
      </c>
      <c r="IU27" s="247" cm="1">
        <f t="array" ref="IU27">TRANSPOSE(SUMIFS(Графики!$K$7:$K$306,Графики!$D$7:$D$306,'DCF (2)'!IU$6))</f>
        <v>0</v>
      </c>
      <c r="IV27" s="247" cm="1">
        <f t="array" ref="IV27">TRANSPOSE(SUMIFS(Графики!$K$7:$K$306,Графики!$D$7:$D$306,'DCF (2)'!IV$6))</f>
        <v>0</v>
      </c>
      <c r="IW27" s="247" cm="1">
        <f t="array" ref="IW27">TRANSPOSE(SUMIFS(Графики!$K$7:$K$306,Графики!$D$7:$D$306,'DCF (2)'!IW$6))</f>
        <v>0</v>
      </c>
      <c r="IX27" s="247" cm="1">
        <f t="array" ref="IX27">TRANSPOSE(SUMIFS(Графики!$K$7:$K$306,Графики!$D$7:$D$306,'DCF (2)'!IX$6))</f>
        <v>0</v>
      </c>
      <c r="IY27" s="247" cm="1">
        <f t="array" ref="IY27">TRANSPOSE(SUMIFS(Графики!$K$7:$K$306,Графики!$D$7:$D$306,'DCF (2)'!IY$6))</f>
        <v>0</v>
      </c>
      <c r="IZ27" s="247" cm="1">
        <f t="array" ref="IZ27">TRANSPOSE(SUMIFS(Графики!$K$7:$K$306,Графики!$D$7:$D$306,'DCF (2)'!IZ$6))</f>
        <v>0</v>
      </c>
      <c r="JA27" s="247" cm="1">
        <f t="array" ref="JA27">TRANSPOSE(SUMIFS(Графики!$K$7:$K$306,Графики!$D$7:$D$306,'DCF (2)'!JA$6))</f>
        <v>0</v>
      </c>
      <c r="JB27" s="247" cm="1">
        <f t="array" ref="JB27">TRANSPOSE(SUMIFS(Графики!$K$7:$K$306,Графики!$D$7:$D$306,'DCF (2)'!JB$6))</f>
        <v>0</v>
      </c>
      <c r="JC27" s="247" cm="1">
        <f t="array" ref="JC27">TRANSPOSE(SUMIFS(Графики!$K$7:$K$306,Графики!$D$7:$D$306,'DCF (2)'!JC$6))</f>
        <v>0</v>
      </c>
      <c r="JD27" s="247" cm="1">
        <f t="array" ref="JD27">TRANSPOSE(SUMIFS(Графики!$K$7:$K$306,Графики!$D$7:$D$306,'DCF (2)'!JD$6))</f>
        <v>0</v>
      </c>
      <c r="JE27" s="247" cm="1">
        <f t="array" ref="JE27">TRANSPOSE(SUMIFS(Графики!$K$7:$K$306,Графики!$D$7:$D$306,'DCF (2)'!JE$6))</f>
        <v>0</v>
      </c>
      <c r="JF27" s="247" cm="1">
        <f t="array" ref="JF27">TRANSPOSE(SUMIFS(Графики!$K$7:$K$306,Графики!$D$7:$D$306,'DCF (2)'!JF$6))</f>
        <v>0</v>
      </c>
      <c r="JG27" s="247" cm="1">
        <f t="array" ref="JG27">TRANSPOSE(SUMIFS(Графики!$K$7:$K$306,Графики!$D$7:$D$306,'DCF (2)'!JG$6))</f>
        <v>0</v>
      </c>
      <c r="JH27" s="247" cm="1">
        <f t="array" ref="JH27">TRANSPOSE(SUMIFS(Графики!$K$7:$K$306,Графики!$D$7:$D$306,'DCF (2)'!JH$6))</f>
        <v>0</v>
      </c>
      <c r="JI27" s="247" cm="1">
        <f t="array" ref="JI27">TRANSPOSE(SUMIFS(Графики!$K$7:$K$306,Графики!$D$7:$D$306,'DCF (2)'!JI$6))</f>
        <v>0</v>
      </c>
      <c r="JJ27" s="247" cm="1">
        <f t="array" ref="JJ27">TRANSPOSE(SUMIFS(Графики!$K$7:$K$306,Графики!$D$7:$D$306,'DCF (2)'!JJ$6))</f>
        <v>0</v>
      </c>
      <c r="JK27" s="247" cm="1">
        <f t="array" ref="JK27">TRANSPOSE(SUMIFS(Графики!$K$7:$K$306,Графики!$D$7:$D$306,'DCF (2)'!JK$6))</f>
        <v>0</v>
      </c>
      <c r="JL27" s="247" cm="1">
        <f t="array" ref="JL27">TRANSPOSE(SUMIFS(Графики!$K$7:$K$306,Графики!$D$7:$D$306,'DCF (2)'!JL$6))</f>
        <v>0</v>
      </c>
      <c r="JM27" s="247" cm="1">
        <f t="array" ref="JM27">TRANSPOSE(SUMIFS(Графики!$K$7:$K$306,Графики!$D$7:$D$306,'DCF (2)'!JM$6))</f>
        <v>0</v>
      </c>
      <c r="JN27" s="247" cm="1">
        <f t="array" ref="JN27">TRANSPOSE(SUMIFS(Графики!$K$7:$K$306,Графики!$D$7:$D$306,'DCF (2)'!JN$6))</f>
        <v>0</v>
      </c>
      <c r="JO27" s="247" cm="1">
        <f t="array" ref="JO27">TRANSPOSE(SUMIFS(Графики!$K$7:$K$306,Графики!$D$7:$D$306,'DCF (2)'!JO$6))</f>
        <v>0</v>
      </c>
      <c r="JP27" s="247" cm="1">
        <f t="array" ref="JP27">TRANSPOSE(SUMIFS(Графики!$K$7:$K$306,Графики!$D$7:$D$306,'DCF (2)'!JP$6))</f>
        <v>0</v>
      </c>
      <c r="JQ27" s="247" cm="1">
        <f t="array" ref="JQ27">TRANSPOSE(SUMIFS(Графики!$K$7:$K$306,Графики!$D$7:$D$306,'DCF (2)'!JQ$6))</f>
        <v>0</v>
      </c>
      <c r="JR27" s="247" cm="1">
        <f t="array" ref="JR27">TRANSPOSE(SUMIFS(Графики!$K$7:$K$306,Графики!$D$7:$D$306,'DCF (2)'!JR$6))</f>
        <v>0</v>
      </c>
      <c r="JS27" s="247" cm="1">
        <f t="array" ref="JS27">TRANSPOSE(SUMIFS(Графики!$K$7:$K$306,Графики!$D$7:$D$306,'DCF (2)'!JS$6))</f>
        <v>0</v>
      </c>
      <c r="JT27" s="247" cm="1">
        <f t="array" ref="JT27">TRANSPOSE(SUMIFS(Графики!$K$7:$K$306,Графики!$D$7:$D$306,'DCF (2)'!JT$6))</f>
        <v>0</v>
      </c>
      <c r="JU27" s="247" cm="1">
        <f t="array" ref="JU27">TRANSPOSE(SUMIFS(Графики!$K$7:$K$306,Графики!$D$7:$D$306,'DCF (2)'!JU$6))</f>
        <v>0</v>
      </c>
      <c r="JV27" s="247" cm="1">
        <f t="array" ref="JV27">TRANSPOSE(SUMIFS(Графики!$K$7:$K$306,Графики!$D$7:$D$306,'DCF (2)'!JV$6))</f>
        <v>0</v>
      </c>
      <c r="JW27" s="247" cm="1">
        <f t="array" ref="JW27">TRANSPOSE(SUMIFS(Графики!$K$7:$K$306,Графики!$D$7:$D$306,'DCF (2)'!JW$6))</f>
        <v>0</v>
      </c>
      <c r="JX27" s="247" cm="1">
        <f t="array" ref="JX27">TRANSPOSE(SUMIFS(Графики!$K$7:$K$306,Графики!$D$7:$D$306,'DCF (2)'!JX$6))</f>
        <v>0</v>
      </c>
      <c r="JY27" s="247" cm="1">
        <f t="array" ref="JY27">TRANSPOSE(SUMIFS(Графики!$K$7:$K$306,Графики!$D$7:$D$306,'DCF (2)'!JY$6))</f>
        <v>0</v>
      </c>
      <c r="JZ27" s="247" cm="1">
        <f t="array" ref="JZ27">TRANSPOSE(SUMIFS(Графики!$K$7:$K$306,Графики!$D$7:$D$306,'DCF (2)'!JZ$6))</f>
        <v>0</v>
      </c>
      <c r="KA27" s="247" cm="1">
        <f t="array" ref="KA27">TRANSPOSE(SUMIFS(Графики!$K$7:$K$306,Графики!$D$7:$D$306,'DCF (2)'!KA$6))</f>
        <v>0</v>
      </c>
      <c r="KB27" s="247" cm="1">
        <f t="array" ref="KB27">TRANSPOSE(SUMIFS(Графики!$K$7:$K$306,Графики!$D$7:$D$306,'DCF (2)'!KB$6))</f>
        <v>0</v>
      </c>
      <c r="KC27" s="247" cm="1">
        <f t="array" ref="KC27">TRANSPOSE(SUMIFS(Графики!$K$7:$K$306,Графики!$D$7:$D$306,'DCF (2)'!KC$6))</f>
        <v>0</v>
      </c>
      <c r="KD27" s="247" cm="1">
        <f t="array" ref="KD27">TRANSPOSE(SUMIFS(Графики!$K$7:$K$306,Графики!$D$7:$D$306,'DCF (2)'!KD$6))</f>
        <v>0</v>
      </c>
      <c r="KE27" s="247" cm="1">
        <f t="array" ref="KE27">TRANSPOSE(SUMIFS(Графики!$K$7:$K$306,Графики!$D$7:$D$306,'DCF (2)'!KE$6))</f>
        <v>0</v>
      </c>
      <c r="KF27" s="247" cm="1">
        <f t="array" ref="KF27">TRANSPOSE(SUMIFS(Графики!$K$7:$K$306,Графики!$D$7:$D$306,'DCF (2)'!KF$6))</f>
        <v>0</v>
      </c>
      <c r="KG27" s="247" cm="1">
        <f t="array" ref="KG27">TRANSPOSE(SUMIFS(Графики!$K$7:$K$306,Графики!$D$7:$D$306,'DCF (2)'!KG$6))</f>
        <v>0</v>
      </c>
      <c r="KH27" s="247" cm="1">
        <f t="array" ref="KH27">TRANSPOSE(SUMIFS(Графики!$K$7:$K$306,Графики!$D$7:$D$306,'DCF (2)'!KH$6))</f>
        <v>0</v>
      </c>
      <c r="KI27" s="247" cm="1">
        <f t="array" ref="KI27">TRANSPOSE(SUMIFS(Графики!$K$7:$K$306,Графики!$D$7:$D$306,'DCF (2)'!KI$6))</f>
        <v>0</v>
      </c>
      <c r="KJ27" s="247" cm="1">
        <f t="array" ref="KJ27">TRANSPOSE(SUMIFS(Графики!$K$7:$K$306,Графики!$D$7:$D$306,'DCF (2)'!KJ$6))</f>
        <v>0</v>
      </c>
      <c r="KK27" s="247" cm="1">
        <f t="array" ref="KK27">TRANSPOSE(SUMIFS(Графики!$K$7:$K$306,Графики!$D$7:$D$306,'DCF (2)'!KK$6))</f>
        <v>0</v>
      </c>
      <c r="KL27" s="247" cm="1">
        <f t="array" ref="KL27">TRANSPOSE(SUMIFS(Графики!$K$7:$K$306,Графики!$D$7:$D$306,'DCF (2)'!KL$6))</f>
        <v>0</v>
      </c>
      <c r="KM27" s="247" cm="1">
        <f t="array" ref="KM27">TRANSPOSE(SUMIFS(Графики!$K$7:$K$306,Графики!$D$7:$D$306,'DCF (2)'!KM$6))</f>
        <v>0</v>
      </c>
      <c r="KN27" s="247" cm="1">
        <f t="array" ref="KN27">TRANSPOSE(SUMIFS(Графики!$K$7:$K$306,Графики!$D$7:$D$306,'DCF (2)'!KN$6))</f>
        <v>0</v>
      </c>
      <c r="KO27" s="247" cm="1">
        <f t="array" ref="KO27">TRANSPOSE(SUMIFS(Графики!$K$7:$K$306,Графики!$D$7:$D$306,'DCF (2)'!KO$6))</f>
        <v>0</v>
      </c>
      <c r="KP27" s="247" cm="1">
        <f t="array" ref="KP27">TRANSPOSE(SUMIFS(Графики!$K$7:$K$306,Графики!$D$7:$D$306,'DCF (2)'!KP$6))</f>
        <v>0</v>
      </c>
      <c r="KQ27" s="247" cm="1">
        <f t="array" ref="KQ27">TRANSPOSE(SUMIFS(Графики!$K$7:$K$306,Графики!$D$7:$D$306,'DCF (2)'!KQ$6))</f>
        <v>0</v>
      </c>
    </row>
    <row r="28" spans="2:303" x14ac:dyDescent="0.35">
      <c r="B28" s="289" t="s">
        <v>121</v>
      </c>
      <c r="C28" s="241">
        <f t="shared" si="51"/>
        <v>10013100000</v>
      </c>
      <c r="D28" s="255"/>
      <c r="E28" s="258"/>
      <c r="F28" s="258"/>
      <c r="G28" s="258"/>
      <c r="H28" s="258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  <c r="U28" s="258"/>
      <c r="V28" s="258"/>
      <c r="W28" s="258"/>
      <c r="X28" s="258"/>
      <c r="Y28" s="258"/>
      <c r="Z28" s="258"/>
      <c r="AA28" s="258"/>
      <c r="AB28" s="258"/>
      <c r="AC28" s="258"/>
      <c r="AD28" s="258"/>
      <c r="AE28" s="258"/>
      <c r="AF28" s="258"/>
      <c r="AG28" s="258"/>
      <c r="AH28" s="258"/>
      <c r="AI28" s="258"/>
      <c r="AJ28" s="258"/>
      <c r="AK28" s="258"/>
      <c r="AL28" s="258"/>
      <c r="AM28" s="258"/>
      <c r="AN28" s="258"/>
      <c r="AO28" s="258"/>
      <c r="AP28" s="258"/>
      <c r="CI28" s="255">
        <f>5006550000*2</f>
        <v>10013100000</v>
      </c>
    </row>
    <row r="29" spans="2:303" x14ac:dyDescent="0.35">
      <c r="B29" s="289" t="s">
        <v>122</v>
      </c>
      <c r="C29" s="241">
        <f t="shared" si="51"/>
        <v>0</v>
      </c>
      <c r="D29" s="255"/>
      <c r="E29" s="258"/>
      <c r="F29" s="258"/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  <c r="U29" s="258"/>
      <c r="V29" s="258"/>
      <c r="W29" s="258"/>
      <c r="X29" s="258"/>
      <c r="Y29" s="258"/>
      <c r="Z29" s="258"/>
      <c r="AA29" s="258"/>
      <c r="AB29" s="258"/>
      <c r="AC29" s="258"/>
      <c r="AD29" s="258"/>
      <c r="AE29" s="258"/>
      <c r="AF29" s="258"/>
      <c r="AG29" s="258"/>
      <c r="AH29" s="258"/>
      <c r="AI29" s="258"/>
      <c r="AJ29" s="258"/>
      <c r="AK29" s="258"/>
      <c r="AL29" s="258"/>
      <c r="AM29" s="258"/>
      <c r="AN29" s="258"/>
      <c r="AO29" s="258"/>
      <c r="AP29" s="258"/>
    </row>
    <row r="30" spans="2:303" x14ac:dyDescent="0.35">
      <c r="B30" s="289" t="s">
        <v>123</v>
      </c>
      <c r="C30" s="241">
        <f t="shared" si="51"/>
        <v>0</v>
      </c>
      <c r="D30" s="255"/>
      <c r="E30" s="258"/>
      <c r="F30" s="258"/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  <c r="U30" s="258"/>
      <c r="V30" s="258"/>
      <c r="W30" s="258"/>
      <c r="X30" s="258"/>
      <c r="Y30" s="258"/>
      <c r="Z30" s="258"/>
      <c r="AA30" s="258"/>
      <c r="AB30" s="258"/>
      <c r="AC30" s="258"/>
      <c r="AD30" s="258"/>
      <c r="AE30" s="258"/>
      <c r="AF30" s="258"/>
      <c r="AG30" s="258"/>
      <c r="AH30" s="258"/>
      <c r="AI30" s="258"/>
      <c r="AJ30" s="258"/>
      <c r="AK30" s="258"/>
      <c r="AL30" s="258"/>
      <c r="AM30" s="258"/>
      <c r="AN30" s="258"/>
      <c r="AO30" s="258"/>
      <c r="AP30" s="258"/>
    </row>
    <row r="31" spans="2:303" x14ac:dyDescent="0.35">
      <c r="B31" s="245" t="s">
        <v>124</v>
      </c>
      <c r="C31" s="259">
        <f t="shared" si="51"/>
        <v>0</v>
      </c>
      <c r="D31" s="260">
        <f t="shared" ref="D31:BO31" si="52">D24+D25+D26-D27-D28-D30-D29</f>
        <v>10013100000</v>
      </c>
      <c r="E31" s="260">
        <f t="shared" si="52"/>
        <v>0</v>
      </c>
      <c r="F31" s="260">
        <f t="shared" si="52"/>
        <v>0</v>
      </c>
      <c r="G31" s="260">
        <f t="shared" si="52"/>
        <v>0</v>
      </c>
      <c r="H31" s="260">
        <f t="shared" si="52"/>
        <v>0</v>
      </c>
      <c r="I31" s="260">
        <f t="shared" si="52"/>
        <v>0</v>
      </c>
      <c r="J31" s="260">
        <f t="shared" si="52"/>
        <v>0</v>
      </c>
      <c r="K31" s="260">
        <f t="shared" si="52"/>
        <v>0</v>
      </c>
      <c r="L31" s="260">
        <f t="shared" si="52"/>
        <v>0</v>
      </c>
      <c r="M31" s="260">
        <f t="shared" si="52"/>
        <v>0</v>
      </c>
      <c r="N31" s="260">
        <f t="shared" si="52"/>
        <v>0</v>
      </c>
      <c r="O31" s="260">
        <f t="shared" si="52"/>
        <v>0</v>
      </c>
      <c r="P31" s="260">
        <f t="shared" si="52"/>
        <v>0</v>
      </c>
      <c r="Q31" s="260">
        <f t="shared" si="52"/>
        <v>0</v>
      </c>
      <c r="R31" s="260">
        <f t="shared" si="52"/>
        <v>0</v>
      </c>
      <c r="S31" s="260">
        <f t="shared" si="52"/>
        <v>0</v>
      </c>
      <c r="T31" s="260">
        <f t="shared" si="52"/>
        <v>0</v>
      </c>
      <c r="U31" s="260">
        <f t="shared" si="52"/>
        <v>0</v>
      </c>
      <c r="V31" s="260">
        <f t="shared" si="52"/>
        <v>0</v>
      </c>
      <c r="W31" s="260">
        <f t="shared" si="52"/>
        <v>0</v>
      </c>
      <c r="X31" s="260">
        <f t="shared" si="52"/>
        <v>0</v>
      </c>
      <c r="Y31" s="260">
        <f t="shared" si="52"/>
        <v>0</v>
      </c>
      <c r="Z31" s="260">
        <f t="shared" si="52"/>
        <v>0</v>
      </c>
      <c r="AA31" s="260">
        <f t="shared" si="52"/>
        <v>0</v>
      </c>
      <c r="AB31" s="260">
        <f t="shared" si="52"/>
        <v>0</v>
      </c>
      <c r="AC31" s="260">
        <f t="shared" si="52"/>
        <v>0</v>
      </c>
      <c r="AD31" s="260">
        <f t="shared" si="52"/>
        <v>0</v>
      </c>
      <c r="AE31" s="260">
        <f t="shared" si="52"/>
        <v>0</v>
      </c>
      <c r="AF31" s="260">
        <f t="shared" si="52"/>
        <v>0</v>
      </c>
      <c r="AG31" s="260">
        <f t="shared" si="52"/>
        <v>0</v>
      </c>
      <c r="AH31" s="260">
        <f t="shared" si="52"/>
        <v>0</v>
      </c>
      <c r="AI31" s="260">
        <f t="shared" si="52"/>
        <v>0</v>
      </c>
      <c r="AJ31" s="260">
        <f t="shared" si="52"/>
        <v>0</v>
      </c>
      <c r="AK31" s="260">
        <f t="shared" si="52"/>
        <v>0</v>
      </c>
      <c r="AL31" s="260">
        <f t="shared" si="52"/>
        <v>0</v>
      </c>
      <c r="AM31" s="260">
        <f t="shared" si="52"/>
        <v>0</v>
      </c>
      <c r="AN31" s="260">
        <f t="shared" si="52"/>
        <v>0</v>
      </c>
      <c r="AO31" s="260">
        <f t="shared" si="52"/>
        <v>0</v>
      </c>
      <c r="AP31" s="260">
        <f t="shared" si="52"/>
        <v>0</v>
      </c>
      <c r="AQ31" s="260">
        <f t="shared" si="52"/>
        <v>0</v>
      </c>
      <c r="AR31" s="260">
        <f t="shared" si="52"/>
        <v>0</v>
      </c>
      <c r="AS31" s="260">
        <f t="shared" si="52"/>
        <v>0</v>
      </c>
      <c r="AT31" s="260">
        <f t="shared" si="52"/>
        <v>0</v>
      </c>
      <c r="AU31" s="260">
        <f t="shared" si="52"/>
        <v>0</v>
      </c>
      <c r="AV31" s="260">
        <f t="shared" si="52"/>
        <v>0</v>
      </c>
      <c r="AW31" s="260">
        <f t="shared" si="52"/>
        <v>0</v>
      </c>
      <c r="AX31" s="260">
        <f t="shared" si="52"/>
        <v>0</v>
      </c>
      <c r="AY31" s="260">
        <f t="shared" si="52"/>
        <v>0</v>
      </c>
      <c r="AZ31" s="260">
        <f t="shared" si="52"/>
        <v>0</v>
      </c>
      <c r="BA31" s="260">
        <f t="shared" si="52"/>
        <v>0</v>
      </c>
      <c r="BB31" s="260">
        <f t="shared" si="52"/>
        <v>0</v>
      </c>
      <c r="BC31" s="260">
        <f t="shared" si="52"/>
        <v>0</v>
      </c>
      <c r="BD31" s="260">
        <f t="shared" si="52"/>
        <v>0</v>
      </c>
      <c r="BE31" s="260">
        <f t="shared" si="52"/>
        <v>0</v>
      </c>
      <c r="BF31" s="260">
        <f t="shared" si="52"/>
        <v>0</v>
      </c>
      <c r="BG31" s="260">
        <f t="shared" si="52"/>
        <v>0</v>
      </c>
      <c r="BH31" s="260">
        <f t="shared" si="52"/>
        <v>0</v>
      </c>
      <c r="BI31" s="260">
        <f t="shared" si="52"/>
        <v>0</v>
      </c>
      <c r="BJ31" s="260">
        <f t="shared" si="52"/>
        <v>0</v>
      </c>
      <c r="BK31" s="260">
        <f t="shared" si="52"/>
        <v>0</v>
      </c>
      <c r="BL31" s="260">
        <f t="shared" si="52"/>
        <v>0</v>
      </c>
      <c r="BM31" s="260">
        <f t="shared" si="52"/>
        <v>0</v>
      </c>
      <c r="BN31" s="260">
        <f t="shared" si="52"/>
        <v>0</v>
      </c>
      <c r="BO31" s="260">
        <f t="shared" si="52"/>
        <v>0</v>
      </c>
      <c r="BP31" s="260">
        <f t="shared" ref="BP31:EA31" si="53">BP24+BP25+BP26-BP27-BP28-BP30-BP29</f>
        <v>0</v>
      </c>
      <c r="BQ31" s="260">
        <f t="shared" si="53"/>
        <v>0</v>
      </c>
      <c r="BR31" s="260">
        <f t="shared" si="53"/>
        <v>0</v>
      </c>
      <c r="BS31" s="260">
        <f t="shared" si="53"/>
        <v>0</v>
      </c>
      <c r="BT31" s="260">
        <f t="shared" si="53"/>
        <v>0</v>
      </c>
      <c r="BU31" s="260">
        <f t="shared" si="53"/>
        <v>0</v>
      </c>
      <c r="BV31" s="260">
        <f t="shared" si="53"/>
        <v>0</v>
      </c>
      <c r="BW31" s="260">
        <f t="shared" si="53"/>
        <v>0</v>
      </c>
      <c r="BX31" s="260">
        <f t="shared" si="53"/>
        <v>0</v>
      </c>
      <c r="BY31" s="260">
        <f t="shared" si="53"/>
        <v>0</v>
      </c>
      <c r="BZ31" s="260">
        <f t="shared" si="53"/>
        <v>0</v>
      </c>
      <c r="CA31" s="260">
        <f t="shared" si="53"/>
        <v>0</v>
      </c>
      <c r="CB31" s="260">
        <f t="shared" si="53"/>
        <v>0</v>
      </c>
      <c r="CC31" s="260">
        <f t="shared" si="53"/>
        <v>0</v>
      </c>
      <c r="CD31" s="260">
        <f t="shared" si="53"/>
        <v>0</v>
      </c>
      <c r="CE31" s="260">
        <f t="shared" si="53"/>
        <v>0</v>
      </c>
      <c r="CF31" s="260">
        <f t="shared" si="53"/>
        <v>0</v>
      </c>
      <c r="CG31" s="260">
        <f t="shared" si="53"/>
        <v>0</v>
      </c>
      <c r="CH31" s="260">
        <f t="shared" si="53"/>
        <v>0</v>
      </c>
      <c r="CI31" s="260">
        <f t="shared" si="53"/>
        <v>-10013100000</v>
      </c>
      <c r="CJ31" s="260">
        <f t="shared" si="53"/>
        <v>0</v>
      </c>
      <c r="CK31" s="260">
        <f t="shared" si="53"/>
        <v>0</v>
      </c>
      <c r="CL31" s="260">
        <f t="shared" si="53"/>
        <v>0</v>
      </c>
      <c r="CM31" s="260">
        <f t="shared" si="53"/>
        <v>0</v>
      </c>
      <c r="CN31" s="260">
        <f t="shared" si="53"/>
        <v>0</v>
      </c>
      <c r="CO31" s="260">
        <f t="shared" si="53"/>
        <v>0</v>
      </c>
      <c r="CP31" s="260">
        <f t="shared" si="53"/>
        <v>0</v>
      </c>
      <c r="CQ31" s="260">
        <f t="shared" si="53"/>
        <v>0</v>
      </c>
      <c r="CR31" s="260">
        <f t="shared" si="53"/>
        <v>0</v>
      </c>
      <c r="CS31" s="260">
        <f t="shared" si="53"/>
        <v>0</v>
      </c>
      <c r="CT31" s="260">
        <f t="shared" si="53"/>
        <v>0</v>
      </c>
      <c r="CU31" s="260">
        <f t="shared" si="53"/>
        <v>0</v>
      </c>
      <c r="CV31" s="260">
        <f t="shared" si="53"/>
        <v>0</v>
      </c>
      <c r="CW31" s="260">
        <f t="shared" si="53"/>
        <v>0</v>
      </c>
      <c r="CX31" s="260">
        <f t="shared" si="53"/>
        <v>0</v>
      </c>
      <c r="CY31" s="260">
        <f t="shared" si="53"/>
        <v>0</v>
      </c>
      <c r="CZ31" s="260">
        <f t="shared" si="53"/>
        <v>0</v>
      </c>
      <c r="DA31" s="260">
        <f t="shared" si="53"/>
        <v>0</v>
      </c>
      <c r="DB31" s="260">
        <f t="shared" si="53"/>
        <v>0</v>
      </c>
      <c r="DC31" s="260">
        <f t="shared" si="53"/>
        <v>0</v>
      </c>
      <c r="DD31" s="260">
        <f t="shared" si="53"/>
        <v>0</v>
      </c>
      <c r="DE31" s="260">
        <f t="shared" si="53"/>
        <v>0</v>
      </c>
      <c r="DF31" s="260">
        <f t="shared" si="53"/>
        <v>0</v>
      </c>
      <c r="DG31" s="260">
        <f t="shared" si="53"/>
        <v>0</v>
      </c>
      <c r="DH31" s="260">
        <f t="shared" si="53"/>
        <v>0</v>
      </c>
      <c r="DI31" s="260">
        <f t="shared" si="53"/>
        <v>0</v>
      </c>
      <c r="DJ31" s="260">
        <f t="shared" si="53"/>
        <v>0</v>
      </c>
      <c r="DK31" s="260">
        <f t="shared" si="53"/>
        <v>0</v>
      </c>
      <c r="DL31" s="260">
        <f t="shared" si="53"/>
        <v>0</v>
      </c>
      <c r="DM31" s="260">
        <f t="shared" si="53"/>
        <v>0</v>
      </c>
      <c r="DN31" s="260">
        <f t="shared" si="53"/>
        <v>0</v>
      </c>
      <c r="DO31" s="260">
        <f t="shared" si="53"/>
        <v>0</v>
      </c>
      <c r="DP31" s="260">
        <f t="shared" si="53"/>
        <v>0</v>
      </c>
      <c r="DQ31" s="260">
        <f t="shared" si="53"/>
        <v>0</v>
      </c>
      <c r="DR31" s="260">
        <f t="shared" si="53"/>
        <v>0</v>
      </c>
      <c r="DS31" s="260">
        <f t="shared" si="53"/>
        <v>0</v>
      </c>
      <c r="DT31" s="260">
        <f t="shared" si="53"/>
        <v>0</v>
      </c>
      <c r="DU31" s="260">
        <f t="shared" si="53"/>
        <v>0</v>
      </c>
      <c r="DV31" s="260">
        <f t="shared" si="53"/>
        <v>0</v>
      </c>
      <c r="DW31" s="260">
        <f t="shared" si="53"/>
        <v>0</v>
      </c>
      <c r="DX31" s="260">
        <f t="shared" si="53"/>
        <v>0</v>
      </c>
      <c r="DY31" s="260">
        <f t="shared" si="53"/>
        <v>0</v>
      </c>
      <c r="DZ31" s="260">
        <f t="shared" si="53"/>
        <v>0</v>
      </c>
      <c r="EA31" s="260">
        <f t="shared" si="53"/>
        <v>0</v>
      </c>
      <c r="EB31" s="260">
        <f t="shared" ref="EB31:GM31" si="54">EB24+EB25+EB26-EB27-EB28-EB30-EB29</f>
        <v>0</v>
      </c>
      <c r="EC31" s="260">
        <f t="shared" si="54"/>
        <v>0</v>
      </c>
      <c r="ED31" s="260">
        <f t="shared" si="54"/>
        <v>0</v>
      </c>
      <c r="EE31" s="260">
        <f t="shared" si="54"/>
        <v>0</v>
      </c>
      <c r="EF31" s="260">
        <f t="shared" si="54"/>
        <v>0</v>
      </c>
      <c r="EG31" s="260">
        <f t="shared" si="54"/>
        <v>0</v>
      </c>
      <c r="EH31" s="260">
        <f t="shared" si="54"/>
        <v>0</v>
      </c>
      <c r="EI31" s="260">
        <f t="shared" si="54"/>
        <v>0</v>
      </c>
      <c r="EJ31" s="260">
        <f t="shared" si="54"/>
        <v>0</v>
      </c>
      <c r="EK31" s="260">
        <f t="shared" si="54"/>
        <v>0</v>
      </c>
      <c r="EL31" s="260">
        <f t="shared" si="54"/>
        <v>0</v>
      </c>
      <c r="EM31" s="260">
        <f t="shared" si="54"/>
        <v>0</v>
      </c>
      <c r="EN31" s="260">
        <f t="shared" si="54"/>
        <v>0</v>
      </c>
      <c r="EO31" s="260">
        <f t="shared" si="54"/>
        <v>0</v>
      </c>
      <c r="EP31" s="260">
        <f t="shared" si="54"/>
        <v>0</v>
      </c>
      <c r="EQ31" s="260">
        <f t="shared" si="54"/>
        <v>0</v>
      </c>
      <c r="ER31" s="260">
        <f t="shared" si="54"/>
        <v>0</v>
      </c>
      <c r="ES31" s="260">
        <f t="shared" si="54"/>
        <v>0</v>
      </c>
      <c r="ET31" s="260">
        <f t="shared" si="54"/>
        <v>0</v>
      </c>
      <c r="EU31" s="260">
        <f t="shared" si="54"/>
        <v>0</v>
      </c>
      <c r="EV31" s="260">
        <f t="shared" si="54"/>
        <v>0</v>
      </c>
      <c r="EW31" s="260">
        <f t="shared" si="54"/>
        <v>0</v>
      </c>
      <c r="EX31" s="260">
        <f t="shared" si="54"/>
        <v>0</v>
      </c>
      <c r="EY31" s="260">
        <f t="shared" si="54"/>
        <v>0</v>
      </c>
      <c r="EZ31" s="260">
        <f t="shared" si="54"/>
        <v>0</v>
      </c>
      <c r="FA31" s="260">
        <f t="shared" si="54"/>
        <v>0</v>
      </c>
      <c r="FB31" s="260">
        <f t="shared" si="54"/>
        <v>0</v>
      </c>
      <c r="FC31" s="260">
        <f t="shared" si="54"/>
        <v>0</v>
      </c>
      <c r="FD31" s="260">
        <f t="shared" si="54"/>
        <v>0</v>
      </c>
      <c r="FE31" s="260">
        <f t="shared" si="54"/>
        <v>0</v>
      </c>
      <c r="FF31" s="260">
        <f t="shared" si="54"/>
        <v>0</v>
      </c>
      <c r="FG31" s="260">
        <f t="shared" si="54"/>
        <v>0</v>
      </c>
      <c r="FH31" s="260">
        <f t="shared" si="54"/>
        <v>0</v>
      </c>
      <c r="FI31" s="260">
        <f t="shared" si="54"/>
        <v>0</v>
      </c>
      <c r="FJ31" s="260">
        <f t="shared" si="54"/>
        <v>0</v>
      </c>
      <c r="FK31" s="260">
        <f t="shared" si="54"/>
        <v>0</v>
      </c>
      <c r="FL31" s="260">
        <f t="shared" si="54"/>
        <v>0</v>
      </c>
      <c r="FM31" s="260">
        <f t="shared" si="54"/>
        <v>0</v>
      </c>
      <c r="FN31" s="260">
        <f t="shared" si="54"/>
        <v>0</v>
      </c>
      <c r="FO31" s="260">
        <f t="shared" si="54"/>
        <v>0</v>
      </c>
      <c r="FP31" s="260">
        <f t="shared" si="54"/>
        <v>0</v>
      </c>
      <c r="FQ31" s="260">
        <f t="shared" si="54"/>
        <v>0</v>
      </c>
      <c r="FR31" s="260">
        <f t="shared" si="54"/>
        <v>0</v>
      </c>
      <c r="FS31" s="260">
        <f t="shared" si="54"/>
        <v>0</v>
      </c>
      <c r="FT31" s="260">
        <f t="shared" si="54"/>
        <v>0</v>
      </c>
      <c r="FU31" s="260">
        <f t="shared" si="54"/>
        <v>0</v>
      </c>
      <c r="FV31" s="260">
        <f t="shared" si="54"/>
        <v>0</v>
      </c>
      <c r="FW31" s="260">
        <f t="shared" si="54"/>
        <v>0</v>
      </c>
      <c r="FX31" s="260">
        <f t="shared" si="54"/>
        <v>0</v>
      </c>
      <c r="FY31" s="260">
        <f t="shared" si="54"/>
        <v>0</v>
      </c>
      <c r="FZ31" s="260">
        <f t="shared" si="54"/>
        <v>0</v>
      </c>
      <c r="GA31" s="260">
        <f t="shared" si="54"/>
        <v>0</v>
      </c>
      <c r="GB31" s="260">
        <f t="shared" si="54"/>
        <v>0</v>
      </c>
      <c r="GC31" s="260">
        <f t="shared" si="54"/>
        <v>0</v>
      </c>
      <c r="GD31" s="260">
        <f t="shared" si="54"/>
        <v>0</v>
      </c>
      <c r="GE31" s="260">
        <f t="shared" si="54"/>
        <v>0</v>
      </c>
      <c r="GF31" s="260">
        <f t="shared" si="54"/>
        <v>0</v>
      </c>
      <c r="GG31" s="260">
        <f t="shared" si="54"/>
        <v>0</v>
      </c>
      <c r="GH31" s="260">
        <f t="shared" si="54"/>
        <v>0</v>
      </c>
      <c r="GI31" s="260">
        <f t="shared" si="54"/>
        <v>0</v>
      </c>
      <c r="GJ31" s="260">
        <f t="shared" si="54"/>
        <v>0</v>
      </c>
      <c r="GK31" s="260">
        <f t="shared" si="54"/>
        <v>0</v>
      </c>
      <c r="GL31" s="260">
        <f t="shared" si="54"/>
        <v>0</v>
      </c>
      <c r="GM31" s="260">
        <f t="shared" si="54"/>
        <v>0</v>
      </c>
      <c r="GN31" s="260">
        <f t="shared" ref="GN31:IY31" si="55">GN24+GN25+GN26-GN27-GN28-GN30-GN29</f>
        <v>0</v>
      </c>
      <c r="GO31" s="260">
        <f t="shared" si="55"/>
        <v>0</v>
      </c>
      <c r="GP31" s="260">
        <f t="shared" si="55"/>
        <v>0</v>
      </c>
      <c r="GQ31" s="260">
        <f t="shared" si="55"/>
        <v>0</v>
      </c>
      <c r="GR31" s="260">
        <f t="shared" si="55"/>
        <v>0</v>
      </c>
      <c r="GS31" s="260">
        <f t="shared" si="55"/>
        <v>0</v>
      </c>
      <c r="GT31" s="260">
        <f t="shared" si="55"/>
        <v>0</v>
      </c>
      <c r="GU31" s="260">
        <f t="shared" si="55"/>
        <v>0</v>
      </c>
      <c r="GV31" s="260">
        <f t="shared" si="55"/>
        <v>0</v>
      </c>
      <c r="GW31" s="260">
        <f t="shared" si="55"/>
        <v>0</v>
      </c>
      <c r="GX31" s="260">
        <f t="shared" si="55"/>
        <v>0</v>
      </c>
      <c r="GY31" s="260">
        <f t="shared" si="55"/>
        <v>0</v>
      </c>
      <c r="GZ31" s="260">
        <f t="shared" si="55"/>
        <v>0</v>
      </c>
      <c r="HA31" s="260">
        <f t="shared" si="55"/>
        <v>0</v>
      </c>
      <c r="HB31" s="260">
        <f t="shared" si="55"/>
        <v>0</v>
      </c>
      <c r="HC31" s="260">
        <f t="shared" si="55"/>
        <v>0</v>
      </c>
      <c r="HD31" s="260">
        <f t="shared" si="55"/>
        <v>0</v>
      </c>
      <c r="HE31" s="260">
        <f t="shared" si="55"/>
        <v>0</v>
      </c>
      <c r="HF31" s="260">
        <f t="shared" si="55"/>
        <v>0</v>
      </c>
      <c r="HG31" s="260">
        <f t="shared" si="55"/>
        <v>0</v>
      </c>
      <c r="HH31" s="260">
        <f t="shared" si="55"/>
        <v>0</v>
      </c>
      <c r="HI31" s="260">
        <f t="shared" si="55"/>
        <v>0</v>
      </c>
      <c r="HJ31" s="260">
        <f t="shared" si="55"/>
        <v>0</v>
      </c>
      <c r="HK31" s="260">
        <f t="shared" si="55"/>
        <v>0</v>
      </c>
      <c r="HL31" s="260">
        <f t="shared" si="55"/>
        <v>0</v>
      </c>
      <c r="HM31" s="260">
        <f t="shared" si="55"/>
        <v>0</v>
      </c>
      <c r="HN31" s="260">
        <f t="shared" si="55"/>
        <v>0</v>
      </c>
      <c r="HO31" s="260">
        <f t="shared" si="55"/>
        <v>0</v>
      </c>
      <c r="HP31" s="260">
        <f t="shared" si="55"/>
        <v>0</v>
      </c>
      <c r="HQ31" s="260">
        <f t="shared" si="55"/>
        <v>0</v>
      </c>
      <c r="HR31" s="260">
        <f t="shared" si="55"/>
        <v>0</v>
      </c>
      <c r="HS31" s="260">
        <f t="shared" si="55"/>
        <v>0</v>
      </c>
      <c r="HT31" s="260">
        <f t="shared" si="55"/>
        <v>0</v>
      </c>
      <c r="HU31" s="260">
        <f t="shared" si="55"/>
        <v>0</v>
      </c>
      <c r="HV31" s="260">
        <f t="shared" si="55"/>
        <v>0</v>
      </c>
      <c r="HW31" s="260">
        <f t="shared" si="55"/>
        <v>0</v>
      </c>
      <c r="HX31" s="260">
        <f t="shared" si="55"/>
        <v>0</v>
      </c>
      <c r="HY31" s="260">
        <f t="shared" si="55"/>
        <v>0</v>
      </c>
      <c r="HZ31" s="260">
        <f t="shared" si="55"/>
        <v>0</v>
      </c>
      <c r="IA31" s="260">
        <f t="shared" si="55"/>
        <v>0</v>
      </c>
      <c r="IB31" s="260">
        <f t="shared" si="55"/>
        <v>0</v>
      </c>
      <c r="IC31" s="260">
        <f t="shared" si="55"/>
        <v>0</v>
      </c>
      <c r="ID31" s="260">
        <f t="shared" si="55"/>
        <v>0</v>
      </c>
      <c r="IE31" s="260">
        <f t="shared" si="55"/>
        <v>0</v>
      </c>
      <c r="IF31" s="260">
        <f t="shared" si="55"/>
        <v>0</v>
      </c>
      <c r="IG31" s="260">
        <f t="shared" si="55"/>
        <v>0</v>
      </c>
      <c r="IH31" s="260">
        <f t="shared" si="55"/>
        <v>0</v>
      </c>
      <c r="II31" s="260">
        <f t="shared" si="55"/>
        <v>0</v>
      </c>
      <c r="IJ31" s="260">
        <f t="shared" si="55"/>
        <v>0</v>
      </c>
      <c r="IK31" s="260">
        <f t="shared" si="55"/>
        <v>0</v>
      </c>
      <c r="IL31" s="260">
        <f t="shared" si="55"/>
        <v>0</v>
      </c>
      <c r="IM31" s="260">
        <f t="shared" si="55"/>
        <v>0</v>
      </c>
      <c r="IN31" s="260">
        <f t="shared" si="55"/>
        <v>0</v>
      </c>
      <c r="IO31" s="260">
        <f t="shared" si="55"/>
        <v>0</v>
      </c>
      <c r="IP31" s="260">
        <f t="shared" si="55"/>
        <v>0</v>
      </c>
      <c r="IQ31" s="260">
        <f t="shared" si="55"/>
        <v>0</v>
      </c>
      <c r="IR31" s="260">
        <f t="shared" si="55"/>
        <v>0</v>
      </c>
      <c r="IS31" s="260">
        <f t="shared" si="55"/>
        <v>0</v>
      </c>
      <c r="IT31" s="260">
        <f t="shared" si="55"/>
        <v>0</v>
      </c>
      <c r="IU31" s="260">
        <f t="shared" si="55"/>
        <v>0</v>
      </c>
      <c r="IV31" s="260">
        <f t="shared" si="55"/>
        <v>0</v>
      </c>
      <c r="IW31" s="260">
        <f t="shared" si="55"/>
        <v>0</v>
      </c>
      <c r="IX31" s="260">
        <f t="shared" si="55"/>
        <v>0</v>
      </c>
      <c r="IY31" s="260">
        <f t="shared" si="55"/>
        <v>0</v>
      </c>
      <c r="IZ31" s="260">
        <f t="shared" ref="IZ31:KQ31" si="56">IZ24+IZ25+IZ26-IZ27-IZ28-IZ30-IZ29</f>
        <v>0</v>
      </c>
      <c r="JA31" s="260">
        <f t="shared" si="56"/>
        <v>0</v>
      </c>
      <c r="JB31" s="260">
        <f t="shared" si="56"/>
        <v>0</v>
      </c>
      <c r="JC31" s="260">
        <f t="shared" si="56"/>
        <v>0</v>
      </c>
      <c r="JD31" s="260">
        <f t="shared" si="56"/>
        <v>0</v>
      </c>
      <c r="JE31" s="260">
        <f t="shared" si="56"/>
        <v>0</v>
      </c>
      <c r="JF31" s="260">
        <f t="shared" si="56"/>
        <v>0</v>
      </c>
      <c r="JG31" s="260">
        <f t="shared" si="56"/>
        <v>0</v>
      </c>
      <c r="JH31" s="260">
        <f t="shared" si="56"/>
        <v>0</v>
      </c>
      <c r="JI31" s="260">
        <f t="shared" si="56"/>
        <v>0</v>
      </c>
      <c r="JJ31" s="260">
        <f t="shared" si="56"/>
        <v>0</v>
      </c>
      <c r="JK31" s="260">
        <f t="shared" si="56"/>
        <v>0</v>
      </c>
      <c r="JL31" s="260">
        <f t="shared" si="56"/>
        <v>0</v>
      </c>
      <c r="JM31" s="260">
        <f t="shared" si="56"/>
        <v>0</v>
      </c>
      <c r="JN31" s="260">
        <f t="shared" si="56"/>
        <v>0</v>
      </c>
      <c r="JO31" s="260">
        <f t="shared" si="56"/>
        <v>0</v>
      </c>
      <c r="JP31" s="260">
        <f t="shared" si="56"/>
        <v>0</v>
      </c>
      <c r="JQ31" s="260">
        <f t="shared" si="56"/>
        <v>0</v>
      </c>
      <c r="JR31" s="260">
        <f t="shared" si="56"/>
        <v>0</v>
      </c>
      <c r="JS31" s="260">
        <f t="shared" si="56"/>
        <v>0</v>
      </c>
      <c r="JT31" s="260">
        <f t="shared" si="56"/>
        <v>0</v>
      </c>
      <c r="JU31" s="260">
        <f t="shared" si="56"/>
        <v>0</v>
      </c>
      <c r="JV31" s="260">
        <f t="shared" si="56"/>
        <v>0</v>
      </c>
      <c r="JW31" s="260">
        <f t="shared" si="56"/>
        <v>0</v>
      </c>
      <c r="JX31" s="260">
        <f t="shared" si="56"/>
        <v>0</v>
      </c>
      <c r="JY31" s="260">
        <f t="shared" si="56"/>
        <v>0</v>
      </c>
      <c r="JZ31" s="260">
        <f t="shared" si="56"/>
        <v>0</v>
      </c>
      <c r="KA31" s="260">
        <f t="shared" si="56"/>
        <v>0</v>
      </c>
      <c r="KB31" s="260">
        <f t="shared" si="56"/>
        <v>0</v>
      </c>
      <c r="KC31" s="260">
        <f t="shared" si="56"/>
        <v>0</v>
      </c>
      <c r="KD31" s="260">
        <f t="shared" si="56"/>
        <v>0</v>
      </c>
      <c r="KE31" s="260">
        <f t="shared" si="56"/>
        <v>0</v>
      </c>
      <c r="KF31" s="260">
        <f t="shared" si="56"/>
        <v>0</v>
      </c>
      <c r="KG31" s="260">
        <f t="shared" si="56"/>
        <v>0</v>
      </c>
      <c r="KH31" s="260">
        <f t="shared" si="56"/>
        <v>0</v>
      </c>
      <c r="KI31" s="260">
        <f t="shared" si="56"/>
        <v>0</v>
      </c>
      <c r="KJ31" s="260">
        <f t="shared" si="56"/>
        <v>0</v>
      </c>
      <c r="KK31" s="260">
        <f t="shared" si="56"/>
        <v>0</v>
      </c>
      <c r="KL31" s="260">
        <f t="shared" si="56"/>
        <v>0</v>
      </c>
      <c r="KM31" s="260">
        <f t="shared" si="56"/>
        <v>0</v>
      </c>
      <c r="KN31" s="260">
        <f t="shared" si="56"/>
        <v>0</v>
      </c>
      <c r="KO31" s="260">
        <f t="shared" si="56"/>
        <v>0</v>
      </c>
      <c r="KP31" s="260">
        <f t="shared" si="56"/>
        <v>0</v>
      </c>
      <c r="KQ31" s="260">
        <f t="shared" si="56"/>
        <v>0</v>
      </c>
    </row>
    <row r="32" spans="2:303" x14ac:dyDescent="0.35"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</row>
    <row r="33" spans="2:303" x14ac:dyDescent="0.35">
      <c r="B33" s="261" t="s">
        <v>125</v>
      </c>
      <c r="C33" s="262">
        <f>SUM(D33:KQ33)</f>
        <v>-64065974495.243362</v>
      </c>
      <c r="D33" s="263">
        <f t="shared" ref="D33:BO33" si="57">D22+D31</f>
        <v>5312176780.7200003</v>
      </c>
      <c r="E33" s="264">
        <f t="shared" si="57"/>
        <v>124174494.88638189</v>
      </c>
      <c r="F33" s="264">
        <f t="shared" si="57"/>
        <v>106981708.41396815</v>
      </c>
      <c r="G33" s="264">
        <f t="shared" si="57"/>
        <v>124174494.88638189</v>
      </c>
      <c r="H33" s="264">
        <f t="shared" si="57"/>
        <v>134887794.88638189</v>
      </c>
      <c r="I33" s="264">
        <f t="shared" si="57"/>
        <v>57210913.136095464</v>
      </c>
      <c r="J33" s="264">
        <f t="shared" si="57"/>
        <v>-621163396.08702672</v>
      </c>
      <c r="K33" s="264">
        <f t="shared" si="57"/>
        <v>-621163396.08702672</v>
      </c>
      <c r="L33" s="264">
        <f t="shared" si="57"/>
        <v>-627642882.55944049</v>
      </c>
      <c r="M33" s="264">
        <f t="shared" si="57"/>
        <v>-610450096.08702672</v>
      </c>
      <c r="N33" s="264">
        <f t="shared" si="57"/>
        <v>-610450096.08702672</v>
      </c>
      <c r="O33" s="264">
        <f t="shared" si="57"/>
        <v>-763556160.47430134</v>
      </c>
      <c r="P33" s="264">
        <f t="shared" si="57"/>
        <v>-382983543.33447242</v>
      </c>
      <c r="Q33" s="264">
        <f t="shared" si="57"/>
        <v>-372270243.33447242</v>
      </c>
      <c r="R33" s="264">
        <f t="shared" si="57"/>
        <v>-389463029.8068862</v>
      </c>
      <c r="S33" s="264">
        <f t="shared" si="57"/>
        <v>-372270243.33447242</v>
      </c>
      <c r="T33" s="264">
        <f t="shared" si="57"/>
        <v>-372270243.33447242</v>
      </c>
      <c r="U33" s="264">
        <f t="shared" si="57"/>
        <v>-389463029.8068862</v>
      </c>
      <c r="V33" s="264">
        <f t="shared" si="57"/>
        <v>43762906.665527463</v>
      </c>
      <c r="W33" s="264">
        <f t="shared" si="57"/>
        <v>43762906.665527463</v>
      </c>
      <c r="X33" s="264">
        <f t="shared" si="57"/>
        <v>26570120.193113707</v>
      </c>
      <c r="Y33" s="264">
        <f t="shared" si="57"/>
        <v>43762906.665527463</v>
      </c>
      <c r="Z33" s="264">
        <f t="shared" si="57"/>
        <v>43762906.665527463</v>
      </c>
      <c r="AA33" s="264">
        <f t="shared" si="57"/>
        <v>-313151381.5543015</v>
      </c>
      <c r="AB33" s="264">
        <f t="shared" si="57"/>
        <v>-725809143.33447242</v>
      </c>
      <c r="AC33" s="264">
        <f t="shared" si="57"/>
        <v>-725809143.33447242</v>
      </c>
      <c r="AD33" s="264">
        <f t="shared" si="57"/>
        <v>-743001929.8068862</v>
      </c>
      <c r="AE33" s="264">
        <f t="shared" si="57"/>
        <v>-725809143.33447242</v>
      </c>
      <c r="AF33" s="264">
        <f t="shared" si="57"/>
        <v>-725809143.33447242</v>
      </c>
      <c r="AG33" s="264">
        <f t="shared" si="57"/>
        <v>-803486025.08475876</v>
      </c>
      <c r="AH33" s="264">
        <f t="shared" si="57"/>
        <v>-786293238.61234498</v>
      </c>
      <c r="AI33" s="264">
        <f t="shared" si="57"/>
        <v>-786293238.61234498</v>
      </c>
      <c r="AJ33" s="264">
        <f t="shared" si="57"/>
        <v>-803486025.08475876</v>
      </c>
      <c r="AK33" s="264">
        <f t="shared" si="57"/>
        <v>-816535286.25128138</v>
      </c>
      <c r="AL33" s="264">
        <f t="shared" si="57"/>
        <v>-816535286.25128138</v>
      </c>
      <c r="AM33" s="264">
        <f t="shared" si="57"/>
        <v>-1173449574.4711103</v>
      </c>
      <c r="AN33" s="264">
        <f t="shared" si="57"/>
        <v>-816535286.25128138</v>
      </c>
      <c r="AO33" s="264">
        <f t="shared" si="57"/>
        <v>-816535286.25128138</v>
      </c>
      <c r="AP33" s="264">
        <f t="shared" si="57"/>
        <v>-833728072.72369516</v>
      </c>
      <c r="AQ33" s="264">
        <f t="shared" si="57"/>
        <v>-816535286.25128138</v>
      </c>
      <c r="AR33" s="264">
        <f t="shared" si="57"/>
        <v>-816535286.25128138</v>
      </c>
      <c r="AS33" s="264">
        <f t="shared" si="57"/>
        <v>-833728072.72369516</v>
      </c>
      <c r="AT33" s="264">
        <f t="shared" si="57"/>
        <v>-816535286.25128138</v>
      </c>
      <c r="AU33" s="264">
        <f t="shared" si="57"/>
        <v>-816535286.25128138</v>
      </c>
      <c r="AV33" s="264">
        <f t="shared" si="57"/>
        <v>-833728072.72369516</v>
      </c>
      <c r="AW33" s="264">
        <f t="shared" si="57"/>
        <v>-816535286.25128138</v>
      </c>
      <c r="AX33" s="264">
        <f t="shared" si="57"/>
        <v>-816535286.25128138</v>
      </c>
      <c r="AY33" s="264">
        <f t="shared" si="57"/>
        <v>-1173449574.4711103</v>
      </c>
      <c r="AZ33" s="264">
        <f t="shared" si="57"/>
        <v>-816535286.25128138</v>
      </c>
      <c r="BA33" s="264">
        <f t="shared" si="57"/>
        <v>-816535286.25128138</v>
      </c>
      <c r="BB33" s="264">
        <f t="shared" si="57"/>
        <v>-833728072.72369516</v>
      </c>
      <c r="BC33" s="264">
        <f t="shared" si="57"/>
        <v>-816535286.25128138</v>
      </c>
      <c r="BD33" s="264">
        <f t="shared" si="57"/>
        <v>-816535286.25128138</v>
      </c>
      <c r="BE33" s="264">
        <f t="shared" si="57"/>
        <v>-833728072.72369516</v>
      </c>
      <c r="BF33" s="264">
        <f t="shared" si="57"/>
        <v>-816535286.25128138</v>
      </c>
      <c r="BG33" s="264">
        <f t="shared" si="57"/>
        <v>-816535286.25128138</v>
      </c>
      <c r="BH33" s="264">
        <f t="shared" si="57"/>
        <v>-833728072.72369516</v>
      </c>
      <c r="BI33" s="264">
        <f t="shared" si="57"/>
        <v>-816535286.25128138</v>
      </c>
      <c r="BJ33" s="264">
        <f t="shared" si="57"/>
        <v>-816535286.25128138</v>
      </c>
      <c r="BK33" s="264">
        <f t="shared" si="57"/>
        <v>-1173449574.4711103</v>
      </c>
      <c r="BL33" s="264">
        <f t="shared" si="57"/>
        <v>-816535286.25128138</v>
      </c>
      <c r="BM33" s="264">
        <f t="shared" si="57"/>
        <v>-816535286.25128138</v>
      </c>
      <c r="BN33" s="264">
        <f t="shared" si="57"/>
        <v>-833728072.72369516</v>
      </c>
      <c r="BO33" s="264">
        <f t="shared" si="57"/>
        <v>-816535286.25128138</v>
      </c>
      <c r="BP33" s="264">
        <f t="shared" ref="BP33:EA33" si="58">BP22+BP31</f>
        <v>-816535286.25128138</v>
      </c>
      <c r="BQ33" s="264">
        <f t="shared" si="58"/>
        <v>-833728072.72369516</v>
      </c>
      <c r="BR33" s="264">
        <f t="shared" si="58"/>
        <v>-816535286.25128138</v>
      </c>
      <c r="BS33" s="264">
        <f t="shared" si="58"/>
        <v>-816535286.25128138</v>
      </c>
      <c r="BT33" s="264">
        <f t="shared" si="58"/>
        <v>-833728072.72369516</v>
      </c>
      <c r="BU33" s="264">
        <f t="shared" si="58"/>
        <v>-816535286.25128138</v>
      </c>
      <c r="BV33" s="264">
        <f t="shared" si="58"/>
        <v>-816535286.25128138</v>
      </c>
      <c r="BW33" s="264">
        <f t="shared" si="58"/>
        <v>-1173449574.4711103</v>
      </c>
      <c r="BX33" s="264">
        <f t="shared" si="58"/>
        <v>-816535286.25128138</v>
      </c>
      <c r="BY33" s="264">
        <f t="shared" si="58"/>
        <v>-816535286.25128138</v>
      </c>
      <c r="BZ33" s="264">
        <f t="shared" si="58"/>
        <v>-850920859.19610894</v>
      </c>
      <c r="CA33" s="264">
        <f t="shared" si="58"/>
        <v>-816535286.25128138</v>
      </c>
      <c r="CB33" s="264">
        <f t="shared" si="58"/>
        <v>-816535286.25128138</v>
      </c>
      <c r="CC33" s="264">
        <f t="shared" si="58"/>
        <v>-850920859.19610894</v>
      </c>
      <c r="CD33" s="264">
        <f t="shared" si="58"/>
        <v>-267858136.23057833</v>
      </c>
      <c r="CE33" s="264">
        <f t="shared" si="58"/>
        <v>-267858136.23057833</v>
      </c>
      <c r="CF33" s="264">
        <f t="shared" si="58"/>
        <v>-302243709.17540586</v>
      </c>
      <c r="CG33" s="264">
        <f t="shared" si="58"/>
        <v>-267858136.23057833</v>
      </c>
      <c r="CH33" s="264">
        <f t="shared" si="58"/>
        <v>-5274408136.2305784</v>
      </c>
      <c r="CI33" s="264">
        <f t="shared" si="58"/>
        <v>-10655065210.922821</v>
      </c>
      <c r="CJ33" s="264">
        <f t="shared" si="58"/>
        <v>-267858136.23057833</v>
      </c>
      <c r="CK33" s="264">
        <f t="shared" si="58"/>
        <v>0</v>
      </c>
      <c r="CL33" s="264">
        <f t="shared" si="58"/>
        <v>-34385572.944827512</v>
      </c>
      <c r="CM33" s="264">
        <f t="shared" si="58"/>
        <v>0</v>
      </c>
      <c r="CN33" s="264">
        <f t="shared" si="58"/>
        <v>0</v>
      </c>
      <c r="CO33" s="264">
        <f t="shared" si="58"/>
        <v>-34385572.944827512</v>
      </c>
      <c r="CP33" s="264">
        <f t="shared" si="58"/>
        <v>0</v>
      </c>
      <c r="CQ33" s="264">
        <f t="shared" si="58"/>
        <v>0</v>
      </c>
      <c r="CR33" s="264">
        <f t="shared" si="58"/>
        <v>-34385572.944827512</v>
      </c>
      <c r="CS33" s="264">
        <f t="shared" si="58"/>
        <v>0</v>
      </c>
      <c r="CT33" s="264">
        <f t="shared" si="58"/>
        <v>0</v>
      </c>
      <c r="CU33" s="264">
        <f t="shared" si="58"/>
        <v>-1053550078.187073</v>
      </c>
      <c r="CV33" s="264">
        <f t="shared" si="58"/>
        <v>0</v>
      </c>
      <c r="CW33" s="264">
        <f t="shared" si="58"/>
        <v>0</v>
      </c>
      <c r="CX33" s="264">
        <f t="shared" si="58"/>
        <v>0</v>
      </c>
      <c r="CY33" s="264">
        <f t="shared" si="58"/>
        <v>0</v>
      </c>
      <c r="CZ33" s="264">
        <f t="shared" si="58"/>
        <v>0</v>
      </c>
      <c r="DA33" s="264">
        <f t="shared" si="58"/>
        <v>0</v>
      </c>
      <c r="DB33" s="264">
        <f t="shared" si="58"/>
        <v>0</v>
      </c>
      <c r="DC33" s="264">
        <f t="shared" si="58"/>
        <v>0</v>
      </c>
      <c r="DD33" s="264">
        <f t="shared" si="58"/>
        <v>0</v>
      </c>
      <c r="DE33" s="264">
        <f t="shared" si="58"/>
        <v>0</v>
      </c>
      <c r="DF33" s="264">
        <f t="shared" si="58"/>
        <v>0</v>
      </c>
      <c r="DG33" s="264">
        <f t="shared" si="58"/>
        <v>0</v>
      </c>
      <c r="DH33" s="264">
        <f t="shared" si="58"/>
        <v>0</v>
      </c>
      <c r="DI33" s="264">
        <f t="shared" si="58"/>
        <v>0</v>
      </c>
      <c r="DJ33" s="264">
        <f t="shared" si="58"/>
        <v>0</v>
      </c>
      <c r="DK33" s="264">
        <f t="shared" si="58"/>
        <v>0</v>
      </c>
      <c r="DL33" s="264">
        <f t="shared" si="58"/>
        <v>0</v>
      </c>
      <c r="DM33" s="264">
        <f t="shared" si="58"/>
        <v>0</v>
      </c>
      <c r="DN33" s="264">
        <f t="shared" si="58"/>
        <v>0</v>
      </c>
      <c r="DO33" s="264">
        <f t="shared" si="58"/>
        <v>0</v>
      </c>
      <c r="DP33" s="264">
        <f t="shared" si="58"/>
        <v>0</v>
      </c>
      <c r="DQ33" s="264">
        <f t="shared" si="58"/>
        <v>0</v>
      </c>
      <c r="DR33" s="264">
        <f t="shared" si="58"/>
        <v>0</v>
      </c>
      <c r="DS33" s="264">
        <f t="shared" si="58"/>
        <v>0</v>
      </c>
      <c r="DT33" s="264">
        <f t="shared" si="58"/>
        <v>0</v>
      </c>
      <c r="DU33" s="264">
        <f t="shared" si="58"/>
        <v>0</v>
      </c>
      <c r="DV33" s="264">
        <f t="shared" si="58"/>
        <v>0</v>
      </c>
      <c r="DW33" s="264">
        <f t="shared" si="58"/>
        <v>0</v>
      </c>
      <c r="DX33" s="264">
        <f t="shared" si="58"/>
        <v>0</v>
      </c>
      <c r="DY33" s="264">
        <f t="shared" si="58"/>
        <v>0</v>
      </c>
      <c r="DZ33" s="264">
        <f t="shared" si="58"/>
        <v>0</v>
      </c>
      <c r="EA33" s="264">
        <f t="shared" si="58"/>
        <v>0</v>
      </c>
      <c r="EB33" s="264">
        <f t="shared" ref="EB33:GM33" si="59">EB22+EB31</f>
        <v>0</v>
      </c>
      <c r="EC33" s="264">
        <f t="shared" si="59"/>
        <v>0</v>
      </c>
      <c r="ED33" s="264">
        <f t="shared" si="59"/>
        <v>0</v>
      </c>
      <c r="EE33" s="264">
        <f t="shared" si="59"/>
        <v>0</v>
      </c>
      <c r="EF33" s="264">
        <f t="shared" si="59"/>
        <v>0</v>
      </c>
      <c r="EG33" s="264">
        <f t="shared" si="59"/>
        <v>0</v>
      </c>
      <c r="EH33" s="264">
        <f t="shared" si="59"/>
        <v>0</v>
      </c>
      <c r="EI33" s="264">
        <f t="shared" si="59"/>
        <v>0</v>
      </c>
      <c r="EJ33" s="264">
        <f t="shared" si="59"/>
        <v>0</v>
      </c>
      <c r="EK33" s="264">
        <f t="shared" si="59"/>
        <v>0</v>
      </c>
      <c r="EL33" s="264">
        <f t="shared" si="59"/>
        <v>0</v>
      </c>
      <c r="EM33" s="264">
        <f t="shared" si="59"/>
        <v>0</v>
      </c>
      <c r="EN33" s="264">
        <f t="shared" si="59"/>
        <v>0</v>
      </c>
      <c r="EO33" s="264">
        <f t="shared" si="59"/>
        <v>0</v>
      </c>
      <c r="EP33" s="264">
        <f t="shared" si="59"/>
        <v>0</v>
      </c>
      <c r="EQ33" s="264">
        <f t="shared" si="59"/>
        <v>0</v>
      </c>
      <c r="ER33" s="264">
        <f t="shared" si="59"/>
        <v>0</v>
      </c>
      <c r="ES33" s="264">
        <f t="shared" si="59"/>
        <v>0</v>
      </c>
      <c r="ET33" s="264">
        <f t="shared" si="59"/>
        <v>0</v>
      </c>
      <c r="EU33" s="264">
        <f t="shared" si="59"/>
        <v>0</v>
      </c>
      <c r="EV33" s="264">
        <f t="shared" si="59"/>
        <v>0</v>
      </c>
      <c r="EW33" s="264">
        <f t="shared" si="59"/>
        <v>0</v>
      </c>
      <c r="EX33" s="264">
        <f t="shared" si="59"/>
        <v>0</v>
      </c>
      <c r="EY33" s="264">
        <f t="shared" si="59"/>
        <v>0</v>
      </c>
      <c r="EZ33" s="264">
        <f t="shared" si="59"/>
        <v>0</v>
      </c>
      <c r="FA33" s="264">
        <f t="shared" si="59"/>
        <v>0</v>
      </c>
      <c r="FB33" s="264">
        <f t="shared" si="59"/>
        <v>0</v>
      </c>
      <c r="FC33" s="264">
        <f t="shared" si="59"/>
        <v>0</v>
      </c>
      <c r="FD33" s="264">
        <f t="shared" si="59"/>
        <v>0</v>
      </c>
      <c r="FE33" s="264">
        <f t="shared" si="59"/>
        <v>0</v>
      </c>
      <c r="FF33" s="264">
        <f t="shared" si="59"/>
        <v>0</v>
      </c>
      <c r="FG33" s="264">
        <f t="shared" si="59"/>
        <v>0</v>
      </c>
      <c r="FH33" s="264">
        <f t="shared" si="59"/>
        <v>0</v>
      </c>
      <c r="FI33" s="264">
        <f t="shared" si="59"/>
        <v>0</v>
      </c>
      <c r="FJ33" s="264">
        <f t="shared" si="59"/>
        <v>0</v>
      </c>
      <c r="FK33" s="264">
        <f t="shared" si="59"/>
        <v>0</v>
      </c>
      <c r="FL33" s="264">
        <f t="shared" si="59"/>
        <v>0</v>
      </c>
      <c r="FM33" s="264">
        <f t="shared" si="59"/>
        <v>0</v>
      </c>
      <c r="FN33" s="264">
        <f t="shared" si="59"/>
        <v>0</v>
      </c>
      <c r="FO33" s="264">
        <f t="shared" si="59"/>
        <v>0</v>
      </c>
      <c r="FP33" s="264">
        <f t="shared" si="59"/>
        <v>0</v>
      </c>
      <c r="FQ33" s="264">
        <f t="shared" si="59"/>
        <v>0</v>
      </c>
      <c r="FR33" s="264">
        <f t="shared" si="59"/>
        <v>0</v>
      </c>
      <c r="FS33" s="264">
        <f t="shared" si="59"/>
        <v>0</v>
      </c>
      <c r="FT33" s="264">
        <f t="shared" si="59"/>
        <v>0</v>
      </c>
      <c r="FU33" s="264">
        <f t="shared" si="59"/>
        <v>0</v>
      </c>
      <c r="FV33" s="264">
        <f t="shared" si="59"/>
        <v>0</v>
      </c>
      <c r="FW33" s="264">
        <f t="shared" si="59"/>
        <v>0</v>
      </c>
      <c r="FX33" s="264">
        <f t="shared" si="59"/>
        <v>0</v>
      </c>
      <c r="FY33" s="264">
        <f t="shared" si="59"/>
        <v>0</v>
      </c>
      <c r="FZ33" s="264">
        <f t="shared" si="59"/>
        <v>0</v>
      </c>
      <c r="GA33" s="264">
        <f t="shared" si="59"/>
        <v>0</v>
      </c>
      <c r="GB33" s="264">
        <f t="shared" si="59"/>
        <v>0</v>
      </c>
      <c r="GC33" s="264">
        <f t="shared" si="59"/>
        <v>0</v>
      </c>
      <c r="GD33" s="264">
        <f t="shared" si="59"/>
        <v>0</v>
      </c>
      <c r="GE33" s="264">
        <f t="shared" si="59"/>
        <v>0</v>
      </c>
      <c r="GF33" s="264">
        <f t="shared" si="59"/>
        <v>0</v>
      </c>
      <c r="GG33" s="264">
        <f t="shared" si="59"/>
        <v>0</v>
      </c>
      <c r="GH33" s="264">
        <f t="shared" si="59"/>
        <v>0</v>
      </c>
      <c r="GI33" s="264">
        <f t="shared" si="59"/>
        <v>0</v>
      </c>
      <c r="GJ33" s="264">
        <f t="shared" si="59"/>
        <v>0</v>
      </c>
      <c r="GK33" s="264">
        <f t="shared" si="59"/>
        <v>0</v>
      </c>
      <c r="GL33" s="264">
        <f t="shared" si="59"/>
        <v>0</v>
      </c>
      <c r="GM33" s="264">
        <f t="shared" si="59"/>
        <v>0</v>
      </c>
      <c r="GN33" s="264">
        <f t="shared" ref="GN33:IY33" si="60">GN22+GN31</f>
        <v>0</v>
      </c>
      <c r="GO33" s="264">
        <f t="shared" si="60"/>
        <v>0</v>
      </c>
      <c r="GP33" s="264">
        <f t="shared" si="60"/>
        <v>0</v>
      </c>
      <c r="GQ33" s="264">
        <f t="shared" si="60"/>
        <v>0</v>
      </c>
      <c r="GR33" s="264">
        <f t="shared" si="60"/>
        <v>0</v>
      </c>
      <c r="GS33" s="264">
        <f t="shared" si="60"/>
        <v>0</v>
      </c>
      <c r="GT33" s="264">
        <f t="shared" si="60"/>
        <v>0</v>
      </c>
      <c r="GU33" s="264">
        <f t="shared" si="60"/>
        <v>0</v>
      </c>
      <c r="GV33" s="264">
        <f t="shared" si="60"/>
        <v>0</v>
      </c>
      <c r="GW33" s="264">
        <f t="shared" si="60"/>
        <v>0</v>
      </c>
      <c r="GX33" s="264">
        <f t="shared" si="60"/>
        <v>0</v>
      </c>
      <c r="GY33" s="264">
        <f t="shared" si="60"/>
        <v>0</v>
      </c>
      <c r="GZ33" s="264">
        <f t="shared" si="60"/>
        <v>0</v>
      </c>
      <c r="HA33" s="264">
        <f t="shared" si="60"/>
        <v>0</v>
      </c>
      <c r="HB33" s="264">
        <f t="shared" si="60"/>
        <v>0</v>
      </c>
      <c r="HC33" s="264">
        <f t="shared" si="60"/>
        <v>0</v>
      </c>
      <c r="HD33" s="264">
        <f t="shared" si="60"/>
        <v>0</v>
      </c>
      <c r="HE33" s="264">
        <f t="shared" si="60"/>
        <v>0</v>
      </c>
      <c r="HF33" s="264">
        <f t="shared" si="60"/>
        <v>0</v>
      </c>
      <c r="HG33" s="264">
        <f t="shared" si="60"/>
        <v>0</v>
      </c>
      <c r="HH33" s="264">
        <f t="shared" si="60"/>
        <v>0</v>
      </c>
      <c r="HI33" s="264">
        <f t="shared" si="60"/>
        <v>0</v>
      </c>
      <c r="HJ33" s="264">
        <f t="shared" si="60"/>
        <v>0</v>
      </c>
      <c r="HK33" s="264">
        <f t="shared" si="60"/>
        <v>0</v>
      </c>
      <c r="HL33" s="264">
        <f t="shared" si="60"/>
        <v>0</v>
      </c>
      <c r="HM33" s="264">
        <f t="shared" si="60"/>
        <v>0</v>
      </c>
      <c r="HN33" s="264">
        <f t="shared" si="60"/>
        <v>0</v>
      </c>
      <c r="HO33" s="264">
        <f t="shared" si="60"/>
        <v>0</v>
      </c>
      <c r="HP33" s="264">
        <f t="shared" si="60"/>
        <v>0</v>
      </c>
      <c r="HQ33" s="264">
        <f t="shared" si="60"/>
        <v>0</v>
      </c>
      <c r="HR33" s="264">
        <f t="shared" si="60"/>
        <v>0</v>
      </c>
      <c r="HS33" s="264">
        <f t="shared" si="60"/>
        <v>0</v>
      </c>
      <c r="HT33" s="264">
        <f t="shared" si="60"/>
        <v>0</v>
      </c>
      <c r="HU33" s="264">
        <f t="shared" si="60"/>
        <v>0</v>
      </c>
      <c r="HV33" s="264">
        <f t="shared" si="60"/>
        <v>0</v>
      </c>
      <c r="HW33" s="264">
        <f t="shared" si="60"/>
        <v>0</v>
      </c>
      <c r="HX33" s="264">
        <f t="shared" si="60"/>
        <v>0</v>
      </c>
      <c r="HY33" s="264">
        <f t="shared" si="60"/>
        <v>0</v>
      </c>
      <c r="HZ33" s="264">
        <f t="shared" si="60"/>
        <v>0</v>
      </c>
      <c r="IA33" s="264">
        <f t="shared" si="60"/>
        <v>0</v>
      </c>
      <c r="IB33" s="264">
        <f t="shared" si="60"/>
        <v>0</v>
      </c>
      <c r="IC33" s="264">
        <f t="shared" si="60"/>
        <v>0</v>
      </c>
      <c r="ID33" s="264">
        <f t="shared" si="60"/>
        <v>0</v>
      </c>
      <c r="IE33" s="264">
        <f t="shared" si="60"/>
        <v>0</v>
      </c>
      <c r="IF33" s="264">
        <f t="shared" si="60"/>
        <v>0</v>
      </c>
      <c r="IG33" s="264">
        <f t="shared" si="60"/>
        <v>0</v>
      </c>
      <c r="IH33" s="264">
        <f t="shared" si="60"/>
        <v>0</v>
      </c>
      <c r="II33" s="264">
        <f t="shared" si="60"/>
        <v>0</v>
      </c>
      <c r="IJ33" s="264">
        <f t="shared" si="60"/>
        <v>0</v>
      </c>
      <c r="IK33" s="264">
        <f t="shared" si="60"/>
        <v>0</v>
      </c>
      <c r="IL33" s="264">
        <f t="shared" si="60"/>
        <v>0</v>
      </c>
      <c r="IM33" s="264">
        <f t="shared" si="60"/>
        <v>0</v>
      </c>
      <c r="IN33" s="264">
        <f t="shared" si="60"/>
        <v>0</v>
      </c>
      <c r="IO33" s="264">
        <f t="shared" si="60"/>
        <v>0</v>
      </c>
      <c r="IP33" s="264">
        <f t="shared" si="60"/>
        <v>0</v>
      </c>
      <c r="IQ33" s="264">
        <f t="shared" si="60"/>
        <v>0</v>
      </c>
      <c r="IR33" s="264">
        <f t="shared" si="60"/>
        <v>0</v>
      </c>
      <c r="IS33" s="264">
        <f t="shared" si="60"/>
        <v>0</v>
      </c>
      <c r="IT33" s="264">
        <f t="shared" si="60"/>
        <v>0</v>
      </c>
      <c r="IU33" s="264">
        <f t="shared" si="60"/>
        <v>0</v>
      </c>
      <c r="IV33" s="264">
        <f t="shared" si="60"/>
        <v>0</v>
      </c>
      <c r="IW33" s="264">
        <f t="shared" si="60"/>
        <v>0</v>
      </c>
      <c r="IX33" s="264">
        <f t="shared" si="60"/>
        <v>0</v>
      </c>
      <c r="IY33" s="264">
        <f t="shared" si="60"/>
        <v>0</v>
      </c>
      <c r="IZ33" s="264">
        <f t="shared" ref="IZ33:KQ33" si="61">IZ22+IZ31</f>
        <v>0</v>
      </c>
      <c r="JA33" s="264">
        <f t="shared" si="61"/>
        <v>0</v>
      </c>
      <c r="JB33" s="264">
        <f t="shared" si="61"/>
        <v>0</v>
      </c>
      <c r="JC33" s="264">
        <f t="shared" si="61"/>
        <v>0</v>
      </c>
      <c r="JD33" s="264">
        <f t="shared" si="61"/>
        <v>0</v>
      </c>
      <c r="JE33" s="264">
        <f t="shared" si="61"/>
        <v>0</v>
      </c>
      <c r="JF33" s="264">
        <f t="shared" si="61"/>
        <v>0</v>
      </c>
      <c r="JG33" s="264">
        <f t="shared" si="61"/>
        <v>0</v>
      </c>
      <c r="JH33" s="264">
        <f t="shared" si="61"/>
        <v>0</v>
      </c>
      <c r="JI33" s="264">
        <f t="shared" si="61"/>
        <v>0</v>
      </c>
      <c r="JJ33" s="264">
        <f t="shared" si="61"/>
        <v>0</v>
      </c>
      <c r="JK33" s="264">
        <f t="shared" si="61"/>
        <v>0</v>
      </c>
      <c r="JL33" s="264">
        <f t="shared" si="61"/>
        <v>0</v>
      </c>
      <c r="JM33" s="264">
        <f t="shared" si="61"/>
        <v>0</v>
      </c>
      <c r="JN33" s="264">
        <f t="shared" si="61"/>
        <v>0</v>
      </c>
      <c r="JO33" s="264">
        <f t="shared" si="61"/>
        <v>0</v>
      </c>
      <c r="JP33" s="264">
        <f t="shared" si="61"/>
        <v>0</v>
      </c>
      <c r="JQ33" s="264">
        <f t="shared" si="61"/>
        <v>0</v>
      </c>
      <c r="JR33" s="264">
        <f t="shared" si="61"/>
        <v>0</v>
      </c>
      <c r="JS33" s="264">
        <f t="shared" si="61"/>
        <v>0</v>
      </c>
      <c r="JT33" s="264">
        <f t="shared" si="61"/>
        <v>0</v>
      </c>
      <c r="JU33" s="264">
        <f t="shared" si="61"/>
        <v>0</v>
      </c>
      <c r="JV33" s="264">
        <f t="shared" si="61"/>
        <v>0</v>
      </c>
      <c r="JW33" s="264">
        <f t="shared" si="61"/>
        <v>0</v>
      </c>
      <c r="JX33" s="264">
        <f t="shared" si="61"/>
        <v>0</v>
      </c>
      <c r="JY33" s="264">
        <f t="shared" si="61"/>
        <v>0</v>
      </c>
      <c r="JZ33" s="264">
        <f t="shared" si="61"/>
        <v>0</v>
      </c>
      <c r="KA33" s="264">
        <f t="shared" si="61"/>
        <v>0</v>
      </c>
      <c r="KB33" s="264">
        <f t="shared" si="61"/>
        <v>0</v>
      </c>
      <c r="KC33" s="264">
        <f t="shared" si="61"/>
        <v>0</v>
      </c>
      <c r="KD33" s="264">
        <f t="shared" si="61"/>
        <v>0</v>
      </c>
      <c r="KE33" s="264">
        <f t="shared" si="61"/>
        <v>0</v>
      </c>
      <c r="KF33" s="264">
        <f t="shared" si="61"/>
        <v>0</v>
      </c>
      <c r="KG33" s="264">
        <f t="shared" si="61"/>
        <v>0</v>
      </c>
      <c r="KH33" s="264">
        <f t="shared" si="61"/>
        <v>0</v>
      </c>
      <c r="KI33" s="264">
        <f t="shared" si="61"/>
        <v>0</v>
      </c>
      <c r="KJ33" s="264">
        <f t="shared" si="61"/>
        <v>0</v>
      </c>
      <c r="KK33" s="264">
        <f t="shared" si="61"/>
        <v>0</v>
      </c>
      <c r="KL33" s="264">
        <f t="shared" si="61"/>
        <v>0</v>
      </c>
      <c r="KM33" s="264">
        <f t="shared" si="61"/>
        <v>0</v>
      </c>
      <c r="KN33" s="264">
        <f t="shared" si="61"/>
        <v>0</v>
      </c>
      <c r="KO33" s="264">
        <f t="shared" si="61"/>
        <v>0</v>
      </c>
      <c r="KP33" s="264">
        <f t="shared" si="61"/>
        <v>0</v>
      </c>
      <c r="KQ33" s="264">
        <f t="shared" si="61"/>
        <v>0</v>
      </c>
    </row>
    <row r="34" spans="2:303" x14ac:dyDescent="0.35">
      <c r="B34" s="265"/>
      <c r="C34" s="266"/>
      <c r="D34" s="267"/>
      <c r="E34" s="267"/>
      <c r="F34" s="267"/>
      <c r="G34" s="267"/>
      <c r="H34" s="267"/>
      <c r="I34" s="267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  <c r="AC34" s="267"/>
      <c r="AD34" s="267"/>
      <c r="AE34" s="267"/>
      <c r="AF34" s="267"/>
      <c r="AG34" s="267"/>
      <c r="AH34" s="267"/>
      <c r="AI34" s="267"/>
      <c r="AJ34" s="267"/>
      <c r="AK34" s="267"/>
      <c r="AL34" s="267"/>
      <c r="AM34" s="267"/>
      <c r="AN34" s="267"/>
      <c r="AO34" s="267"/>
      <c r="AP34" s="267"/>
    </row>
    <row r="35" spans="2:303" x14ac:dyDescent="0.35">
      <c r="B35" s="268"/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  <c r="AA35" s="269"/>
      <c r="AB35" s="269"/>
      <c r="AC35" s="269"/>
      <c r="AD35" s="269"/>
      <c r="AE35" s="269"/>
      <c r="AF35" s="269"/>
      <c r="AG35" s="269"/>
      <c r="AH35" s="269"/>
      <c r="AI35" s="269"/>
      <c r="AJ35" s="269"/>
      <c r="AK35" s="269"/>
      <c r="AL35" s="269"/>
      <c r="AM35" s="269"/>
      <c r="AN35" s="269"/>
      <c r="AO35" s="269"/>
      <c r="AP35" s="269"/>
    </row>
    <row r="36" spans="2:303" x14ac:dyDescent="0.35">
      <c r="B36" s="270" t="s">
        <v>126</v>
      </c>
      <c r="C36" s="266" t="s">
        <v>48</v>
      </c>
      <c r="D36" s="271">
        <f>D33</f>
        <v>5312176780.7200003</v>
      </c>
      <c r="E36" s="271">
        <f t="shared" ref="E36:BP36" si="62">D36+E33</f>
        <v>5436351275.6063824</v>
      </c>
      <c r="F36" s="271">
        <f t="shared" si="62"/>
        <v>5543332984.0203505</v>
      </c>
      <c r="G36" s="271">
        <f t="shared" si="62"/>
        <v>5667507478.9067326</v>
      </c>
      <c r="H36" s="271">
        <f t="shared" si="62"/>
        <v>5802395273.7931147</v>
      </c>
      <c r="I36" s="271">
        <f t="shared" si="62"/>
        <v>5859606186.9292097</v>
      </c>
      <c r="J36" s="271">
        <f t="shared" si="62"/>
        <v>5238442790.8421831</v>
      </c>
      <c r="K36" s="271">
        <f t="shared" si="62"/>
        <v>4617279394.7551565</v>
      </c>
      <c r="L36" s="271">
        <f t="shared" si="62"/>
        <v>3989636512.1957159</v>
      </c>
      <c r="M36" s="271">
        <f t="shared" si="62"/>
        <v>3379186416.1086893</v>
      </c>
      <c r="N36" s="271">
        <f t="shared" si="62"/>
        <v>2768736320.0216627</v>
      </c>
      <c r="O36" s="271">
        <f t="shared" si="62"/>
        <v>2005180159.5473614</v>
      </c>
      <c r="P36" s="271">
        <f t="shared" si="62"/>
        <v>1622196616.212889</v>
      </c>
      <c r="Q36" s="271">
        <f t="shared" si="62"/>
        <v>1249926372.8784165</v>
      </c>
      <c r="R36" s="271">
        <f t="shared" si="62"/>
        <v>860463343.07153034</v>
      </c>
      <c r="S36" s="271">
        <f t="shared" si="62"/>
        <v>488193099.73705792</v>
      </c>
      <c r="T36" s="271">
        <f t="shared" si="62"/>
        <v>115922856.40258551</v>
      </c>
      <c r="U36" s="271">
        <f t="shared" si="62"/>
        <v>-273540173.40430069</v>
      </c>
      <c r="V36" s="271">
        <f t="shared" si="62"/>
        <v>-229777266.73877323</v>
      </c>
      <c r="W36" s="271">
        <f t="shared" si="62"/>
        <v>-186014360.07324576</v>
      </c>
      <c r="X36" s="271">
        <f t="shared" si="62"/>
        <v>-159444239.88013205</v>
      </c>
      <c r="Y36" s="271">
        <f t="shared" si="62"/>
        <v>-115681333.21460459</v>
      </c>
      <c r="Z36" s="271">
        <f t="shared" si="62"/>
        <v>-71918426.549077123</v>
      </c>
      <c r="AA36" s="271">
        <f t="shared" si="62"/>
        <v>-385069808.10337865</v>
      </c>
      <c r="AB36" s="271">
        <f t="shared" si="62"/>
        <v>-1110878951.437851</v>
      </c>
      <c r="AC36" s="271">
        <f t="shared" si="62"/>
        <v>-1836688094.7723234</v>
      </c>
      <c r="AD36" s="271">
        <f t="shared" si="62"/>
        <v>-2579690024.5792093</v>
      </c>
      <c r="AE36" s="271">
        <f t="shared" si="62"/>
        <v>-3305499167.913682</v>
      </c>
      <c r="AF36" s="271">
        <f t="shared" si="62"/>
        <v>-4031308311.2481546</v>
      </c>
      <c r="AG36" s="271">
        <f t="shared" si="62"/>
        <v>-4834794336.3329134</v>
      </c>
      <c r="AH36" s="271">
        <f t="shared" si="62"/>
        <v>-5621087574.9452581</v>
      </c>
      <c r="AI36" s="271">
        <f t="shared" si="62"/>
        <v>-6407380813.5576029</v>
      </c>
      <c r="AJ36" s="271">
        <f t="shared" si="62"/>
        <v>-7210866838.6423616</v>
      </c>
      <c r="AK36" s="271">
        <f t="shared" si="62"/>
        <v>-8027402124.8936434</v>
      </c>
      <c r="AL36" s="271">
        <f t="shared" si="62"/>
        <v>-8843937411.1449242</v>
      </c>
      <c r="AM36" s="271">
        <f t="shared" si="62"/>
        <v>-10017386985.616035</v>
      </c>
      <c r="AN36" s="271">
        <f t="shared" si="62"/>
        <v>-10833922271.867317</v>
      </c>
      <c r="AO36" s="271">
        <f t="shared" si="62"/>
        <v>-11650457558.118599</v>
      </c>
      <c r="AP36" s="271">
        <f t="shared" si="62"/>
        <v>-12484185630.842295</v>
      </c>
      <c r="AQ36" s="271">
        <f t="shared" si="62"/>
        <v>-13300720917.093576</v>
      </c>
      <c r="AR36" s="271">
        <f t="shared" si="62"/>
        <v>-14117256203.344858</v>
      </c>
      <c r="AS36" s="271">
        <f t="shared" si="62"/>
        <v>-14950984276.068554</v>
      </c>
      <c r="AT36" s="271">
        <f t="shared" si="62"/>
        <v>-15767519562.319836</v>
      </c>
      <c r="AU36" s="271">
        <f t="shared" si="62"/>
        <v>-16584054848.571117</v>
      </c>
      <c r="AV36" s="271">
        <f t="shared" si="62"/>
        <v>-17417782921.294811</v>
      </c>
      <c r="AW36" s="271">
        <f t="shared" si="62"/>
        <v>-18234318207.546093</v>
      </c>
      <c r="AX36" s="271">
        <f t="shared" si="62"/>
        <v>-19050853493.797375</v>
      </c>
      <c r="AY36" s="271">
        <f t="shared" si="62"/>
        <v>-20224303068.268486</v>
      </c>
      <c r="AZ36" s="271">
        <f t="shared" si="62"/>
        <v>-21040838354.519768</v>
      </c>
      <c r="BA36" s="271">
        <f t="shared" si="62"/>
        <v>-21857373640.771049</v>
      </c>
      <c r="BB36" s="271">
        <f t="shared" si="62"/>
        <v>-22691101713.494743</v>
      </c>
      <c r="BC36" s="271">
        <f t="shared" si="62"/>
        <v>-23507636999.746025</v>
      </c>
      <c r="BD36" s="271">
        <f t="shared" si="62"/>
        <v>-24324172285.997307</v>
      </c>
      <c r="BE36" s="271">
        <f t="shared" si="62"/>
        <v>-25157900358.721001</v>
      </c>
      <c r="BF36" s="271">
        <f t="shared" si="62"/>
        <v>-25974435644.972282</v>
      </c>
      <c r="BG36" s="271">
        <f t="shared" si="62"/>
        <v>-26790970931.223564</v>
      </c>
      <c r="BH36" s="271">
        <f t="shared" si="62"/>
        <v>-27624699003.947258</v>
      </c>
      <c r="BI36" s="271">
        <f t="shared" si="62"/>
        <v>-28441234290.19854</v>
      </c>
      <c r="BJ36" s="271">
        <f t="shared" si="62"/>
        <v>-29257769576.449821</v>
      </c>
      <c r="BK36" s="271">
        <f t="shared" si="62"/>
        <v>-30431219150.920933</v>
      </c>
      <c r="BL36" s="271">
        <f t="shared" si="62"/>
        <v>-31247754437.172215</v>
      </c>
      <c r="BM36" s="271">
        <f t="shared" si="62"/>
        <v>-32064289723.423496</v>
      </c>
      <c r="BN36" s="271">
        <f t="shared" si="62"/>
        <v>-32898017796.14719</v>
      </c>
      <c r="BO36" s="271">
        <f t="shared" si="62"/>
        <v>-33714553082.398472</v>
      </c>
      <c r="BP36" s="271">
        <f t="shared" si="62"/>
        <v>-34531088368.64975</v>
      </c>
      <c r="BQ36" s="271">
        <f t="shared" ref="BQ36:EB36" si="63">BP36+BQ33</f>
        <v>-35364816441.373444</v>
      </c>
      <c r="BR36" s="271">
        <f t="shared" si="63"/>
        <v>-36181351727.624725</v>
      </c>
      <c r="BS36" s="271">
        <f t="shared" si="63"/>
        <v>-36997887013.876007</v>
      </c>
      <c r="BT36" s="271">
        <f t="shared" si="63"/>
        <v>-37831615086.599701</v>
      </c>
      <c r="BU36" s="271">
        <f t="shared" si="63"/>
        <v>-38648150372.850983</v>
      </c>
      <c r="BV36" s="271">
        <f t="shared" si="63"/>
        <v>-39464685659.102264</v>
      </c>
      <c r="BW36" s="271">
        <f t="shared" si="63"/>
        <v>-40638135233.573372</v>
      </c>
      <c r="BX36" s="271">
        <f t="shared" si="63"/>
        <v>-41454670519.824654</v>
      </c>
      <c r="BY36" s="271">
        <f t="shared" si="63"/>
        <v>-42271205806.075935</v>
      </c>
      <c r="BZ36" s="271">
        <f t="shared" si="63"/>
        <v>-43122126665.272041</v>
      </c>
      <c r="CA36" s="271">
        <f t="shared" si="63"/>
        <v>-43938661951.523323</v>
      </c>
      <c r="CB36" s="271">
        <f t="shared" si="63"/>
        <v>-44755197237.774605</v>
      </c>
      <c r="CC36" s="271">
        <f t="shared" si="63"/>
        <v>-45606118096.970711</v>
      </c>
      <c r="CD36" s="271">
        <f t="shared" si="63"/>
        <v>-45873976233.201286</v>
      </c>
      <c r="CE36" s="271">
        <f t="shared" si="63"/>
        <v>-46141834369.431862</v>
      </c>
      <c r="CF36" s="271">
        <f t="shared" si="63"/>
        <v>-46444078078.607269</v>
      </c>
      <c r="CG36" s="271">
        <f t="shared" si="63"/>
        <v>-46711936214.837845</v>
      </c>
      <c r="CH36" s="271">
        <f t="shared" si="63"/>
        <v>-51986344351.06842</v>
      </c>
      <c r="CI36" s="271">
        <f t="shared" si="63"/>
        <v>-62641409561.991241</v>
      </c>
      <c r="CJ36" s="271">
        <f t="shared" si="63"/>
        <v>-62909267698.221817</v>
      </c>
      <c r="CK36" s="271">
        <f t="shared" si="63"/>
        <v>-62909267698.221817</v>
      </c>
      <c r="CL36" s="271">
        <f t="shared" si="63"/>
        <v>-62943653271.166641</v>
      </c>
      <c r="CM36" s="271">
        <f t="shared" si="63"/>
        <v>-62943653271.166641</v>
      </c>
      <c r="CN36" s="271">
        <f t="shared" si="63"/>
        <v>-62943653271.166641</v>
      </c>
      <c r="CO36" s="271">
        <f t="shared" si="63"/>
        <v>-62978038844.111465</v>
      </c>
      <c r="CP36" s="271">
        <f t="shared" si="63"/>
        <v>-62978038844.111465</v>
      </c>
      <c r="CQ36" s="271">
        <f t="shared" si="63"/>
        <v>-62978038844.111465</v>
      </c>
      <c r="CR36" s="271">
        <f t="shared" si="63"/>
        <v>-63012424417.05629</v>
      </c>
      <c r="CS36" s="271">
        <f t="shared" si="63"/>
        <v>-63012424417.05629</v>
      </c>
      <c r="CT36" s="271">
        <f t="shared" si="63"/>
        <v>-63012424417.05629</v>
      </c>
      <c r="CU36" s="271">
        <f t="shared" si="63"/>
        <v>-64065974495.243362</v>
      </c>
      <c r="CV36" s="271">
        <f t="shared" si="63"/>
        <v>-64065974495.243362</v>
      </c>
      <c r="CW36" s="271">
        <f t="shared" si="63"/>
        <v>-64065974495.243362</v>
      </c>
      <c r="CX36" s="271">
        <f t="shared" si="63"/>
        <v>-64065974495.243362</v>
      </c>
      <c r="CY36" s="271">
        <f t="shared" si="63"/>
        <v>-64065974495.243362</v>
      </c>
      <c r="CZ36" s="271">
        <f t="shared" si="63"/>
        <v>-64065974495.243362</v>
      </c>
      <c r="DA36" s="271">
        <f t="shared" si="63"/>
        <v>-64065974495.243362</v>
      </c>
      <c r="DB36" s="271">
        <f t="shared" si="63"/>
        <v>-64065974495.243362</v>
      </c>
      <c r="DC36" s="271">
        <f t="shared" si="63"/>
        <v>-64065974495.243362</v>
      </c>
      <c r="DD36" s="271">
        <f t="shared" si="63"/>
        <v>-64065974495.243362</v>
      </c>
      <c r="DE36" s="271">
        <f t="shared" si="63"/>
        <v>-64065974495.243362</v>
      </c>
      <c r="DF36" s="271">
        <f t="shared" si="63"/>
        <v>-64065974495.243362</v>
      </c>
      <c r="DG36" s="271">
        <f t="shared" si="63"/>
        <v>-64065974495.243362</v>
      </c>
      <c r="DH36" s="271">
        <f t="shared" si="63"/>
        <v>-64065974495.243362</v>
      </c>
      <c r="DI36" s="271">
        <f t="shared" si="63"/>
        <v>-64065974495.243362</v>
      </c>
      <c r="DJ36" s="271">
        <f t="shared" si="63"/>
        <v>-64065974495.243362</v>
      </c>
      <c r="DK36" s="271">
        <f t="shared" si="63"/>
        <v>-64065974495.243362</v>
      </c>
      <c r="DL36" s="271">
        <f t="shared" si="63"/>
        <v>-64065974495.243362</v>
      </c>
      <c r="DM36" s="271">
        <f t="shared" si="63"/>
        <v>-64065974495.243362</v>
      </c>
      <c r="DN36" s="271">
        <f t="shared" si="63"/>
        <v>-64065974495.243362</v>
      </c>
      <c r="DO36" s="271">
        <f t="shared" si="63"/>
        <v>-64065974495.243362</v>
      </c>
      <c r="DP36" s="271">
        <f t="shared" si="63"/>
        <v>-64065974495.243362</v>
      </c>
      <c r="DQ36" s="271">
        <f t="shared" si="63"/>
        <v>-64065974495.243362</v>
      </c>
      <c r="DR36" s="271">
        <f t="shared" si="63"/>
        <v>-64065974495.243362</v>
      </c>
      <c r="DS36" s="271">
        <f t="shared" si="63"/>
        <v>-64065974495.243362</v>
      </c>
      <c r="DT36" s="271">
        <f t="shared" si="63"/>
        <v>-64065974495.243362</v>
      </c>
      <c r="DU36" s="271">
        <f t="shared" si="63"/>
        <v>-64065974495.243362</v>
      </c>
      <c r="DV36" s="271">
        <f t="shared" si="63"/>
        <v>-64065974495.243362</v>
      </c>
      <c r="DW36" s="271">
        <f t="shared" si="63"/>
        <v>-64065974495.243362</v>
      </c>
      <c r="DX36" s="271">
        <f t="shared" si="63"/>
        <v>-64065974495.243362</v>
      </c>
      <c r="DY36" s="271">
        <f t="shared" si="63"/>
        <v>-64065974495.243362</v>
      </c>
      <c r="DZ36" s="271">
        <f t="shared" si="63"/>
        <v>-64065974495.243362</v>
      </c>
      <c r="EA36" s="271">
        <f t="shared" si="63"/>
        <v>-64065974495.243362</v>
      </c>
      <c r="EB36" s="271">
        <f t="shared" si="63"/>
        <v>-64065974495.243362</v>
      </c>
      <c r="EC36" s="271">
        <f t="shared" ref="EC36:GN36" si="64">EB36+EC33</f>
        <v>-64065974495.243362</v>
      </c>
      <c r="ED36" s="271">
        <f t="shared" si="64"/>
        <v>-64065974495.243362</v>
      </c>
      <c r="EE36" s="271">
        <f t="shared" si="64"/>
        <v>-64065974495.243362</v>
      </c>
      <c r="EF36" s="271">
        <f t="shared" si="64"/>
        <v>-64065974495.243362</v>
      </c>
      <c r="EG36" s="271">
        <f t="shared" si="64"/>
        <v>-64065974495.243362</v>
      </c>
      <c r="EH36" s="271">
        <f t="shared" si="64"/>
        <v>-64065974495.243362</v>
      </c>
      <c r="EI36" s="271">
        <f t="shared" si="64"/>
        <v>-64065974495.243362</v>
      </c>
      <c r="EJ36" s="271">
        <f t="shared" si="64"/>
        <v>-64065974495.243362</v>
      </c>
      <c r="EK36" s="271">
        <f t="shared" si="64"/>
        <v>-64065974495.243362</v>
      </c>
      <c r="EL36" s="271">
        <f t="shared" si="64"/>
        <v>-64065974495.243362</v>
      </c>
      <c r="EM36" s="271">
        <f t="shared" si="64"/>
        <v>-64065974495.243362</v>
      </c>
      <c r="EN36" s="271">
        <f t="shared" si="64"/>
        <v>-64065974495.243362</v>
      </c>
      <c r="EO36" s="271">
        <f t="shared" si="64"/>
        <v>-64065974495.243362</v>
      </c>
      <c r="EP36" s="271">
        <f t="shared" si="64"/>
        <v>-64065974495.243362</v>
      </c>
      <c r="EQ36" s="271">
        <f t="shared" si="64"/>
        <v>-64065974495.243362</v>
      </c>
      <c r="ER36" s="271">
        <f t="shared" si="64"/>
        <v>-64065974495.243362</v>
      </c>
      <c r="ES36" s="271">
        <f t="shared" si="64"/>
        <v>-64065974495.243362</v>
      </c>
      <c r="ET36" s="271">
        <f t="shared" si="64"/>
        <v>-64065974495.243362</v>
      </c>
      <c r="EU36" s="271">
        <f t="shared" si="64"/>
        <v>-64065974495.243362</v>
      </c>
      <c r="EV36" s="271">
        <f t="shared" si="64"/>
        <v>-64065974495.243362</v>
      </c>
      <c r="EW36" s="271">
        <f t="shared" si="64"/>
        <v>-64065974495.243362</v>
      </c>
      <c r="EX36" s="271">
        <f t="shared" si="64"/>
        <v>-64065974495.243362</v>
      </c>
      <c r="EY36" s="271">
        <f t="shared" si="64"/>
        <v>-64065974495.243362</v>
      </c>
      <c r="EZ36" s="271">
        <f t="shared" si="64"/>
        <v>-64065974495.243362</v>
      </c>
      <c r="FA36" s="271">
        <f t="shared" si="64"/>
        <v>-64065974495.243362</v>
      </c>
      <c r="FB36" s="271">
        <f t="shared" si="64"/>
        <v>-64065974495.243362</v>
      </c>
      <c r="FC36" s="271">
        <f t="shared" si="64"/>
        <v>-64065974495.243362</v>
      </c>
      <c r="FD36" s="271">
        <f t="shared" si="64"/>
        <v>-64065974495.243362</v>
      </c>
      <c r="FE36" s="271">
        <f t="shared" si="64"/>
        <v>-64065974495.243362</v>
      </c>
      <c r="FF36" s="271">
        <f t="shared" si="64"/>
        <v>-64065974495.243362</v>
      </c>
      <c r="FG36" s="271">
        <f t="shared" si="64"/>
        <v>-64065974495.243362</v>
      </c>
      <c r="FH36" s="271">
        <f t="shared" si="64"/>
        <v>-64065974495.243362</v>
      </c>
      <c r="FI36" s="271">
        <f t="shared" si="64"/>
        <v>-64065974495.243362</v>
      </c>
      <c r="FJ36" s="271">
        <f t="shared" si="64"/>
        <v>-64065974495.243362</v>
      </c>
      <c r="FK36" s="271">
        <f t="shared" si="64"/>
        <v>-64065974495.243362</v>
      </c>
      <c r="FL36" s="271">
        <f t="shared" si="64"/>
        <v>-64065974495.243362</v>
      </c>
      <c r="FM36" s="271">
        <f t="shared" si="64"/>
        <v>-64065974495.243362</v>
      </c>
      <c r="FN36" s="271">
        <f t="shared" si="64"/>
        <v>-64065974495.243362</v>
      </c>
      <c r="FO36" s="271">
        <f t="shared" si="64"/>
        <v>-64065974495.243362</v>
      </c>
      <c r="FP36" s="271">
        <f t="shared" si="64"/>
        <v>-64065974495.243362</v>
      </c>
      <c r="FQ36" s="271">
        <f t="shared" si="64"/>
        <v>-64065974495.243362</v>
      </c>
      <c r="FR36" s="271">
        <f t="shared" si="64"/>
        <v>-64065974495.243362</v>
      </c>
      <c r="FS36" s="271">
        <f t="shared" si="64"/>
        <v>-64065974495.243362</v>
      </c>
      <c r="FT36" s="271">
        <f t="shared" si="64"/>
        <v>-64065974495.243362</v>
      </c>
      <c r="FU36" s="271">
        <f t="shared" si="64"/>
        <v>-64065974495.243362</v>
      </c>
      <c r="FV36" s="271">
        <f t="shared" si="64"/>
        <v>-64065974495.243362</v>
      </c>
      <c r="FW36" s="271">
        <f t="shared" si="64"/>
        <v>-64065974495.243362</v>
      </c>
      <c r="FX36" s="271">
        <f t="shared" si="64"/>
        <v>-64065974495.243362</v>
      </c>
      <c r="FY36" s="271">
        <f t="shared" si="64"/>
        <v>-64065974495.243362</v>
      </c>
      <c r="FZ36" s="271">
        <f t="shared" si="64"/>
        <v>-64065974495.243362</v>
      </c>
      <c r="GA36" s="271">
        <f t="shared" si="64"/>
        <v>-64065974495.243362</v>
      </c>
      <c r="GB36" s="271">
        <f t="shared" si="64"/>
        <v>-64065974495.243362</v>
      </c>
      <c r="GC36" s="271">
        <f t="shared" si="64"/>
        <v>-64065974495.243362</v>
      </c>
      <c r="GD36" s="271">
        <f t="shared" si="64"/>
        <v>-64065974495.243362</v>
      </c>
      <c r="GE36" s="271">
        <f t="shared" si="64"/>
        <v>-64065974495.243362</v>
      </c>
      <c r="GF36" s="271">
        <f t="shared" si="64"/>
        <v>-64065974495.243362</v>
      </c>
      <c r="GG36" s="271">
        <f t="shared" si="64"/>
        <v>-64065974495.243362</v>
      </c>
      <c r="GH36" s="271">
        <f t="shared" si="64"/>
        <v>-64065974495.243362</v>
      </c>
      <c r="GI36" s="271">
        <f t="shared" si="64"/>
        <v>-64065974495.243362</v>
      </c>
      <c r="GJ36" s="271">
        <f t="shared" si="64"/>
        <v>-64065974495.243362</v>
      </c>
      <c r="GK36" s="271">
        <f t="shared" si="64"/>
        <v>-64065974495.243362</v>
      </c>
      <c r="GL36" s="271">
        <f t="shared" si="64"/>
        <v>-64065974495.243362</v>
      </c>
      <c r="GM36" s="271">
        <f t="shared" si="64"/>
        <v>-64065974495.243362</v>
      </c>
      <c r="GN36" s="271">
        <f t="shared" si="64"/>
        <v>-64065974495.243362</v>
      </c>
      <c r="GO36" s="271">
        <f t="shared" ref="GO36:IZ36" si="65">GN36+GO33</f>
        <v>-64065974495.243362</v>
      </c>
      <c r="GP36" s="271">
        <f t="shared" si="65"/>
        <v>-64065974495.243362</v>
      </c>
      <c r="GQ36" s="271">
        <f t="shared" si="65"/>
        <v>-64065974495.243362</v>
      </c>
      <c r="GR36" s="271">
        <f t="shared" si="65"/>
        <v>-64065974495.243362</v>
      </c>
      <c r="GS36" s="271">
        <f t="shared" si="65"/>
        <v>-64065974495.243362</v>
      </c>
      <c r="GT36" s="271">
        <f t="shared" si="65"/>
        <v>-64065974495.243362</v>
      </c>
      <c r="GU36" s="271">
        <f t="shared" si="65"/>
        <v>-64065974495.243362</v>
      </c>
      <c r="GV36" s="271">
        <f t="shared" si="65"/>
        <v>-64065974495.243362</v>
      </c>
      <c r="GW36" s="271">
        <f t="shared" si="65"/>
        <v>-64065974495.243362</v>
      </c>
      <c r="GX36" s="271">
        <f t="shared" si="65"/>
        <v>-64065974495.243362</v>
      </c>
      <c r="GY36" s="271">
        <f t="shared" si="65"/>
        <v>-64065974495.243362</v>
      </c>
      <c r="GZ36" s="271">
        <f t="shared" si="65"/>
        <v>-64065974495.243362</v>
      </c>
      <c r="HA36" s="271">
        <f t="shared" si="65"/>
        <v>-64065974495.243362</v>
      </c>
      <c r="HB36" s="271">
        <f t="shared" si="65"/>
        <v>-64065974495.243362</v>
      </c>
      <c r="HC36" s="271">
        <f t="shared" si="65"/>
        <v>-64065974495.243362</v>
      </c>
      <c r="HD36" s="271">
        <f t="shared" si="65"/>
        <v>-64065974495.243362</v>
      </c>
      <c r="HE36" s="271">
        <f t="shared" si="65"/>
        <v>-64065974495.243362</v>
      </c>
      <c r="HF36" s="271">
        <f t="shared" si="65"/>
        <v>-64065974495.243362</v>
      </c>
      <c r="HG36" s="271">
        <f t="shared" si="65"/>
        <v>-64065974495.243362</v>
      </c>
      <c r="HH36" s="271">
        <f t="shared" si="65"/>
        <v>-64065974495.243362</v>
      </c>
      <c r="HI36" s="271">
        <f t="shared" si="65"/>
        <v>-64065974495.243362</v>
      </c>
      <c r="HJ36" s="271">
        <f t="shared" si="65"/>
        <v>-64065974495.243362</v>
      </c>
      <c r="HK36" s="271">
        <f t="shared" si="65"/>
        <v>-64065974495.243362</v>
      </c>
      <c r="HL36" s="271">
        <f t="shared" si="65"/>
        <v>-64065974495.243362</v>
      </c>
      <c r="HM36" s="271">
        <f t="shared" si="65"/>
        <v>-64065974495.243362</v>
      </c>
      <c r="HN36" s="271">
        <f t="shared" si="65"/>
        <v>-64065974495.243362</v>
      </c>
      <c r="HO36" s="271">
        <f t="shared" si="65"/>
        <v>-64065974495.243362</v>
      </c>
      <c r="HP36" s="271">
        <f t="shared" si="65"/>
        <v>-64065974495.243362</v>
      </c>
      <c r="HQ36" s="271">
        <f t="shared" si="65"/>
        <v>-64065974495.243362</v>
      </c>
      <c r="HR36" s="271">
        <f t="shared" si="65"/>
        <v>-64065974495.243362</v>
      </c>
      <c r="HS36" s="271">
        <f t="shared" si="65"/>
        <v>-64065974495.243362</v>
      </c>
      <c r="HT36" s="271">
        <f t="shared" si="65"/>
        <v>-64065974495.243362</v>
      </c>
      <c r="HU36" s="271">
        <f t="shared" si="65"/>
        <v>-64065974495.243362</v>
      </c>
      <c r="HV36" s="271">
        <f t="shared" si="65"/>
        <v>-64065974495.243362</v>
      </c>
      <c r="HW36" s="271">
        <f t="shared" si="65"/>
        <v>-64065974495.243362</v>
      </c>
      <c r="HX36" s="271">
        <f t="shared" si="65"/>
        <v>-64065974495.243362</v>
      </c>
      <c r="HY36" s="271">
        <f t="shared" si="65"/>
        <v>-64065974495.243362</v>
      </c>
      <c r="HZ36" s="271">
        <f t="shared" si="65"/>
        <v>-64065974495.243362</v>
      </c>
      <c r="IA36" s="271">
        <f t="shared" si="65"/>
        <v>-64065974495.243362</v>
      </c>
      <c r="IB36" s="271">
        <f t="shared" si="65"/>
        <v>-64065974495.243362</v>
      </c>
      <c r="IC36" s="271">
        <f t="shared" si="65"/>
        <v>-64065974495.243362</v>
      </c>
      <c r="ID36" s="271">
        <f t="shared" si="65"/>
        <v>-64065974495.243362</v>
      </c>
      <c r="IE36" s="271">
        <f t="shared" si="65"/>
        <v>-64065974495.243362</v>
      </c>
      <c r="IF36" s="271">
        <f t="shared" si="65"/>
        <v>-64065974495.243362</v>
      </c>
      <c r="IG36" s="271">
        <f t="shared" si="65"/>
        <v>-64065974495.243362</v>
      </c>
      <c r="IH36" s="271">
        <f t="shared" si="65"/>
        <v>-64065974495.243362</v>
      </c>
      <c r="II36" s="271">
        <f t="shared" si="65"/>
        <v>-64065974495.243362</v>
      </c>
      <c r="IJ36" s="271">
        <f t="shared" si="65"/>
        <v>-64065974495.243362</v>
      </c>
      <c r="IK36" s="271">
        <f t="shared" si="65"/>
        <v>-64065974495.243362</v>
      </c>
      <c r="IL36" s="271">
        <f t="shared" si="65"/>
        <v>-64065974495.243362</v>
      </c>
      <c r="IM36" s="271">
        <f t="shared" si="65"/>
        <v>-64065974495.243362</v>
      </c>
      <c r="IN36" s="271">
        <f t="shared" si="65"/>
        <v>-64065974495.243362</v>
      </c>
      <c r="IO36" s="271">
        <f t="shared" si="65"/>
        <v>-64065974495.243362</v>
      </c>
      <c r="IP36" s="271">
        <f t="shared" si="65"/>
        <v>-64065974495.243362</v>
      </c>
      <c r="IQ36" s="271">
        <f t="shared" si="65"/>
        <v>-64065974495.243362</v>
      </c>
      <c r="IR36" s="271">
        <f t="shared" si="65"/>
        <v>-64065974495.243362</v>
      </c>
      <c r="IS36" s="271">
        <f t="shared" si="65"/>
        <v>-64065974495.243362</v>
      </c>
      <c r="IT36" s="271">
        <f t="shared" si="65"/>
        <v>-64065974495.243362</v>
      </c>
      <c r="IU36" s="271">
        <f t="shared" si="65"/>
        <v>-64065974495.243362</v>
      </c>
      <c r="IV36" s="271">
        <f t="shared" si="65"/>
        <v>-64065974495.243362</v>
      </c>
      <c r="IW36" s="271">
        <f t="shared" si="65"/>
        <v>-64065974495.243362</v>
      </c>
      <c r="IX36" s="271">
        <f t="shared" si="65"/>
        <v>-64065974495.243362</v>
      </c>
      <c r="IY36" s="271">
        <f t="shared" si="65"/>
        <v>-64065974495.243362</v>
      </c>
      <c r="IZ36" s="271">
        <f t="shared" si="65"/>
        <v>-64065974495.243362</v>
      </c>
      <c r="JA36" s="271">
        <f t="shared" ref="JA36:KQ36" si="66">IZ36+JA33</f>
        <v>-64065974495.243362</v>
      </c>
      <c r="JB36" s="271">
        <f t="shared" si="66"/>
        <v>-64065974495.243362</v>
      </c>
      <c r="JC36" s="271">
        <f t="shared" si="66"/>
        <v>-64065974495.243362</v>
      </c>
      <c r="JD36" s="271">
        <f t="shared" si="66"/>
        <v>-64065974495.243362</v>
      </c>
      <c r="JE36" s="271">
        <f t="shared" si="66"/>
        <v>-64065974495.243362</v>
      </c>
      <c r="JF36" s="271">
        <f t="shared" si="66"/>
        <v>-64065974495.243362</v>
      </c>
      <c r="JG36" s="271">
        <f t="shared" si="66"/>
        <v>-64065974495.243362</v>
      </c>
      <c r="JH36" s="271">
        <f t="shared" si="66"/>
        <v>-64065974495.243362</v>
      </c>
      <c r="JI36" s="271">
        <f t="shared" si="66"/>
        <v>-64065974495.243362</v>
      </c>
      <c r="JJ36" s="271">
        <f t="shared" si="66"/>
        <v>-64065974495.243362</v>
      </c>
      <c r="JK36" s="271">
        <f t="shared" si="66"/>
        <v>-64065974495.243362</v>
      </c>
      <c r="JL36" s="271">
        <f t="shared" si="66"/>
        <v>-64065974495.243362</v>
      </c>
      <c r="JM36" s="271">
        <f t="shared" si="66"/>
        <v>-64065974495.243362</v>
      </c>
      <c r="JN36" s="271">
        <f t="shared" si="66"/>
        <v>-64065974495.243362</v>
      </c>
      <c r="JO36" s="271">
        <f t="shared" si="66"/>
        <v>-64065974495.243362</v>
      </c>
      <c r="JP36" s="271">
        <f t="shared" si="66"/>
        <v>-64065974495.243362</v>
      </c>
      <c r="JQ36" s="271">
        <f t="shared" si="66"/>
        <v>-64065974495.243362</v>
      </c>
      <c r="JR36" s="271">
        <f t="shared" si="66"/>
        <v>-64065974495.243362</v>
      </c>
      <c r="JS36" s="271">
        <f t="shared" si="66"/>
        <v>-64065974495.243362</v>
      </c>
      <c r="JT36" s="271">
        <f t="shared" si="66"/>
        <v>-64065974495.243362</v>
      </c>
      <c r="JU36" s="271">
        <f t="shared" si="66"/>
        <v>-64065974495.243362</v>
      </c>
      <c r="JV36" s="271">
        <f t="shared" si="66"/>
        <v>-64065974495.243362</v>
      </c>
      <c r="JW36" s="271">
        <f t="shared" si="66"/>
        <v>-64065974495.243362</v>
      </c>
      <c r="JX36" s="271">
        <f t="shared" si="66"/>
        <v>-64065974495.243362</v>
      </c>
      <c r="JY36" s="271">
        <f t="shared" si="66"/>
        <v>-64065974495.243362</v>
      </c>
      <c r="JZ36" s="271">
        <f t="shared" si="66"/>
        <v>-64065974495.243362</v>
      </c>
      <c r="KA36" s="271">
        <f t="shared" si="66"/>
        <v>-64065974495.243362</v>
      </c>
      <c r="KB36" s="271">
        <f t="shared" si="66"/>
        <v>-64065974495.243362</v>
      </c>
      <c r="KC36" s="271">
        <f t="shared" si="66"/>
        <v>-64065974495.243362</v>
      </c>
      <c r="KD36" s="271">
        <f t="shared" si="66"/>
        <v>-64065974495.243362</v>
      </c>
      <c r="KE36" s="271">
        <f t="shared" si="66"/>
        <v>-64065974495.243362</v>
      </c>
      <c r="KF36" s="271">
        <f t="shared" si="66"/>
        <v>-64065974495.243362</v>
      </c>
      <c r="KG36" s="271">
        <f t="shared" si="66"/>
        <v>-64065974495.243362</v>
      </c>
      <c r="KH36" s="271">
        <f t="shared" si="66"/>
        <v>-64065974495.243362</v>
      </c>
      <c r="KI36" s="271">
        <f t="shared" si="66"/>
        <v>-64065974495.243362</v>
      </c>
      <c r="KJ36" s="271">
        <f t="shared" si="66"/>
        <v>-64065974495.243362</v>
      </c>
      <c r="KK36" s="271">
        <f t="shared" si="66"/>
        <v>-64065974495.243362</v>
      </c>
      <c r="KL36" s="271">
        <f t="shared" si="66"/>
        <v>-64065974495.243362</v>
      </c>
      <c r="KM36" s="271">
        <f t="shared" si="66"/>
        <v>-64065974495.243362</v>
      </c>
      <c r="KN36" s="271">
        <f t="shared" si="66"/>
        <v>-64065974495.243362</v>
      </c>
      <c r="KO36" s="271">
        <f t="shared" si="66"/>
        <v>-64065974495.243362</v>
      </c>
      <c r="KP36" s="271">
        <f t="shared" si="66"/>
        <v>-64065974495.243362</v>
      </c>
      <c r="KQ36" s="271">
        <f t="shared" si="66"/>
        <v>-64065974495.243362</v>
      </c>
    </row>
    <row r="37" spans="2:303" x14ac:dyDescent="0.35">
      <c r="B37" s="270" t="s">
        <v>127</v>
      </c>
      <c r="C37" s="266" t="s">
        <v>48</v>
      </c>
      <c r="D37" s="271">
        <f t="shared" ref="D37:BO37" si="67">D22/(1+$C$49)^D4</f>
        <v>-4620071959.9803438</v>
      </c>
      <c r="E37" s="271">
        <f t="shared" si="67"/>
        <v>119939867.92447345</v>
      </c>
      <c r="F37" s="271">
        <f t="shared" si="67"/>
        <v>101556160.96297695</v>
      </c>
      <c r="G37" s="271">
        <f t="shared" si="67"/>
        <v>115849651.17758481</v>
      </c>
      <c r="H37" s="271">
        <f t="shared" si="67"/>
        <v>123680310.10828151</v>
      </c>
      <c r="I37" s="271">
        <f t="shared" si="67"/>
        <v>51555187.676153518</v>
      </c>
      <c r="J37" s="271">
        <f t="shared" si="67"/>
        <v>-550129495.38846946</v>
      </c>
      <c r="K37" s="271">
        <f t="shared" si="67"/>
        <v>-540667808.73559642</v>
      </c>
      <c r="L37" s="271">
        <f t="shared" si="67"/>
        <v>-536911674.44607532</v>
      </c>
      <c r="M37" s="271">
        <f t="shared" si="67"/>
        <v>-513222854.03916407</v>
      </c>
      <c r="N37" s="271">
        <f t="shared" si="67"/>
        <v>-504395925.3456158</v>
      </c>
      <c r="O37" s="271">
        <f t="shared" si="67"/>
        <v>-620051797.28124309</v>
      </c>
      <c r="P37" s="271">
        <f t="shared" si="67"/>
        <v>-305655827.46771145</v>
      </c>
      <c r="Q37" s="271">
        <f t="shared" si="67"/>
        <v>-291995711.17989886</v>
      </c>
      <c r="R37" s="271">
        <f t="shared" si="67"/>
        <v>-300227154.17748284</v>
      </c>
      <c r="S37" s="271">
        <f t="shared" si="67"/>
        <v>-282038006.80223727</v>
      </c>
      <c r="T37" s="271">
        <f t="shared" si="67"/>
        <v>-277187230.2724691</v>
      </c>
      <c r="U37" s="271">
        <f t="shared" si="67"/>
        <v>-285001217.93833679</v>
      </c>
      <c r="V37" s="271">
        <f t="shared" si="67"/>
        <v>31474020.214445092</v>
      </c>
      <c r="W37" s="271">
        <f t="shared" si="67"/>
        <v>30932697.999454632</v>
      </c>
      <c r="X37" s="271">
        <f t="shared" si="67"/>
        <v>18457409.307882559</v>
      </c>
      <c r="Y37" s="271">
        <f t="shared" si="67"/>
        <v>29877824.073267817</v>
      </c>
      <c r="Z37" s="271">
        <f t="shared" si="67"/>
        <v>29363954.863162477</v>
      </c>
      <c r="AA37" s="271">
        <f t="shared" si="67"/>
        <v>-206503921.12677699</v>
      </c>
      <c r="AB37" s="271">
        <f t="shared" si="67"/>
        <v>-470394231.68241149</v>
      </c>
      <c r="AC37" s="271">
        <f t="shared" si="67"/>
        <v>-462303913.20138717</v>
      </c>
      <c r="AD37" s="271">
        <f t="shared" si="67"/>
        <v>-465115334.95665383</v>
      </c>
      <c r="AE37" s="271">
        <f t="shared" si="67"/>
        <v>-446538319.65313369</v>
      </c>
      <c r="AF37" s="271">
        <f t="shared" si="67"/>
        <v>-438858299.41339916</v>
      </c>
      <c r="AG37" s="271">
        <f t="shared" si="67"/>
        <v>-477469671.36436069</v>
      </c>
      <c r="AH37" s="271">
        <f t="shared" si="67"/>
        <v>-459216607.99837315</v>
      </c>
      <c r="AI37" s="271">
        <f t="shared" si="67"/>
        <v>-451318533.65933466</v>
      </c>
      <c r="AJ37" s="271">
        <f t="shared" si="67"/>
        <v>-453254930.38852596</v>
      </c>
      <c r="AK37" s="271">
        <f t="shared" si="67"/>
        <v>-452694010.87849927</v>
      </c>
      <c r="AL37" s="271">
        <f t="shared" si="67"/>
        <v>-444908118.79950792</v>
      </c>
      <c r="AM37" s="271">
        <f t="shared" si="67"/>
        <v>-628384389.31833911</v>
      </c>
      <c r="AN37" s="271">
        <f t="shared" si="67"/>
        <v>-429735760.60176182</v>
      </c>
      <c r="AO37" s="271">
        <f t="shared" si="67"/>
        <v>-422344727.86413938</v>
      </c>
      <c r="AP37" s="271">
        <f t="shared" si="67"/>
        <v>-423820663.47372949</v>
      </c>
      <c r="AQ37" s="271">
        <f t="shared" si="67"/>
        <v>-407941831.5731594</v>
      </c>
      <c r="AR37" s="271">
        <f t="shared" si="67"/>
        <v>-400925632.9957341</v>
      </c>
      <c r="AS37" s="271">
        <f t="shared" si="67"/>
        <v>-402326716.94326752</v>
      </c>
      <c r="AT37" s="271">
        <f t="shared" si="67"/>
        <v>-387253175.5659101</v>
      </c>
      <c r="AU37" s="271">
        <f t="shared" si="67"/>
        <v>-380592801.53897792</v>
      </c>
      <c r="AV37" s="271">
        <f t="shared" si="67"/>
        <v>-381922829.90558207</v>
      </c>
      <c r="AW37" s="271">
        <f t="shared" si="67"/>
        <v>-367613738.96755463</v>
      </c>
      <c r="AX37" s="271">
        <f t="shared" si="67"/>
        <v>-361291143.9484567</v>
      </c>
      <c r="AY37" s="271">
        <f t="shared" si="67"/>
        <v>-510284495.29931611</v>
      </c>
      <c r="AZ37" s="271">
        <f t="shared" si="67"/>
        <v>-348970310.90892822</v>
      </c>
      <c r="BA37" s="271">
        <f t="shared" si="67"/>
        <v>-342968364.52965915</v>
      </c>
      <c r="BB37" s="271">
        <f t="shared" si="67"/>
        <v>-344166909.67246729</v>
      </c>
      <c r="BC37" s="271">
        <f t="shared" si="67"/>
        <v>-331272379.0952282</v>
      </c>
      <c r="BD37" s="271">
        <f t="shared" si="67"/>
        <v>-325574819.74961007</v>
      </c>
      <c r="BE37" s="271">
        <f t="shared" si="67"/>
        <v>-326712581.01038009</v>
      </c>
      <c r="BF37" s="271">
        <f t="shared" si="67"/>
        <v>-314471992.9485696</v>
      </c>
      <c r="BG37" s="271">
        <f t="shared" si="67"/>
        <v>-309063383.7332378</v>
      </c>
      <c r="BH37" s="271">
        <f t="shared" si="67"/>
        <v>-310143443.74956417</v>
      </c>
      <c r="BI37" s="271">
        <f t="shared" si="67"/>
        <v>-298523633.69122696</v>
      </c>
      <c r="BJ37" s="271">
        <f t="shared" si="67"/>
        <v>-293389320.58105838</v>
      </c>
      <c r="BK37" s="271">
        <f t="shared" si="67"/>
        <v>-414380545.68055844</v>
      </c>
      <c r="BL37" s="271">
        <f t="shared" si="67"/>
        <v>-283384091.0175693</v>
      </c>
      <c r="BM37" s="271">
        <f t="shared" si="67"/>
        <v>-278510163.16223025</v>
      </c>
      <c r="BN37" s="271">
        <f t="shared" si="67"/>
        <v>-279483451.19052577</v>
      </c>
      <c r="BO37" s="271">
        <f t="shared" si="67"/>
        <v>-269012346.02054244</v>
      </c>
      <c r="BP37" s="271">
        <f t="shared" ref="BP37:EA37" si="68">BP22/(1+$C$49)^BP4</f>
        <v>-264385598.0545871</v>
      </c>
      <c r="BQ37" s="271">
        <f t="shared" si="68"/>
        <v>-265309526.05246913</v>
      </c>
      <c r="BR37" s="271">
        <f t="shared" si="68"/>
        <v>-255369460.0555025</v>
      </c>
      <c r="BS37" s="271">
        <f t="shared" si="68"/>
        <v>-250977356.31990418</v>
      </c>
      <c r="BT37" s="271">
        <f t="shared" si="68"/>
        <v>-251854427.56752363</v>
      </c>
      <c r="BU37" s="271">
        <f t="shared" si="68"/>
        <v>-242418469.24028915</v>
      </c>
      <c r="BV37" s="271">
        <f t="shared" si="68"/>
        <v>-238249109.81846604</v>
      </c>
      <c r="BW37" s="271">
        <f t="shared" si="68"/>
        <v>-336500987.62612259</v>
      </c>
      <c r="BX37" s="271">
        <f t="shared" si="68"/>
        <v>-230124284.30569792</v>
      </c>
      <c r="BY37" s="271">
        <f t="shared" si="68"/>
        <v>-226166372.78201267</v>
      </c>
      <c r="BZ37" s="271">
        <f t="shared" si="68"/>
        <v>-231636944.54398474</v>
      </c>
      <c r="CA37" s="271">
        <f t="shared" si="68"/>
        <v>-218453595.52500781</v>
      </c>
      <c r="CB37" s="271">
        <f t="shared" si="68"/>
        <v>-214696408.37838608</v>
      </c>
      <c r="CC37" s="271">
        <f t="shared" si="68"/>
        <v>-219889541.62195477</v>
      </c>
      <c r="CD37" s="271">
        <f t="shared" si="68"/>
        <v>-68027706.4170838</v>
      </c>
      <c r="CE37" s="271">
        <f t="shared" si="68"/>
        <v>-66857696.724406652</v>
      </c>
      <c r="CF37" s="271">
        <f t="shared" si="68"/>
        <v>-74142874.696078315</v>
      </c>
      <c r="CG37" s="271">
        <f t="shared" si="68"/>
        <v>-64577700.293422021</v>
      </c>
      <c r="CH37" s="271">
        <f t="shared" si="68"/>
        <v>-1249732451.5338445</v>
      </c>
      <c r="CI37" s="271">
        <f t="shared" si="68"/>
        <v>-149492839.22461411</v>
      </c>
      <c r="CJ37" s="271">
        <f t="shared" si="68"/>
        <v>-61302660.266372837</v>
      </c>
      <c r="CK37" s="271">
        <f t="shared" si="68"/>
        <v>0</v>
      </c>
      <c r="CL37" s="271">
        <f t="shared" si="68"/>
        <v>-7601195.5958291646</v>
      </c>
      <c r="CM37" s="271">
        <f t="shared" si="68"/>
        <v>0</v>
      </c>
      <c r="CN37" s="271">
        <f t="shared" si="68"/>
        <v>0</v>
      </c>
      <c r="CO37" s="271">
        <f t="shared" si="68"/>
        <v>-7215703.0849986682</v>
      </c>
      <c r="CP37" s="271">
        <f t="shared" si="68"/>
        <v>0</v>
      </c>
      <c r="CQ37" s="271">
        <f t="shared" si="68"/>
        <v>0</v>
      </c>
      <c r="CR37" s="271">
        <f t="shared" si="68"/>
        <v>-6849760.7191464109</v>
      </c>
      <c r="CS37" s="271">
        <f t="shared" si="68"/>
        <v>0</v>
      </c>
      <c r="CT37" s="271">
        <f t="shared" si="68"/>
        <v>0</v>
      </c>
      <c r="CU37" s="271">
        <f t="shared" si="68"/>
        <v>-199228316.67940959</v>
      </c>
      <c r="CV37" s="271">
        <f t="shared" si="68"/>
        <v>0</v>
      </c>
      <c r="CW37" s="271">
        <f t="shared" si="68"/>
        <v>0</v>
      </c>
      <c r="CX37" s="271">
        <f t="shared" si="68"/>
        <v>0</v>
      </c>
      <c r="CY37" s="271">
        <f t="shared" si="68"/>
        <v>0</v>
      </c>
      <c r="CZ37" s="271">
        <f t="shared" si="68"/>
        <v>0</v>
      </c>
      <c r="DA37" s="271">
        <f t="shared" si="68"/>
        <v>0</v>
      </c>
      <c r="DB37" s="271">
        <f t="shared" si="68"/>
        <v>0</v>
      </c>
      <c r="DC37" s="271">
        <f t="shared" si="68"/>
        <v>0</v>
      </c>
      <c r="DD37" s="271">
        <f t="shared" si="68"/>
        <v>0</v>
      </c>
      <c r="DE37" s="271">
        <f t="shared" si="68"/>
        <v>0</v>
      </c>
      <c r="DF37" s="271">
        <f t="shared" si="68"/>
        <v>0</v>
      </c>
      <c r="DG37" s="271">
        <f t="shared" si="68"/>
        <v>0</v>
      </c>
      <c r="DH37" s="271">
        <f t="shared" si="68"/>
        <v>0</v>
      </c>
      <c r="DI37" s="271">
        <f t="shared" si="68"/>
        <v>0</v>
      </c>
      <c r="DJ37" s="271">
        <f t="shared" si="68"/>
        <v>0</v>
      </c>
      <c r="DK37" s="271">
        <f t="shared" si="68"/>
        <v>0</v>
      </c>
      <c r="DL37" s="271">
        <f t="shared" si="68"/>
        <v>0</v>
      </c>
      <c r="DM37" s="271">
        <f t="shared" si="68"/>
        <v>0</v>
      </c>
      <c r="DN37" s="271">
        <f t="shared" si="68"/>
        <v>0</v>
      </c>
      <c r="DO37" s="271">
        <f t="shared" si="68"/>
        <v>0</v>
      </c>
      <c r="DP37" s="271">
        <f t="shared" si="68"/>
        <v>0</v>
      </c>
      <c r="DQ37" s="271">
        <f t="shared" si="68"/>
        <v>0</v>
      </c>
      <c r="DR37" s="271">
        <f t="shared" si="68"/>
        <v>0</v>
      </c>
      <c r="DS37" s="271">
        <f t="shared" si="68"/>
        <v>0</v>
      </c>
      <c r="DT37" s="271">
        <f t="shared" si="68"/>
        <v>0</v>
      </c>
      <c r="DU37" s="271">
        <f t="shared" si="68"/>
        <v>0</v>
      </c>
      <c r="DV37" s="271">
        <f t="shared" si="68"/>
        <v>0</v>
      </c>
      <c r="DW37" s="271">
        <f t="shared" si="68"/>
        <v>0</v>
      </c>
      <c r="DX37" s="271">
        <f t="shared" si="68"/>
        <v>0</v>
      </c>
      <c r="DY37" s="271">
        <f t="shared" si="68"/>
        <v>0</v>
      </c>
      <c r="DZ37" s="271">
        <f t="shared" si="68"/>
        <v>0</v>
      </c>
      <c r="EA37" s="271">
        <f t="shared" si="68"/>
        <v>0</v>
      </c>
      <c r="EB37" s="271">
        <f t="shared" ref="EB37:GM37" si="69">EB22/(1+$C$49)^EB4</f>
        <v>0</v>
      </c>
      <c r="EC37" s="271">
        <f t="shared" si="69"/>
        <v>0</v>
      </c>
      <c r="ED37" s="271">
        <f t="shared" si="69"/>
        <v>0</v>
      </c>
      <c r="EE37" s="271">
        <f t="shared" si="69"/>
        <v>0</v>
      </c>
      <c r="EF37" s="271">
        <f t="shared" si="69"/>
        <v>0</v>
      </c>
      <c r="EG37" s="271">
        <f t="shared" si="69"/>
        <v>0</v>
      </c>
      <c r="EH37" s="271">
        <f t="shared" si="69"/>
        <v>0</v>
      </c>
      <c r="EI37" s="271">
        <f t="shared" si="69"/>
        <v>0</v>
      </c>
      <c r="EJ37" s="271">
        <f t="shared" si="69"/>
        <v>0</v>
      </c>
      <c r="EK37" s="271">
        <f t="shared" si="69"/>
        <v>0</v>
      </c>
      <c r="EL37" s="271">
        <f t="shared" si="69"/>
        <v>0</v>
      </c>
      <c r="EM37" s="271">
        <f t="shared" si="69"/>
        <v>0</v>
      </c>
      <c r="EN37" s="271">
        <f t="shared" si="69"/>
        <v>0</v>
      </c>
      <c r="EO37" s="271">
        <f t="shared" si="69"/>
        <v>0</v>
      </c>
      <c r="EP37" s="271">
        <f t="shared" si="69"/>
        <v>0</v>
      </c>
      <c r="EQ37" s="271">
        <f t="shared" si="69"/>
        <v>0</v>
      </c>
      <c r="ER37" s="271">
        <f t="shared" si="69"/>
        <v>0</v>
      </c>
      <c r="ES37" s="271">
        <f t="shared" si="69"/>
        <v>0</v>
      </c>
      <c r="ET37" s="271">
        <f t="shared" si="69"/>
        <v>0</v>
      </c>
      <c r="EU37" s="271">
        <f t="shared" si="69"/>
        <v>0</v>
      </c>
      <c r="EV37" s="271">
        <f t="shared" si="69"/>
        <v>0</v>
      </c>
      <c r="EW37" s="271">
        <f t="shared" si="69"/>
        <v>0</v>
      </c>
      <c r="EX37" s="271">
        <f t="shared" si="69"/>
        <v>0</v>
      </c>
      <c r="EY37" s="271">
        <f t="shared" si="69"/>
        <v>0</v>
      </c>
      <c r="EZ37" s="271">
        <f t="shared" si="69"/>
        <v>0</v>
      </c>
      <c r="FA37" s="271">
        <f t="shared" si="69"/>
        <v>0</v>
      </c>
      <c r="FB37" s="271">
        <f t="shared" si="69"/>
        <v>0</v>
      </c>
      <c r="FC37" s="271">
        <f t="shared" si="69"/>
        <v>0</v>
      </c>
      <c r="FD37" s="271">
        <f t="shared" si="69"/>
        <v>0</v>
      </c>
      <c r="FE37" s="271">
        <f t="shared" si="69"/>
        <v>0</v>
      </c>
      <c r="FF37" s="271">
        <f t="shared" si="69"/>
        <v>0</v>
      </c>
      <c r="FG37" s="271">
        <f t="shared" si="69"/>
        <v>0</v>
      </c>
      <c r="FH37" s="271">
        <f t="shared" si="69"/>
        <v>0</v>
      </c>
      <c r="FI37" s="271">
        <f t="shared" si="69"/>
        <v>0</v>
      </c>
      <c r="FJ37" s="271">
        <f t="shared" si="69"/>
        <v>0</v>
      </c>
      <c r="FK37" s="271">
        <f t="shared" si="69"/>
        <v>0</v>
      </c>
      <c r="FL37" s="271">
        <f t="shared" si="69"/>
        <v>0</v>
      </c>
      <c r="FM37" s="271">
        <f t="shared" si="69"/>
        <v>0</v>
      </c>
      <c r="FN37" s="271">
        <f t="shared" si="69"/>
        <v>0</v>
      </c>
      <c r="FO37" s="271">
        <f t="shared" si="69"/>
        <v>0</v>
      </c>
      <c r="FP37" s="271">
        <f t="shared" si="69"/>
        <v>0</v>
      </c>
      <c r="FQ37" s="271">
        <f t="shared" si="69"/>
        <v>0</v>
      </c>
      <c r="FR37" s="271">
        <f t="shared" si="69"/>
        <v>0</v>
      </c>
      <c r="FS37" s="271">
        <f t="shared" si="69"/>
        <v>0</v>
      </c>
      <c r="FT37" s="271">
        <f t="shared" si="69"/>
        <v>0</v>
      </c>
      <c r="FU37" s="271">
        <f t="shared" si="69"/>
        <v>0</v>
      </c>
      <c r="FV37" s="271">
        <f t="shared" si="69"/>
        <v>0</v>
      </c>
      <c r="FW37" s="271">
        <f t="shared" si="69"/>
        <v>0</v>
      </c>
      <c r="FX37" s="271">
        <f t="shared" si="69"/>
        <v>0</v>
      </c>
      <c r="FY37" s="271">
        <f t="shared" si="69"/>
        <v>0</v>
      </c>
      <c r="FZ37" s="271">
        <f t="shared" si="69"/>
        <v>0</v>
      </c>
      <c r="GA37" s="271">
        <f t="shared" si="69"/>
        <v>0</v>
      </c>
      <c r="GB37" s="271">
        <f t="shared" si="69"/>
        <v>0</v>
      </c>
      <c r="GC37" s="271">
        <f t="shared" si="69"/>
        <v>0</v>
      </c>
      <c r="GD37" s="271">
        <f t="shared" si="69"/>
        <v>0</v>
      </c>
      <c r="GE37" s="271">
        <f t="shared" si="69"/>
        <v>0</v>
      </c>
      <c r="GF37" s="271">
        <f t="shared" si="69"/>
        <v>0</v>
      </c>
      <c r="GG37" s="271">
        <f t="shared" si="69"/>
        <v>0</v>
      </c>
      <c r="GH37" s="271">
        <f t="shared" si="69"/>
        <v>0</v>
      </c>
      <c r="GI37" s="271">
        <f t="shared" si="69"/>
        <v>0</v>
      </c>
      <c r="GJ37" s="271">
        <f t="shared" si="69"/>
        <v>0</v>
      </c>
      <c r="GK37" s="271">
        <f t="shared" si="69"/>
        <v>0</v>
      </c>
      <c r="GL37" s="271">
        <f t="shared" si="69"/>
        <v>0</v>
      </c>
      <c r="GM37" s="271">
        <f t="shared" si="69"/>
        <v>0</v>
      </c>
      <c r="GN37" s="271">
        <f t="shared" ref="GN37:IY37" si="70">GN22/(1+$C$49)^GN4</f>
        <v>0</v>
      </c>
      <c r="GO37" s="271">
        <f t="shared" si="70"/>
        <v>0</v>
      </c>
      <c r="GP37" s="271">
        <f t="shared" si="70"/>
        <v>0</v>
      </c>
      <c r="GQ37" s="271">
        <f t="shared" si="70"/>
        <v>0</v>
      </c>
      <c r="GR37" s="271">
        <f t="shared" si="70"/>
        <v>0</v>
      </c>
      <c r="GS37" s="271">
        <f t="shared" si="70"/>
        <v>0</v>
      </c>
      <c r="GT37" s="271">
        <f t="shared" si="70"/>
        <v>0</v>
      </c>
      <c r="GU37" s="271">
        <f t="shared" si="70"/>
        <v>0</v>
      </c>
      <c r="GV37" s="271">
        <f t="shared" si="70"/>
        <v>0</v>
      </c>
      <c r="GW37" s="271">
        <f t="shared" si="70"/>
        <v>0</v>
      </c>
      <c r="GX37" s="271">
        <f t="shared" si="70"/>
        <v>0</v>
      </c>
      <c r="GY37" s="271">
        <f t="shared" si="70"/>
        <v>0</v>
      </c>
      <c r="GZ37" s="271">
        <f t="shared" si="70"/>
        <v>0</v>
      </c>
      <c r="HA37" s="271">
        <f t="shared" si="70"/>
        <v>0</v>
      </c>
      <c r="HB37" s="271">
        <f t="shared" si="70"/>
        <v>0</v>
      </c>
      <c r="HC37" s="271">
        <f t="shared" si="70"/>
        <v>0</v>
      </c>
      <c r="HD37" s="271">
        <f t="shared" si="70"/>
        <v>0</v>
      </c>
      <c r="HE37" s="271">
        <f t="shared" si="70"/>
        <v>0</v>
      </c>
      <c r="HF37" s="271">
        <f t="shared" si="70"/>
        <v>0</v>
      </c>
      <c r="HG37" s="271">
        <f t="shared" si="70"/>
        <v>0</v>
      </c>
      <c r="HH37" s="271">
        <f t="shared" si="70"/>
        <v>0</v>
      </c>
      <c r="HI37" s="271">
        <f t="shared" si="70"/>
        <v>0</v>
      </c>
      <c r="HJ37" s="271">
        <f t="shared" si="70"/>
        <v>0</v>
      </c>
      <c r="HK37" s="271">
        <f t="shared" si="70"/>
        <v>0</v>
      </c>
      <c r="HL37" s="271">
        <f t="shared" si="70"/>
        <v>0</v>
      </c>
      <c r="HM37" s="271">
        <f t="shared" si="70"/>
        <v>0</v>
      </c>
      <c r="HN37" s="271">
        <f t="shared" si="70"/>
        <v>0</v>
      </c>
      <c r="HO37" s="271">
        <f t="shared" si="70"/>
        <v>0</v>
      </c>
      <c r="HP37" s="271">
        <f t="shared" si="70"/>
        <v>0</v>
      </c>
      <c r="HQ37" s="271">
        <f t="shared" si="70"/>
        <v>0</v>
      </c>
      <c r="HR37" s="271">
        <f t="shared" si="70"/>
        <v>0</v>
      </c>
      <c r="HS37" s="271">
        <f t="shared" si="70"/>
        <v>0</v>
      </c>
      <c r="HT37" s="271">
        <f t="shared" si="70"/>
        <v>0</v>
      </c>
      <c r="HU37" s="271">
        <f t="shared" si="70"/>
        <v>0</v>
      </c>
      <c r="HV37" s="271">
        <f t="shared" si="70"/>
        <v>0</v>
      </c>
      <c r="HW37" s="271">
        <f t="shared" si="70"/>
        <v>0</v>
      </c>
      <c r="HX37" s="271">
        <f t="shared" si="70"/>
        <v>0</v>
      </c>
      <c r="HY37" s="271">
        <f t="shared" si="70"/>
        <v>0</v>
      </c>
      <c r="HZ37" s="271">
        <f t="shared" si="70"/>
        <v>0</v>
      </c>
      <c r="IA37" s="271">
        <f t="shared" si="70"/>
        <v>0</v>
      </c>
      <c r="IB37" s="271">
        <f t="shared" si="70"/>
        <v>0</v>
      </c>
      <c r="IC37" s="271">
        <f t="shared" si="70"/>
        <v>0</v>
      </c>
      <c r="ID37" s="271">
        <f t="shared" si="70"/>
        <v>0</v>
      </c>
      <c r="IE37" s="271">
        <f t="shared" si="70"/>
        <v>0</v>
      </c>
      <c r="IF37" s="271">
        <f t="shared" si="70"/>
        <v>0</v>
      </c>
      <c r="IG37" s="271">
        <f t="shared" si="70"/>
        <v>0</v>
      </c>
      <c r="IH37" s="271">
        <f t="shared" si="70"/>
        <v>0</v>
      </c>
      <c r="II37" s="271">
        <f t="shared" si="70"/>
        <v>0</v>
      </c>
      <c r="IJ37" s="271">
        <f t="shared" si="70"/>
        <v>0</v>
      </c>
      <c r="IK37" s="271">
        <f t="shared" si="70"/>
        <v>0</v>
      </c>
      <c r="IL37" s="271">
        <f t="shared" si="70"/>
        <v>0</v>
      </c>
      <c r="IM37" s="271">
        <f t="shared" si="70"/>
        <v>0</v>
      </c>
      <c r="IN37" s="271">
        <f t="shared" si="70"/>
        <v>0</v>
      </c>
      <c r="IO37" s="271">
        <f t="shared" si="70"/>
        <v>0</v>
      </c>
      <c r="IP37" s="271">
        <f t="shared" si="70"/>
        <v>0</v>
      </c>
      <c r="IQ37" s="271">
        <f t="shared" si="70"/>
        <v>0</v>
      </c>
      <c r="IR37" s="271">
        <f t="shared" si="70"/>
        <v>0</v>
      </c>
      <c r="IS37" s="271">
        <f t="shared" si="70"/>
        <v>0</v>
      </c>
      <c r="IT37" s="271">
        <f t="shared" si="70"/>
        <v>0</v>
      </c>
      <c r="IU37" s="271">
        <f t="shared" si="70"/>
        <v>0</v>
      </c>
      <c r="IV37" s="271">
        <f t="shared" si="70"/>
        <v>0</v>
      </c>
      <c r="IW37" s="271">
        <f t="shared" si="70"/>
        <v>0</v>
      </c>
      <c r="IX37" s="271">
        <f t="shared" si="70"/>
        <v>0</v>
      </c>
      <c r="IY37" s="271">
        <f t="shared" si="70"/>
        <v>0</v>
      </c>
      <c r="IZ37" s="271">
        <f t="shared" ref="IZ37:KQ37" si="71">IZ22/(1+$C$49)^IZ4</f>
        <v>0</v>
      </c>
      <c r="JA37" s="271">
        <f t="shared" si="71"/>
        <v>0</v>
      </c>
      <c r="JB37" s="271">
        <f t="shared" si="71"/>
        <v>0</v>
      </c>
      <c r="JC37" s="271">
        <f t="shared" si="71"/>
        <v>0</v>
      </c>
      <c r="JD37" s="271">
        <f t="shared" si="71"/>
        <v>0</v>
      </c>
      <c r="JE37" s="271">
        <f t="shared" si="71"/>
        <v>0</v>
      </c>
      <c r="JF37" s="271">
        <f t="shared" si="71"/>
        <v>0</v>
      </c>
      <c r="JG37" s="271">
        <f t="shared" si="71"/>
        <v>0</v>
      </c>
      <c r="JH37" s="271">
        <f t="shared" si="71"/>
        <v>0</v>
      </c>
      <c r="JI37" s="271">
        <f t="shared" si="71"/>
        <v>0</v>
      </c>
      <c r="JJ37" s="271">
        <f t="shared" si="71"/>
        <v>0</v>
      </c>
      <c r="JK37" s="271">
        <f t="shared" si="71"/>
        <v>0</v>
      </c>
      <c r="JL37" s="271">
        <f t="shared" si="71"/>
        <v>0</v>
      </c>
      <c r="JM37" s="271">
        <f t="shared" si="71"/>
        <v>0</v>
      </c>
      <c r="JN37" s="271">
        <f t="shared" si="71"/>
        <v>0</v>
      </c>
      <c r="JO37" s="271">
        <f t="shared" si="71"/>
        <v>0</v>
      </c>
      <c r="JP37" s="271">
        <f t="shared" si="71"/>
        <v>0</v>
      </c>
      <c r="JQ37" s="271">
        <f t="shared" si="71"/>
        <v>0</v>
      </c>
      <c r="JR37" s="271">
        <f t="shared" si="71"/>
        <v>0</v>
      </c>
      <c r="JS37" s="271">
        <f t="shared" si="71"/>
        <v>0</v>
      </c>
      <c r="JT37" s="271">
        <f t="shared" si="71"/>
        <v>0</v>
      </c>
      <c r="JU37" s="271">
        <f t="shared" si="71"/>
        <v>0</v>
      </c>
      <c r="JV37" s="271">
        <f t="shared" si="71"/>
        <v>0</v>
      </c>
      <c r="JW37" s="271">
        <f t="shared" si="71"/>
        <v>0</v>
      </c>
      <c r="JX37" s="271">
        <f t="shared" si="71"/>
        <v>0</v>
      </c>
      <c r="JY37" s="271">
        <f t="shared" si="71"/>
        <v>0</v>
      </c>
      <c r="JZ37" s="271">
        <f t="shared" si="71"/>
        <v>0</v>
      </c>
      <c r="KA37" s="271">
        <f t="shared" si="71"/>
        <v>0</v>
      </c>
      <c r="KB37" s="271">
        <f t="shared" si="71"/>
        <v>0</v>
      </c>
      <c r="KC37" s="271">
        <f t="shared" si="71"/>
        <v>0</v>
      </c>
      <c r="KD37" s="271">
        <f t="shared" si="71"/>
        <v>0</v>
      </c>
      <c r="KE37" s="271">
        <f t="shared" si="71"/>
        <v>0</v>
      </c>
      <c r="KF37" s="271">
        <f t="shared" si="71"/>
        <v>0</v>
      </c>
      <c r="KG37" s="271">
        <f t="shared" si="71"/>
        <v>0</v>
      </c>
      <c r="KH37" s="271">
        <f t="shared" si="71"/>
        <v>0</v>
      </c>
      <c r="KI37" s="271">
        <f t="shared" si="71"/>
        <v>0</v>
      </c>
      <c r="KJ37" s="271">
        <f t="shared" si="71"/>
        <v>0</v>
      </c>
      <c r="KK37" s="271">
        <f t="shared" si="71"/>
        <v>0</v>
      </c>
      <c r="KL37" s="271">
        <f t="shared" si="71"/>
        <v>0</v>
      </c>
      <c r="KM37" s="271">
        <f t="shared" si="71"/>
        <v>0</v>
      </c>
      <c r="KN37" s="271">
        <f t="shared" si="71"/>
        <v>0</v>
      </c>
      <c r="KO37" s="271">
        <f t="shared" si="71"/>
        <v>0</v>
      </c>
      <c r="KP37" s="271">
        <f t="shared" si="71"/>
        <v>0</v>
      </c>
      <c r="KQ37" s="271">
        <f t="shared" si="71"/>
        <v>0</v>
      </c>
    </row>
    <row r="38" spans="2:303" x14ac:dyDescent="0.35">
      <c r="B38" s="270" t="s">
        <v>126</v>
      </c>
      <c r="C38" s="266" t="s">
        <v>48</v>
      </c>
      <c r="D38" s="271">
        <f t="shared" ref="D38:BO38" si="72">D37</f>
        <v>-4620071959.9803438</v>
      </c>
      <c r="E38" s="271">
        <f t="shared" si="72"/>
        <v>119939867.92447345</v>
      </c>
      <c r="F38" s="271">
        <f t="shared" si="72"/>
        <v>101556160.96297695</v>
      </c>
      <c r="G38" s="271">
        <f t="shared" si="72"/>
        <v>115849651.17758481</v>
      </c>
      <c r="H38" s="271">
        <f t="shared" si="72"/>
        <v>123680310.10828151</v>
      </c>
      <c r="I38" s="271">
        <f t="shared" si="72"/>
        <v>51555187.676153518</v>
      </c>
      <c r="J38" s="271">
        <f t="shared" si="72"/>
        <v>-550129495.38846946</v>
      </c>
      <c r="K38" s="271">
        <f t="shared" si="72"/>
        <v>-540667808.73559642</v>
      </c>
      <c r="L38" s="271">
        <f t="shared" si="72"/>
        <v>-536911674.44607532</v>
      </c>
      <c r="M38" s="271">
        <f t="shared" si="72"/>
        <v>-513222854.03916407</v>
      </c>
      <c r="N38" s="271">
        <f t="shared" si="72"/>
        <v>-504395925.3456158</v>
      </c>
      <c r="O38" s="271">
        <f t="shared" si="72"/>
        <v>-620051797.28124309</v>
      </c>
      <c r="P38" s="271">
        <f t="shared" si="72"/>
        <v>-305655827.46771145</v>
      </c>
      <c r="Q38" s="271">
        <f t="shared" si="72"/>
        <v>-291995711.17989886</v>
      </c>
      <c r="R38" s="271">
        <f t="shared" si="72"/>
        <v>-300227154.17748284</v>
      </c>
      <c r="S38" s="271">
        <f t="shared" si="72"/>
        <v>-282038006.80223727</v>
      </c>
      <c r="T38" s="271">
        <f t="shared" si="72"/>
        <v>-277187230.2724691</v>
      </c>
      <c r="U38" s="271">
        <f t="shared" si="72"/>
        <v>-285001217.93833679</v>
      </c>
      <c r="V38" s="271">
        <f t="shared" si="72"/>
        <v>31474020.214445092</v>
      </c>
      <c r="W38" s="271">
        <f t="shared" si="72"/>
        <v>30932697.999454632</v>
      </c>
      <c r="X38" s="271">
        <f t="shared" si="72"/>
        <v>18457409.307882559</v>
      </c>
      <c r="Y38" s="271">
        <f t="shared" si="72"/>
        <v>29877824.073267817</v>
      </c>
      <c r="Z38" s="271">
        <f t="shared" si="72"/>
        <v>29363954.863162477</v>
      </c>
      <c r="AA38" s="271">
        <f t="shared" si="72"/>
        <v>-206503921.12677699</v>
      </c>
      <c r="AB38" s="271">
        <f t="shared" si="72"/>
        <v>-470394231.68241149</v>
      </c>
      <c r="AC38" s="271">
        <f t="shared" si="72"/>
        <v>-462303913.20138717</v>
      </c>
      <c r="AD38" s="271">
        <f t="shared" si="72"/>
        <v>-465115334.95665383</v>
      </c>
      <c r="AE38" s="271">
        <f t="shared" si="72"/>
        <v>-446538319.65313369</v>
      </c>
      <c r="AF38" s="271">
        <f t="shared" si="72"/>
        <v>-438858299.41339916</v>
      </c>
      <c r="AG38" s="271">
        <f t="shared" si="72"/>
        <v>-477469671.36436069</v>
      </c>
      <c r="AH38" s="271">
        <f t="shared" si="72"/>
        <v>-459216607.99837315</v>
      </c>
      <c r="AI38" s="271">
        <f t="shared" si="72"/>
        <v>-451318533.65933466</v>
      </c>
      <c r="AJ38" s="271">
        <f t="shared" si="72"/>
        <v>-453254930.38852596</v>
      </c>
      <c r="AK38" s="271">
        <f t="shared" si="72"/>
        <v>-452694010.87849927</v>
      </c>
      <c r="AL38" s="271">
        <f t="shared" si="72"/>
        <v>-444908118.79950792</v>
      </c>
      <c r="AM38" s="271">
        <f t="shared" si="72"/>
        <v>-628384389.31833911</v>
      </c>
      <c r="AN38" s="271">
        <f t="shared" si="72"/>
        <v>-429735760.60176182</v>
      </c>
      <c r="AO38" s="271">
        <f t="shared" si="72"/>
        <v>-422344727.86413938</v>
      </c>
      <c r="AP38" s="271">
        <f t="shared" si="72"/>
        <v>-423820663.47372949</v>
      </c>
      <c r="AQ38" s="271">
        <f t="shared" si="72"/>
        <v>-407941831.5731594</v>
      </c>
      <c r="AR38" s="271">
        <f t="shared" si="72"/>
        <v>-400925632.9957341</v>
      </c>
      <c r="AS38" s="271">
        <f t="shared" si="72"/>
        <v>-402326716.94326752</v>
      </c>
      <c r="AT38" s="271">
        <f t="shared" si="72"/>
        <v>-387253175.5659101</v>
      </c>
      <c r="AU38" s="271">
        <f t="shared" si="72"/>
        <v>-380592801.53897792</v>
      </c>
      <c r="AV38" s="271">
        <f t="shared" si="72"/>
        <v>-381922829.90558207</v>
      </c>
      <c r="AW38" s="271">
        <f t="shared" si="72"/>
        <v>-367613738.96755463</v>
      </c>
      <c r="AX38" s="271">
        <f t="shared" si="72"/>
        <v>-361291143.9484567</v>
      </c>
      <c r="AY38" s="271">
        <f t="shared" si="72"/>
        <v>-510284495.29931611</v>
      </c>
      <c r="AZ38" s="271">
        <f t="shared" si="72"/>
        <v>-348970310.90892822</v>
      </c>
      <c r="BA38" s="271">
        <f t="shared" si="72"/>
        <v>-342968364.52965915</v>
      </c>
      <c r="BB38" s="271">
        <f t="shared" si="72"/>
        <v>-344166909.67246729</v>
      </c>
      <c r="BC38" s="271">
        <f t="shared" si="72"/>
        <v>-331272379.0952282</v>
      </c>
      <c r="BD38" s="271">
        <f t="shared" si="72"/>
        <v>-325574819.74961007</v>
      </c>
      <c r="BE38" s="271">
        <f t="shared" si="72"/>
        <v>-326712581.01038009</v>
      </c>
      <c r="BF38" s="271">
        <f t="shared" si="72"/>
        <v>-314471992.9485696</v>
      </c>
      <c r="BG38" s="271">
        <f t="shared" si="72"/>
        <v>-309063383.7332378</v>
      </c>
      <c r="BH38" s="271">
        <f t="shared" si="72"/>
        <v>-310143443.74956417</v>
      </c>
      <c r="BI38" s="271">
        <f t="shared" si="72"/>
        <v>-298523633.69122696</v>
      </c>
      <c r="BJ38" s="271">
        <f t="shared" si="72"/>
        <v>-293389320.58105838</v>
      </c>
      <c r="BK38" s="271">
        <f t="shared" si="72"/>
        <v>-414380545.68055844</v>
      </c>
      <c r="BL38" s="271">
        <f t="shared" si="72"/>
        <v>-283384091.0175693</v>
      </c>
      <c r="BM38" s="271">
        <f t="shared" si="72"/>
        <v>-278510163.16223025</v>
      </c>
      <c r="BN38" s="271">
        <f t="shared" si="72"/>
        <v>-279483451.19052577</v>
      </c>
      <c r="BO38" s="271">
        <f t="shared" si="72"/>
        <v>-269012346.02054244</v>
      </c>
      <c r="BP38" s="271">
        <f t="shared" ref="BP38:EA38" si="73">BP37</f>
        <v>-264385598.0545871</v>
      </c>
      <c r="BQ38" s="271">
        <f t="shared" si="73"/>
        <v>-265309526.05246913</v>
      </c>
      <c r="BR38" s="271">
        <f t="shared" si="73"/>
        <v>-255369460.0555025</v>
      </c>
      <c r="BS38" s="271">
        <f t="shared" si="73"/>
        <v>-250977356.31990418</v>
      </c>
      <c r="BT38" s="271">
        <f t="shared" si="73"/>
        <v>-251854427.56752363</v>
      </c>
      <c r="BU38" s="271">
        <f t="shared" si="73"/>
        <v>-242418469.24028915</v>
      </c>
      <c r="BV38" s="271">
        <f t="shared" si="73"/>
        <v>-238249109.81846604</v>
      </c>
      <c r="BW38" s="271">
        <f t="shared" si="73"/>
        <v>-336500987.62612259</v>
      </c>
      <c r="BX38" s="271">
        <f t="shared" si="73"/>
        <v>-230124284.30569792</v>
      </c>
      <c r="BY38" s="271">
        <f t="shared" si="73"/>
        <v>-226166372.78201267</v>
      </c>
      <c r="BZ38" s="271">
        <f t="shared" si="73"/>
        <v>-231636944.54398474</v>
      </c>
      <c r="CA38" s="271">
        <f t="shared" si="73"/>
        <v>-218453595.52500781</v>
      </c>
      <c r="CB38" s="271">
        <f t="shared" si="73"/>
        <v>-214696408.37838608</v>
      </c>
      <c r="CC38" s="271">
        <f t="shared" si="73"/>
        <v>-219889541.62195477</v>
      </c>
      <c r="CD38" s="271">
        <f t="shared" si="73"/>
        <v>-68027706.4170838</v>
      </c>
      <c r="CE38" s="271">
        <f t="shared" si="73"/>
        <v>-66857696.724406652</v>
      </c>
      <c r="CF38" s="271">
        <f t="shared" si="73"/>
        <v>-74142874.696078315</v>
      </c>
      <c r="CG38" s="271">
        <f t="shared" si="73"/>
        <v>-64577700.293422021</v>
      </c>
      <c r="CH38" s="271">
        <f t="shared" si="73"/>
        <v>-1249732451.5338445</v>
      </c>
      <c r="CI38" s="271">
        <f t="shared" si="73"/>
        <v>-149492839.22461411</v>
      </c>
      <c r="CJ38" s="271">
        <f t="shared" si="73"/>
        <v>-61302660.266372837</v>
      </c>
      <c r="CK38" s="271">
        <f t="shared" si="73"/>
        <v>0</v>
      </c>
      <c r="CL38" s="271">
        <f t="shared" si="73"/>
        <v>-7601195.5958291646</v>
      </c>
      <c r="CM38" s="271">
        <f t="shared" si="73"/>
        <v>0</v>
      </c>
      <c r="CN38" s="271">
        <f t="shared" si="73"/>
        <v>0</v>
      </c>
      <c r="CO38" s="271">
        <f t="shared" si="73"/>
        <v>-7215703.0849986682</v>
      </c>
      <c r="CP38" s="271">
        <f t="shared" si="73"/>
        <v>0</v>
      </c>
      <c r="CQ38" s="271">
        <f t="shared" si="73"/>
        <v>0</v>
      </c>
      <c r="CR38" s="271">
        <f t="shared" si="73"/>
        <v>-6849760.7191464109</v>
      </c>
      <c r="CS38" s="271">
        <f t="shared" si="73"/>
        <v>0</v>
      </c>
      <c r="CT38" s="271">
        <f t="shared" si="73"/>
        <v>0</v>
      </c>
      <c r="CU38" s="271">
        <f t="shared" si="73"/>
        <v>-199228316.67940959</v>
      </c>
      <c r="CV38" s="271">
        <f t="shared" si="73"/>
        <v>0</v>
      </c>
      <c r="CW38" s="271">
        <f t="shared" si="73"/>
        <v>0</v>
      </c>
      <c r="CX38" s="271">
        <f t="shared" si="73"/>
        <v>0</v>
      </c>
      <c r="CY38" s="271">
        <f t="shared" si="73"/>
        <v>0</v>
      </c>
      <c r="CZ38" s="271">
        <f t="shared" si="73"/>
        <v>0</v>
      </c>
      <c r="DA38" s="271">
        <f t="shared" si="73"/>
        <v>0</v>
      </c>
      <c r="DB38" s="271">
        <f t="shared" si="73"/>
        <v>0</v>
      </c>
      <c r="DC38" s="271">
        <f t="shared" si="73"/>
        <v>0</v>
      </c>
      <c r="DD38" s="271">
        <f t="shared" si="73"/>
        <v>0</v>
      </c>
      <c r="DE38" s="271">
        <f t="shared" si="73"/>
        <v>0</v>
      </c>
      <c r="DF38" s="271">
        <f t="shared" si="73"/>
        <v>0</v>
      </c>
      <c r="DG38" s="271">
        <f t="shared" si="73"/>
        <v>0</v>
      </c>
      <c r="DH38" s="271">
        <f t="shared" si="73"/>
        <v>0</v>
      </c>
      <c r="DI38" s="271">
        <f t="shared" si="73"/>
        <v>0</v>
      </c>
      <c r="DJ38" s="271">
        <f t="shared" si="73"/>
        <v>0</v>
      </c>
      <c r="DK38" s="271">
        <f t="shared" si="73"/>
        <v>0</v>
      </c>
      <c r="DL38" s="271">
        <f t="shared" si="73"/>
        <v>0</v>
      </c>
      <c r="DM38" s="271">
        <f t="shared" si="73"/>
        <v>0</v>
      </c>
      <c r="DN38" s="271">
        <f t="shared" si="73"/>
        <v>0</v>
      </c>
      <c r="DO38" s="271">
        <f t="shared" si="73"/>
        <v>0</v>
      </c>
      <c r="DP38" s="271">
        <f t="shared" si="73"/>
        <v>0</v>
      </c>
      <c r="DQ38" s="271">
        <f t="shared" si="73"/>
        <v>0</v>
      </c>
      <c r="DR38" s="271">
        <f t="shared" si="73"/>
        <v>0</v>
      </c>
      <c r="DS38" s="271">
        <f t="shared" si="73"/>
        <v>0</v>
      </c>
      <c r="DT38" s="271">
        <f t="shared" si="73"/>
        <v>0</v>
      </c>
      <c r="DU38" s="271">
        <f t="shared" si="73"/>
        <v>0</v>
      </c>
      <c r="DV38" s="271">
        <f t="shared" si="73"/>
        <v>0</v>
      </c>
      <c r="DW38" s="271">
        <f t="shared" si="73"/>
        <v>0</v>
      </c>
      <c r="DX38" s="271">
        <f t="shared" si="73"/>
        <v>0</v>
      </c>
      <c r="DY38" s="271">
        <f t="shared" si="73"/>
        <v>0</v>
      </c>
      <c r="DZ38" s="271">
        <f t="shared" si="73"/>
        <v>0</v>
      </c>
      <c r="EA38" s="271">
        <f t="shared" si="73"/>
        <v>0</v>
      </c>
      <c r="EB38" s="271">
        <f t="shared" ref="EB38:GM38" si="74">EB37</f>
        <v>0</v>
      </c>
      <c r="EC38" s="271">
        <f t="shared" si="74"/>
        <v>0</v>
      </c>
      <c r="ED38" s="271">
        <f t="shared" si="74"/>
        <v>0</v>
      </c>
      <c r="EE38" s="271">
        <f t="shared" si="74"/>
        <v>0</v>
      </c>
      <c r="EF38" s="271">
        <f t="shared" si="74"/>
        <v>0</v>
      </c>
      <c r="EG38" s="271">
        <f t="shared" si="74"/>
        <v>0</v>
      </c>
      <c r="EH38" s="271">
        <f t="shared" si="74"/>
        <v>0</v>
      </c>
      <c r="EI38" s="271">
        <f t="shared" si="74"/>
        <v>0</v>
      </c>
      <c r="EJ38" s="271">
        <f t="shared" si="74"/>
        <v>0</v>
      </c>
      <c r="EK38" s="271">
        <f t="shared" si="74"/>
        <v>0</v>
      </c>
      <c r="EL38" s="271">
        <f t="shared" si="74"/>
        <v>0</v>
      </c>
      <c r="EM38" s="271">
        <f t="shared" si="74"/>
        <v>0</v>
      </c>
      <c r="EN38" s="271">
        <f t="shared" si="74"/>
        <v>0</v>
      </c>
      <c r="EO38" s="271">
        <f t="shared" si="74"/>
        <v>0</v>
      </c>
      <c r="EP38" s="271">
        <f t="shared" si="74"/>
        <v>0</v>
      </c>
      <c r="EQ38" s="271">
        <f t="shared" si="74"/>
        <v>0</v>
      </c>
      <c r="ER38" s="271">
        <f t="shared" si="74"/>
        <v>0</v>
      </c>
      <c r="ES38" s="271">
        <f t="shared" si="74"/>
        <v>0</v>
      </c>
      <c r="ET38" s="271">
        <f t="shared" si="74"/>
        <v>0</v>
      </c>
      <c r="EU38" s="271">
        <f t="shared" si="74"/>
        <v>0</v>
      </c>
      <c r="EV38" s="271">
        <f t="shared" si="74"/>
        <v>0</v>
      </c>
      <c r="EW38" s="271">
        <f t="shared" si="74"/>
        <v>0</v>
      </c>
      <c r="EX38" s="271">
        <f t="shared" si="74"/>
        <v>0</v>
      </c>
      <c r="EY38" s="271">
        <f t="shared" si="74"/>
        <v>0</v>
      </c>
      <c r="EZ38" s="271">
        <f t="shared" si="74"/>
        <v>0</v>
      </c>
      <c r="FA38" s="271">
        <f t="shared" si="74"/>
        <v>0</v>
      </c>
      <c r="FB38" s="271">
        <f t="shared" si="74"/>
        <v>0</v>
      </c>
      <c r="FC38" s="271">
        <f t="shared" si="74"/>
        <v>0</v>
      </c>
      <c r="FD38" s="271">
        <f t="shared" si="74"/>
        <v>0</v>
      </c>
      <c r="FE38" s="271">
        <f t="shared" si="74"/>
        <v>0</v>
      </c>
      <c r="FF38" s="271">
        <f t="shared" si="74"/>
        <v>0</v>
      </c>
      <c r="FG38" s="271">
        <f t="shared" si="74"/>
        <v>0</v>
      </c>
      <c r="FH38" s="271">
        <f t="shared" si="74"/>
        <v>0</v>
      </c>
      <c r="FI38" s="271">
        <f t="shared" si="74"/>
        <v>0</v>
      </c>
      <c r="FJ38" s="271">
        <f t="shared" si="74"/>
        <v>0</v>
      </c>
      <c r="FK38" s="271">
        <f t="shared" si="74"/>
        <v>0</v>
      </c>
      <c r="FL38" s="271">
        <f t="shared" si="74"/>
        <v>0</v>
      </c>
      <c r="FM38" s="271">
        <f t="shared" si="74"/>
        <v>0</v>
      </c>
      <c r="FN38" s="271">
        <f t="shared" si="74"/>
        <v>0</v>
      </c>
      <c r="FO38" s="271">
        <f t="shared" si="74"/>
        <v>0</v>
      </c>
      <c r="FP38" s="271">
        <f t="shared" si="74"/>
        <v>0</v>
      </c>
      <c r="FQ38" s="271">
        <f t="shared" si="74"/>
        <v>0</v>
      </c>
      <c r="FR38" s="271">
        <f t="shared" si="74"/>
        <v>0</v>
      </c>
      <c r="FS38" s="271">
        <f t="shared" si="74"/>
        <v>0</v>
      </c>
      <c r="FT38" s="271">
        <f t="shared" si="74"/>
        <v>0</v>
      </c>
      <c r="FU38" s="271">
        <f t="shared" si="74"/>
        <v>0</v>
      </c>
      <c r="FV38" s="271">
        <f t="shared" si="74"/>
        <v>0</v>
      </c>
      <c r="FW38" s="271">
        <f t="shared" si="74"/>
        <v>0</v>
      </c>
      <c r="FX38" s="271">
        <f t="shared" si="74"/>
        <v>0</v>
      </c>
      <c r="FY38" s="271">
        <f t="shared" si="74"/>
        <v>0</v>
      </c>
      <c r="FZ38" s="271">
        <f t="shared" si="74"/>
        <v>0</v>
      </c>
      <c r="GA38" s="271">
        <f t="shared" si="74"/>
        <v>0</v>
      </c>
      <c r="GB38" s="271">
        <f t="shared" si="74"/>
        <v>0</v>
      </c>
      <c r="GC38" s="271">
        <f t="shared" si="74"/>
        <v>0</v>
      </c>
      <c r="GD38" s="271">
        <f t="shared" si="74"/>
        <v>0</v>
      </c>
      <c r="GE38" s="271">
        <f t="shared" si="74"/>
        <v>0</v>
      </c>
      <c r="GF38" s="271">
        <f t="shared" si="74"/>
        <v>0</v>
      </c>
      <c r="GG38" s="271">
        <f t="shared" si="74"/>
        <v>0</v>
      </c>
      <c r="GH38" s="271">
        <f t="shared" si="74"/>
        <v>0</v>
      </c>
      <c r="GI38" s="271">
        <f t="shared" si="74"/>
        <v>0</v>
      </c>
      <c r="GJ38" s="271">
        <f t="shared" si="74"/>
        <v>0</v>
      </c>
      <c r="GK38" s="271">
        <f t="shared" si="74"/>
        <v>0</v>
      </c>
      <c r="GL38" s="271">
        <f t="shared" si="74"/>
        <v>0</v>
      </c>
      <c r="GM38" s="271">
        <f t="shared" si="74"/>
        <v>0</v>
      </c>
      <c r="GN38" s="271">
        <f t="shared" ref="GN38:IY38" si="75">GN37</f>
        <v>0</v>
      </c>
      <c r="GO38" s="271">
        <f t="shared" si="75"/>
        <v>0</v>
      </c>
      <c r="GP38" s="271">
        <f t="shared" si="75"/>
        <v>0</v>
      </c>
      <c r="GQ38" s="271">
        <f t="shared" si="75"/>
        <v>0</v>
      </c>
      <c r="GR38" s="271">
        <f t="shared" si="75"/>
        <v>0</v>
      </c>
      <c r="GS38" s="271">
        <f t="shared" si="75"/>
        <v>0</v>
      </c>
      <c r="GT38" s="271">
        <f t="shared" si="75"/>
        <v>0</v>
      </c>
      <c r="GU38" s="271">
        <f t="shared" si="75"/>
        <v>0</v>
      </c>
      <c r="GV38" s="271">
        <f t="shared" si="75"/>
        <v>0</v>
      </c>
      <c r="GW38" s="271">
        <f t="shared" si="75"/>
        <v>0</v>
      </c>
      <c r="GX38" s="271">
        <f t="shared" si="75"/>
        <v>0</v>
      </c>
      <c r="GY38" s="271">
        <f t="shared" si="75"/>
        <v>0</v>
      </c>
      <c r="GZ38" s="271">
        <f t="shared" si="75"/>
        <v>0</v>
      </c>
      <c r="HA38" s="271">
        <f t="shared" si="75"/>
        <v>0</v>
      </c>
      <c r="HB38" s="271">
        <f t="shared" si="75"/>
        <v>0</v>
      </c>
      <c r="HC38" s="271">
        <f t="shared" si="75"/>
        <v>0</v>
      </c>
      <c r="HD38" s="271">
        <f t="shared" si="75"/>
        <v>0</v>
      </c>
      <c r="HE38" s="271">
        <f t="shared" si="75"/>
        <v>0</v>
      </c>
      <c r="HF38" s="271">
        <f t="shared" si="75"/>
        <v>0</v>
      </c>
      <c r="HG38" s="271">
        <f t="shared" si="75"/>
        <v>0</v>
      </c>
      <c r="HH38" s="271">
        <f t="shared" si="75"/>
        <v>0</v>
      </c>
      <c r="HI38" s="271">
        <f t="shared" si="75"/>
        <v>0</v>
      </c>
      <c r="HJ38" s="271">
        <f t="shared" si="75"/>
        <v>0</v>
      </c>
      <c r="HK38" s="271">
        <f t="shared" si="75"/>
        <v>0</v>
      </c>
      <c r="HL38" s="271">
        <f t="shared" si="75"/>
        <v>0</v>
      </c>
      <c r="HM38" s="271">
        <f t="shared" si="75"/>
        <v>0</v>
      </c>
      <c r="HN38" s="271">
        <f t="shared" si="75"/>
        <v>0</v>
      </c>
      <c r="HO38" s="271">
        <f t="shared" si="75"/>
        <v>0</v>
      </c>
      <c r="HP38" s="271">
        <f t="shared" si="75"/>
        <v>0</v>
      </c>
      <c r="HQ38" s="271">
        <f t="shared" si="75"/>
        <v>0</v>
      </c>
      <c r="HR38" s="271">
        <f t="shared" si="75"/>
        <v>0</v>
      </c>
      <c r="HS38" s="271">
        <f t="shared" si="75"/>
        <v>0</v>
      </c>
      <c r="HT38" s="271">
        <f t="shared" si="75"/>
        <v>0</v>
      </c>
      <c r="HU38" s="271">
        <f t="shared" si="75"/>
        <v>0</v>
      </c>
      <c r="HV38" s="271">
        <f t="shared" si="75"/>
        <v>0</v>
      </c>
      <c r="HW38" s="271">
        <f t="shared" si="75"/>
        <v>0</v>
      </c>
      <c r="HX38" s="271">
        <f t="shared" si="75"/>
        <v>0</v>
      </c>
      <c r="HY38" s="271">
        <f t="shared" si="75"/>
        <v>0</v>
      </c>
      <c r="HZ38" s="271">
        <f t="shared" si="75"/>
        <v>0</v>
      </c>
      <c r="IA38" s="271">
        <f t="shared" si="75"/>
        <v>0</v>
      </c>
      <c r="IB38" s="271">
        <f t="shared" si="75"/>
        <v>0</v>
      </c>
      <c r="IC38" s="271">
        <f t="shared" si="75"/>
        <v>0</v>
      </c>
      <c r="ID38" s="271">
        <f t="shared" si="75"/>
        <v>0</v>
      </c>
      <c r="IE38" s="271">
        <f t="shared" si="75"/>
        <v>0</v>
      </c>
      <c r="IF38" s="271">
        <f t="shared" si="75"/>
        <v>0</v>
      </c>
      <c r="IG38" s="271">
        <f t="shared" si="75"/>
        <v>0</v>
      </c>
      <c r="IH38" s="271">
        <f t="shared" si="75"/>
        <v>0</v>
      </c>
      <c r="II38" s="271">
        <f t="shared" si="75"/>
        <v>0</v>
      </c>
      <c r="IJ38" s="271">
        <f t="shared" si="75"/>
        <v>0</v>
      </c>
      <c r="IK38" s="271">
        <f t="shared" si="75"/>
        <v>0</v>
      </c>
      <c r="IL38" s="271">
        <f t="shared" si="75"/>
        <v>0</v>
      </c>
      <c r="IM38" s="271">
        <f t="shared" si="75"/>
        <v>0</v>
      </c>
      <c r="IN38" s="271">
        <f t="shared" si="75"/>
        <v>0</v>
      </c>
      <c r="IO38" s="271">
        <f t="shared" si="75"/>
        <v>0</v>
      </c>
      <c r="IP38" s="271">
        <f t="shared" si="75"/>
        <v>0</v>
      </c>
      <c r="IQ38" s="271">
        <f t="shared" si="75"/>
        <v>0</v>
      </c>
      <c r="IR38" s="271">
        <f t="shared" si="75"/>
        <v>0</v>
      </c>
      <c r="IS38" s="271">
        <f t="shared" si="75"/>
        <v>0</v>
      </c>
      <c r="IT38" s="271">
        <f t="shared" si="75"/>
        <v>0</v>
      </c>
      <c r="IU38" s="271">
        <f t="shared" si="75"/>
        <v>0</v>
      </c>
      <c r="IV38" s="271">
        <f t="shared" si="75"/>
        <v>0</v>
      </c>
      <c r="IW38" s="271">
        <f t="shared" si="75"/>
        <v>0</v>
      </c>
      <c r="IX38" s="271">
        <f t="shared" si="75"/>
        <v>0</v>
      </c>
      <c r="IY38" s="271">
        <f t="shared" si="75"/>
        <v>0</v>
      </c>
      <c r="IZ38" s="271">
        <f t="shared" ref="IZ38:KQ38" si="76">IZ37</f>
        <v>0</v>
      </c>
      <c r="JA38" s="271">
        <f t="shared" si="76"/>
        <v>0</v>
      </c>
      <c r="JB38" s="271">
        <f t="shared" si="76"/>
        <v>0</v>
      </c>
      <c r="JC38" s="271">
        <f t="shared" si="76"/>
        <v>0</v>
      </c>
      <c r="JD38" s="271">
        <f t="shared" si="76"/>
        <v>0</v>
      </c>
      <c r="JE38" s="271">
        <f t="shared" si="76"/>
        <v>0</v>
      </c>
      <c r="JF38" s="271">
        <f t="shared" si="76"/>
        <v>0</v>
      </c>
      <c r="JG38" s="271">
        <f t="shared" si="76"/>
        <v>0</v>
      </c>
      <c r="JH38" s="271">
        <f t="shared" si="76"/>
        <v>0</v>
      </c>
      <c r="JI38" s="271">
        <f t="shared" si="76"/>
        <v>0</v>
      </c>
      <c r="JJ38" s="271">
        <f t="shared" si="76"/>
        <v>0</v>
      </c>
      <c r="JK38" s="271">
        <f t="shared" si="76"/>
        <v>0</v>
      </c>
      <c r="JL38" s="271">
        <f t="shared" si="76"/>
        <v>0</v>
      </c>
      <c r="JM38" s="271">
        <f t="shared" si="76"/>
        <v>0</v>
      </c>
      <c r="JN38" s="271">
        <f t="shared" si="76"/>
        <v>0</v>
      </c>
      <c r="JO38" s="271">
        <f t="shared" si="76"/>
        <v>0</v>
      </c>
      <c r="JP38" s="271">
        <f t="shared" si="76"/>
        <v>0</v>
      </c>
      <c r="JQ38" s="271">
        <f t="shared" si="76"/>
        <v>0</v>
      </c>
      <c r="JR38" s="271">
        <f t="shared" si="76"/>
        <v>0</v>
      </c>
      <c r="JS38" s="271">
        <f t="shared" si="76"/>
        <v>0</v>
      </c>
      <c r="JT38" s="271">
        <f t="shared" si="76"/>
        <v>0</v>
      </c>
      <c r="JU38" s="271">
        <f t="shared" si="76"/>
        <v>0</v>
      </c>
      <c r="JV38" s="271">
        <f t="shared" si="76"/>
        <v>0</v>
      </c>
      <c r="JW38" s="271">
        <f t="shared" si="76"/>
        <v>0</v>
      </c>
      <c r="JX38" s="271">
        <f t="shared" si="76"/>
        <v>0</v>
      </c>
      <c r="JY38" s="271">
        <f t="shared" si="76"/>
        <v>0</v>
      </c>
      <c r="JZ38" s="271">
        <f t="shared" si="76"/>
        <v>0</v>
      </c>
      <c r="KA38" s="271">
        <f t="shared" si="76"/>
        <v>0</v>
      </c>
      <c r="KB38" s="271">
        <f t="shared" si="76"/>
        <v>0</v>
      </c>
      <c r="KC38" s="271">
        <f t="shared" si="76"/>
        <v>0</v>
      </c>
      <c r="KD38" s="271">
        <f t="shared" si="76"/>
        <v>0</v>
      </c>
      <c r="KE38" s="271">
        <f t="shared" si="76"/>
        <v>0</v>
      </c>
      <c r="KF38" s="271">
        <f t="shared" si="76"/>
        <v>0</v>
      </c>
      <c r="KG38" s="271">
        <f t="shared" si="76"/>
        <v>0</v>
      </c>
      <c r="KH38" s="271">
        <f t="shared" si="76"/>
        <v>0</v>
      </c>
      <c r="KI38" s="271">
        <f t="shared" si="76"/>
        <v>0</v>
      </c>
      <c r="KJ38" s="271">
        <f t="shared" si="76"/>
        <v>0</v>
      </c>
      <c r="KK38" s="271">
        <f t="shared" si="76"/>
        <v>0</v>
      </c>
      <c r="KL38" s="271">
        <f t="shared" si="76"/>
        <v>0</v>
      </c>
      <c r="KM38" s="271">
        <f t="shared" si="76"/>
        <v>0</v>
      </c>
      <c r="KN38" s="271">
        <f t="shared" si="76"/>
        <v>0</v>
      </c>
      <c r="KO38" s="271">
        <f t="shared" si="76"/>
        <v>0</v>
      </c>
      <c r="KP38" s="271">
        <f t="shared" si="76"/>
        <v>0</v>
      </c>
      <c r="KQ38" s="271">
        <f t="shared" si="76"/>
        <v>0</v>
      </c>
    </row>
    <row r="39" spans="2:303" x14ac:dyDescent="0.35">
      <c r="B39" s="270" t="s">
        <v>128</v>
      </c>
      <c r="C39" s="272" t="e" cm="1">
        <f t="array" ref="C39">MATCH(TRUE,D36:JX36&gt;=C25,0)</f>
        <v>#N/A</v>
      </c>
      <c r="D39" s="273">
        <f t="shared" ref="D39:BO39" si="77">IF(D38&lt;0,1,0)</f>
        <v>1</v>
      </c>
      <c r="E39" s="273">
        <f t="shared" si="77"/>
        <v>0</v>
      </c>
      <c r="F39" s="273">
        <f t="shared" si="77"/>
        <v>0</v>
      </c>
      <c r="G39" s="273">
        <f t="shared" si="77"/>
        <v>0</v>
      </c>
      <c r="H39" s="273">
        <f t="shared" si="77"/>
        <v>0</v>
      </c>
      <c r="I39" s="273">
        <f t="shared" si="77"/>
        <v>0</v>
      </c>
      <c r="J39" s="273">
        <f t="shared" si="77"/>
        <v>1</v>
      </c>
      <c r="K39" s="273">
        <f t="shared" si="77"/>
        <v>1</v>
      </c>
      <c r="L39" s="273">
        <f t="shared" si="77"/>
        <v>1</v>
      </c>
      <c r="M39" s="273">
        <f t="shared" si="77"/>
        <v>1</v>
      </c>
      <c r="N39" s="273">
        <f t="shared" si="77"/>
        <v>1</v>
      </c>
      <c r="O39" s="273">
        <f t="shared" si="77"/>
        <v>1</v>
      </c>
      <c r="P39" s="273">
        <f t="shared" si="77"/>
        <v>1</v>
      </c>
      <c r="Q39" s="273">
        <f t="shared" si="77"/>
        <v>1</v>
      </c>
      <c r="R39" s="273">
        <f t="shared" si="77"/>
        <v>1</v>
      </c>
      <c r="S39" s="273">
        <f t="shared" si="77"/>
        <v>1</v>
      </c>
      <c r="T39" s="273">
        <f t="shared" si="77"/>
        <v>1</v>
      </c>
      <c r="U39" s="273">
        <f t="shared" si="77"/>
        <v>1</v>
      </c>
      <c r="V39" s="273">
        <f t="shared" si="77"/>
        <v>0</v>
      </c>
      <c r="W39" s="273">
        <f t="shared" si="77"/>
        <v>0</v>
      </c>
      <c r="X39" s="273">
        <f t="shared" si="77"/>
        <v>0</v>
      </c>
      <c r="Y39" s="273">
        <f t="shared" si="77"/>
        <v>0</v>
      </c>
      <c r="Z39" s="273">
        <f t="shared" si="77"/>
        <v>0</v>
      </c>
      <c r="AA39" s="273">
        <f t="shared" si="77"/>
        <v>1</v>
      </c>
      <c r="AB39" s="273">
        <f t="shared" si="77"/>
        <v>1</v>
      </c>
      <c r="AC39" s="273">
        <f t="shared" si="77"/>
        <v>1</v>
      </c>
      <c r="AD39" s="273">
        <f t="shared" si="77"/>
        <v>1</v>
      </c>
      <c r="AE39" s="273">
        <f t="shared" si="77"/>
        <v>1</v>
      </c>
      <c r="AF39" s="273">
        <f t="shared" si="77"/>
        <v>1</v>
      </c>
      <c r="AG39" s="273">
        <f t="shared" si="77"/>
        <v>1</v>
      </c>
      <c r="AH39" s="273">
        <f t="shared" si="77"/>
        <v>1</v>
      </c>
      <c r="AI39" s="273">
        <f t="shared" si="77"/>
        <v>1</v>
      </c>
      <c r="AJ39" s="273">
        <f t="shared" si="77"/>
        <v>1</v>
      </c>
      <c r="AK39" s="273">
        <f t="shared" si="77"/>
        <v>1</v>
      </c>
      <c r="AL39" s="273">
        <f t="shared" si="77"/>
        <v>1</v>
      </c>
      <c r="AM39" s="273">
        <f t="shared" si="77"/>
        <v>1</v>
      </c>
      <c r="AN39" s="273">
        <f t="shared" si="77"/>
        <v>1</v>
      </c>
      <c r="AO39" s="273">
        <f t="shared" si="77"/>
        <v>1</v>
      </c>
      <c r="AP39" s="273">
        <f t="shared" si="77"/>
        <v>1</v>
      </c>
      <c r="AQ39" s="273">
        <f t="shared" si="77"/>
        <v>1</v>
      </c>
      <c r="AR39" s="273">
        <f t="shared" si="77"/>
        <v>1</v>
      </c>
      <c r="AS39" s="273">
        <f t="shared" si="77"/>
        <v>1</v>
      </c>
      <c r="AT39" s="273">
        <f t="shared" si="77"/>
        <v>1</v>
      </c>
      <c r="AU39" s="273">
        <f t="shared" si="77"/>
        <v>1</v>
      </c>
      <c r="AV39" s="273">
        <f t="shared" si="77"/>
        <v>1</v>
      </c>
      <c r="AW39" s="273">
        <f t="shared" si="77"/>
        <v>1</v>
      </c>
      <c r="AX39" s="273">
        <f t="shared" si="77"/>
        <v>1</v>
      </c>
      <c r="AY39" s="273">
        <f t="shared" si="77"/>
        <v>1</v>
      </c>
      <c r="AZ39" s="273">
        <f t="shared" si="77"/>
        <v>1</v>
      </c>
      <c r="BA39" s="273">
        <f t="shared" si="77"/>
        <v>1</v>
      </c>
      <c r="BB39" s="273">
        <f t="shared" si="77"/>
        <v>1</v>
      </c>
      <c r="BC39" s="273">
        <f t="shared" si="77"/>
        <v>1</v>
      </c>
      <c r="BD39" s="273">
        <f t="shared" si="77"/>
        <v>1</v>
      </c>
      <c r="BE39" s="273">
        <f t="shared" si="77"/>
        <v>1</v>
      </c>
      <c r="BF39" s="273">
        <f t="shared" si="77"/>
        <v>1</v>
      </c>
      <c r="BG39" s="273">
        <f t="shared" si="77"/>
        <v>1</v>
      </c>
      <c r="BH39" s="273">
        <f t="shared" si="77"/>
        <v>1</v>
      </c>
      <c r="BI39" s="273">
        <f t="shared" si="77"/>
        <v>1</v>
      </c>
      <c r="BJ39" s="273">
        <f t="shared" si="77"/>
        <v>1</v>
      </c>
      <c r="BK39" s="273">
        <f t="shared" si="77"/>
        <v>1</v>
      </c>
      <c r="BL39" s="273">
        <f t="shared" si="77"/>
        <v>1</v>
      </c>
      <c r="BM39" s="273">
        <f t="shared" si="77"/>
        <v>1</v>
      </c>
      <c r="BN39" s="273">
        <f t="shared" si="77"/>
        <v>1</v>
      </c>
      <c r="BO39" s="273">
        <f t="shared" si="77"/>
        <v>1</v>
      </c>
      <c r="BP39" s="273">
        <f t="shared" ref="BP39:EA39" si="78">IF(BP38&lt;0,1,0)</f>
        <v>1</v>
      </c>
      <c r="BQ39" s="273">
        <f t="shared" si="78"/>
        <v>1</v>
      </c>
      <c r="BR39" s="273">
        <f t="shared" si="78"/>
        <v>1</v>
      </c>
      <c r="BS39" s="273">
        <f t="shared" si="78"/>
        <v>1</v>
      </c>
      <c r="BT39" s="273">
        <f t="shared" si="78"/>
        <v>1</v>
      </c>
      <c r="BU39" s="273">
        <f t="shared" si="78"/>
        <v>1</v>
      </c>
      <c r="BV39" s="273">
        <f t="shared" si="78"/>
        <v>1</v>
      </c>
      <c r="BW39" s="273">
        <f t="shared" si="78"/>
        <v>1</v>
      </c>
      <c r="BX39" s="273">
        <f t="shared" si="78"/>
        <v>1</v>
      </c>
      <c r="BY39" s="273">
        <f t="shared" si="78"/>
        <v>1</v>
      </c>
      <c r="BZ39" s="273">
        <f t="shared" si="78"/>
        <v>1</v>
      </c>
      <c r="CA39" s="273">
        <f t="shared" si="78"/>
        <v>1</v>
      </c>
      <c r="CB39" s="273">
        <f t="shared" si="78"/>
        <v>1</v>
      </c>
      <c r="CC39" s="273">
        <f t="shared" si="78"/>
        <v>1</v>
      </c>
      <c r="CD39" s="273">
        <f t="shared" si="78"/>
        <v>1</v>
      </c>
      <c r="CE39" s="273">
        <f t="shared" si="78"/>
        <v>1</v>
      </c>
      <c r="CF39" s="273">
        <f t="shared" si="78"/>
        <v>1</v>
      </c>
      <c r="CG39" s="273">
        <f t="shared" si="78"/>
        <v>1</v>
      </c>
      <c r="CH39" s="273">
        <f t="shared" si="78"/>
        <v>1</v>
      </c>
      <c r="CI39" s="273">
        <f t="shared" si="78"/>
        <v>1</v>
      </c>
      <c r="CJ39" s="273">
        <f t="shared" si="78"/>
        <v>1</v>
      </c>
      <c r="CK39" s="273">
        <f t="shared" si="78"/>
        <v>0</v>
      </c>
      <c r="CL39" s="273">
        <f t="shared" si="78"/>
        <v>1</v>
      </c>
      <c r="CM39" s="273">
        <f t="shared" si="78"/>
        <v>0</v>
      </c>
      <c r="CN39" s="273">
        <f t="shared" si="78"/>
        <v>0</v>
      </c>
      <c r="CO39" s="273">
        <f t="shared" si="78"/>
        <v>1</v>
      </c>
      <c r="CP39" s="273">
        <f t="shared" si="78"/>
        <v>0</v>
      </c>
      <c r="CQ39" s="273">
        <f t="shared" si="78"/>
        <v>0</v>
      </c>
      <c r="CR39" s="273">
        <f t="shared" si="78"/>
        <v>1</v>
      </c>
      <c r="CS39" s="273">
        <f t="shared" si="78"/>
        <v>0</v>
      </c>
      <c r="CT39" s="273">
        <f t="shared" si="78"/>
        <v>0</v>
      </c>
      <c r="CU39" s="273">
        <f t="shared" si="78"/>
        <v>1</v>
      </c>
      <c r="CV39" s="273">
        <f t="shared" si="78"/>
        <v>0</v>
      </c>
      <c r="CW39" s="273">
        <f t="shared" si="78"/>
        <v>0</v>
      </c>
      <c r="CX39" s="273">
        <f t="shared" si="78"/>
        <v>0</v>
      </c>
      <c r="CY39" s="273">
        <f t="shared" si="78"/>
        <v>0</v>
      </c>
      <c r="CZ39" s="273">
        <f t="shared" si="78"/>
        <v>0</v>
      </c>
      <c r="DA39" s="273">
        <f t="shared" si="78"/>
        <v>0</v>
      </c>
      <c r="DB39" s="273">
        <f t="shared" si="78"/>
        <v>0</v>
      </c>
      <c r="DC39" s="273">
        <f t="shared" si="78"/>
        <v>0</v>
      </c>
      <c r="DD39" s="273">
        <f t="shared" si="78"/>
        <v>0</v>
      </c>
      <c r="DE39" s="273">
        <f t="shared" si="78"/>
        <v>0</v>
      </c>
      <c r="DF39" s="273">
        <f t="shared" si="78"/>
        <v>0</v>
      </c>
      <c r="DG39" s="273">
        <f t="shared" si="78"/>
        <v>0</v>
      </c>
      <c r="DH39" s="273">
        <f t="shared" si="78"/>
        <v>0</v>
      </c>
      <c r="DI39" s="273">
        <f t="shared" si="78"/>
        <v>0</v>
      </c>
      <c r="DJ39" s="273">
        <f t="shared" si="78"/>
        <v>0</v>
      </c>
      <c r="DK39" s="273">
        <f t="shared" si="78"/>
        <v>0</v>
      </c>
      <c r="DL39" s="273">
        <f t="shared" si="78"/>
        <v>0</v>
      </c>
      <c r="DM39" s="273">
        <f t="shared" si="78"/>
        <v>0</v>
      </c>
      <c r="DN39" s="273">
        <f t="shared" si="78"/>
        <v>0</v>
      </c>
      <c r="DO39" s="273">
        <f t="shared" si="78"/>
        <v>0</v>
      </c>
      <c r="DP39" s="273">
        <f t="shared" si="78"/>
        <v>0</v>
      </c>
      <c r="DQ39" s="273">
        <f t="shared" si="78"/>
        <v>0</v>
      </c>
      <c r="DR39" s="273">
        <f t="shared" si="78"/>
        <v>0</v>
      </c>
      <c r="DS39" s="273">
        <f t="shared" si="78"/>
        <v>0</v>
      </c>
      <c r="DT39" s="273">
        <f t="shared" si="78"/>
        <v>0</v>
      </c>
      <c r="DU39" s="273">
        <f t="shared" si="78"/>
        <v>0</v>
      </c>
      <c r="DV39" s="273">
        <f t="shared" si="78"/>
        <v>0</v>
      </c>
      <c r="DW39" s="273">
        <f t="shared" si="78"/>
        <v>0</v>
      </c>
      <c r="DX39" s="273">
        <f t="shared" si="78"/>
        <v>0</v>
      </c>
      <c r="DY39" s="273">
        <f t="shared" si="78"/>
        <v>0</v>
      </c>
      <c r="DZ39" s="273">
        <f t="shared" si="78"/>
        <v>0</v>
      </c>
      <c r="EA39" s="273">
        <f t="shared" si="78"/>
        <v>0</v>
      </c>
      <c r="EB39" s="273">
        <f t="shared" ref="EB39:GM39" si="79">IF(EB38&lt;0,1,0)</f>
        <v>0</v>
      </c>
      <c r="EC39" s="273">
        <f t="shared" si="79"/>
        <v>0</v>
      </c>
      <c r="ED39" s="273">
        <f t="shared" si="79"/>
        <v>0</v>
      </c>
      <c r="EE39" s="273">
        <f t="shared" si="79"/>
        <v>0</v>
      </c>
      <c r="EF39" s="273">
        <f t="shared" si="79"/>
        <v>0</v>
      </c>
      <c r="EG39" s="273">
        <f t="shared" si="79"/>
        <v>0</v>
      </c>
      <c r="EH39" s="273">
        <f t="shared" si="79"/>
        <v>0</v>
      </c>
      <c r="EI39" s="273">
        <f t="shared" si="79"/>
        <v>0</v>
      </c>
      <c r="EJ39" s="273">
        <f t="shared" si="79"/>
        <v>0</v>
      </c>
      <c r="EK39" s="273">
        <f t="shared" si="79"/>
        <v>0</v>
      </c>
      <c r="EL39" s="273">
        <f t="shared" si="79"/>
        <v>0</v>
      </c>
      <c r="EM39" s="273">
        <f t="shared" si="79"/>
        <v>0</v>
      </c>
      <c r="EN39" s="273">
        <f t="shared" si="79"/>
        <v>0</v>
      </c>
      <c r="EO39" s="273">
        <f t="shared" si="79"/>
        <v>0</v>
      </c>
      <c r="EP39" s="273">
        <f t="shared" si="79"/>
        <v>0</v>
      </c>
      <c r="EQ39" s="273">
        <f t="shared" si="79"/>
        <v>0</v>
      </c>
      <c r="ER39" s="273">
        <f t="shared" si="79"/>
        <v>0</v>
      </c>
      <c r="ES39" s="273">
        <f t="shared" si="79"/>
        <v>0</v>
      </c>
      <c r="ET39" s="273">
        <f t="shared" si="79"/>
        <v>0</v>
      </c>
      <c r="EU39" s="273">
        <f t="shared" si="79"/>
        <v>0</v>
      </c>
      <c r="EV39" s="273">
        <f t="shared" si="79"/>
        <v>0</v>
      </c>
      <c r="EW39" s="273">
        <f t="shared" si="79"/>
        <v>0</v>
      </c>
      <c r="EX39" s="273">
        <f t="shared" si="79"/>
        <v>0</v>
      </c>
      <c r="EY39" s="273">
        <f t="shared" si="79"/>
        <v>0</v>
      </c>
      <c r="EZ39" s="273">
        <f t="shared" si="79"/>
        <v>0</v>
      </c>
      <c r="FA39" s="273">
        <f t="shared" si="79"/>
        <v>0</v>
      </c>
      <c r="FB39" s="273">
        <f t="shared" si="79"/>
        <v>0</v>
      </c>
      <c r="FC39" s="273">
        <f t="shared" si="79"/>
        <v>0</v>
      </c>
      <c r="FD39" s="273">
        <f t="shared" si="79"/>
        <v>0</v>
      </c>
      <c r="FE39" s="273">
        <f t="shared" si="79"/>
        <v>0</v>
      </c>
      <c r="FF39" s="273">
        <f t="shared" si="79"/>
        <v>0</v>
      </c>
      <c r="FG39" s="273">
        <f t="shared" si="79"/>
        <v>0</v>
      </c>
      <c r="FH39" s="273">
        <f t="shared" si="79"/>
        <v>0</v>
      </c>
      <c r="FI39" s="273">
        <f t="shared" si="79"/>
        <v>0</v>
      </c>
      <c r="FJ39" s="273">
        <f t="shared" si="79"/>
        <v>0</v>
      </c>
      <c r="FK39" s="273">
        <f t="shared" si="79"/>
        <v>0</v>
      </c>
      <c r="FL39" s="273">
        <f t="shared" si="79"/>
        <v>0</v>
      </c>
      <c r="FM39" s="273">
        <f t="shared" si="79"/>
        <v>0</v>
      </c>
      <c r="FN39" s="273">
        <f t="shared" si="79"/>
        <v>0</v>
      </c>
      <c r="FO39" s="273">
        <f t="shared" si="79"/>
        <v>0</v>
      </c>
      <c r="FP39" s="273">
        <f t="shared" si="79"/>
        <v>0</v>
      </c>
      <c r="FQ39" s="273">
        <f t="shared" si="79"/>
        <v>0</v>
      </c>
      <c r="FR39" s="273">
        <f t="shared" si="79"/>
        <v>0</v>
      </c>
      <c r="FS39" s="273">
        <f t="shared" si="79"/>
        <v>0</v>
      </c>
      <c r="FT39" s="273">
        <f t="shared" si="79"/>
        <v>0</v>
      </c>
      <c r="FU39" s="273">
        <f t="shared" si="79"/>
        <v>0</v>
      </c>
      <c r="FV39" s="273">
        <f t="shared" si="79"/>
        <v>0</v>
      </c>
      <c r="FW39" s="273">
        <f t="shared" si="79"/>
        <v>0</v>
      </c>
      <c r="FX39" s="273">
        <f t="shared" si="79"/>
        <v>0</v>
      </c>
      <c r="FY39" s="273">
        <f t="shared" si="79"/>
        <v>0</v>
      </c>
      <c r="FZ39" s="273">
        <f t="shared" si="79"/>
        <v>0</v>
      </c>
      <c r="GA39" s="273">
        <f t="shared" si="79"/>
        <v>0</v>
      </c>
      <c r="GB39" s="273">
        <f t="shared" si="79"/>
        <v>0</v>
      </c>
      <c r="GC39" s="273">
        <f t="shared" si="79"/>
        <v>0</v>
      </c>
      <c r="GD39" s="273">
        <f t="shared" si="79"/>
        <v>0</v>
      </c>
      <c r="GE39" s="273">
        <f t="shared" si="79"/>
        <v>0</v>
      </c>
      <c r="GF39" s="273">
        <f t="shared" si="79"/>
        <v>0</v>
      </c>
      <c r="GG39" s="273">
        <f t="shared" si="79"/>
        <v>0</v>
      </c>
      <c r="GH39" s="273">
        <f t="shared" si="79"/>
        <v>0</v>
      </c>
      <c r="GI39" s="273">
        <f t="shared" si="79"/>
        <v>0</v>
      </c>
      <c r="GJ39" s="273">
        <f t="shared" si="79"/>
        <v>0</v>
      </c>
      <c r="GK39" s="273">
        <f t="shared" si="79"/>
        <v>0</v>
      </c>
      <c r="GL39" s="273">
        <f t="shared" si="79"/>
        <v>0</v>
      </c>
      <c r="GM39" s="273">
        <f t="shared" si="79"/>
        <v>0</v>
      </c>
      <c r="GN39" s="273">
        <f t="shared" ref="GN39:IY39" si="80">IF(GN38&lt;0,1,0)</f>
        <v>0</v>
      </c>
      <c r="GO39" s="273">
        <f t="shared" si="80"/>
        <v>0</v>
      </c>
      <c r="GP39" s="273">
        <f t="shared" si="80"/>
        <v>0</v>
      </c>
      <c r="GQ39" s="273">
        <f t="shared" si="80"/>
        <v>0</v>
      </c>
      <c r="GR39" s="273">
        <f t="shared" si="80"/>
        <v>0</v>
      </c>
      <c r="GS39" s="273">
        <f t="shared" si="80"/>
        <v>0</v>
      </c>
      <c r="GT39" s="273">
        <f t="shared" si="80"/>
        <v>0</v>
      </c>
      <c r="GU39" s="273">
        <f t="shared" si="80"/>
        <v>0</v>
      </c>
      <c r="GV39" s="273">
        <f t="shared" si="80"/>
        <v>0</v>
      </c>
      <c r="GW39" s="273">
        <f t="shared" si="80"/>
        <v>0</v>
      </c>
      <c r="GX39" s="273">
        <f t="shared" si="80"/>
        <v>0</v>
      </c>
      <c r="GY39" s="273">
        <f t="shared" si="80"/>
        <v>0</v>
      </c>
      <c r="GZ39" s="273">
        <f t="shared" si="80"/>
        <v>0</v>
      </c>
      <c r="HA39" s="273">
        <f t="shared" si="80"/>
        <v>0</v>
      </c>
      <c r="HB39" s="273">
        <f t="shared" si="80"/>
        <v>0</v>
      </c>
      <c r="HC39" s="273">
        <f t="shared" si="80"/>
        <v>0</v>
      </c>
      <c r="HD39" s="273">
        <f t="shared" si="80"/>
        <v>0</v>
      </c>
      <c r="HE39" s="273">
        <f t="shared" si="80"/>
        <v>0</v>
      </c>
      <c r="HF39" s="273">
        <f t="shared" si="80"/>
        <v>0</v>
      </c>
      <c r="HG39" s="273">
        <f t="shared" si="80"/>
        <v>0</v>
      </c>
      <c r="HH39" s="273">
        <f t="shared" si="80"/>
        <v>0</v>
      </c>
      <c r="HI39" s="273">
        <f t="shared" si="80"/>
        <v>0</v>
      </c>
      <c r="HJ39" s="273">
        <f t="shared" si="80"/>
        <v>0</v>
      </c>
      <c r="HK39" s="273">
        <f t="shared" si="80"/>
        <v>0</v>
      </c>
      <c r="HL39" s="273">
        <f t="shared" si="80"/>
        <v>0</v>
      </c>
      <c r="HM39" s="273">
        <f t="shared" si="80"/>
        <v>0</v>
      </c>
      <c r="HN39" s="273">
        <f t="shared" si="80"/>
        <v>0</v>
      </c>
      <c r="HO39" s="273">
        <f t="shared" si="80"/>
        <v>0</v>
      </c>
      <c r="HP39" s="273">
        <f t="shared" si="80"/>
        <v>0</v>
      </c>
      <c r="HQ39" s="273">
        <f t="shared" si="80"/>
        <v>0</v>
      </c>
      <c r="HR39" s="273">
        <f t="shared" si="80"/>
        <v>0</v>
      </c>
      <c r="HS39" s="273">
        <f t="shared" si="80"/>
        <v>0</v>
      </c>
      <c r="HT39" s="273">
        <f t="shared" si="80"/>
        <v>0</v>
      </c>
      <c r="HU39" s="273">
        <f t="shared" si="80"/>
        <v>0</v>
      </c>
      <c r="HV39" s="273">
        <f t="shared" si="80"/>
        <v>0</v>
      </c>
      <c r="HW39" s="273">
        <f t="shared" si="80"/>
        <v>0</v>
      </c>
      <c r="HX39" s="273">
        <f t="shared" si="80"/>
        <v>0</v>
      </c>
      <c r="HY39" s="273">
        <f t="shared" si="80"/>
        <v>0</v>
      </c>
      <c r="HZ39" s="273">
        <f t="shared" si="80"/>
        <v>0</v>
      </c>
      <c r="IA39" s="273">
        <f t="shared" si="80"/>
        <v>0</v>
      </c>
      <c r="IB39" s="273">
        <f t="shared" si="80"/>
        <v>0</v>
      </c>
      <c r="IC39" s="273">
        <f t="shared" si="80"/>
        <v>0</v>
      </c>
      <c r="ID39" s="273">
        <f t="shared" si="80"/>
        <v>0</v>
      </c>
      <c r="IE39" s="273">
        <f t="shared" si="80"/>
        <v>0</v>
      </c>
      <c r="IF39" s="273">
        <f t="shared" si="80"/>
        <v>0</v>
      </c>
      <c r="IG39" s="273">
        <f t="shared" si="80"/>
        <v>0</v>
      </c>
      <c r="IH39" s="273">
        <f t="shared" si="80"/>
        <v>0</v>
      </c>
      <c r="II39" s="273">
        <f t="shared" si="80"/>
        <v>0</v>
      </c>
      <c r="IJ39" s="273">
        <f t="shared" si="80"/>
        <v>0</v>
      </c>
      <c r="IK39" s="273">
        <f t="shared" si="80"/>
        <v>0</v>
      </c>
      <c r="IL39" s="273">
        <f t="shared" si="80"/>
        <v>0</v>
      </c>
      <c r="IM39" s="273">
        <f t="shared" si="80"/>
        <v>0</v>
      </c>
      <c r="IN39" s="273">
        <f t="shared" si="80"/>
        <v>0</v>
      </c>
      <c r="IO39" s="273">
        <f t="shared" si="80"/>
        <v>0</v>
      </c>
      <c r="IP39" s="273">
        <f t="shared" si="80"/>
        <v>0</v>
      </c>
      <c r="IQ39" s="273">
        <f t="shared" si="80"/>
        <v>0</v>
      </c>
      <c r="IR39" s="273">
        <f t="shared" si="80"/>
        <v>0</v>
      </c>
      <c r="IS39" s="273">
        <f t="shared" si="80"/>
        <v>0</v>
      </c>
      <c r="IT39" s="273">
        <f t="shared" si="80"/>
        <v>0</v>
      </c>
      <c r="IU39" s="273">
        <f t="shared" si="80"/>
        <v>0</v>
      </c>
      <c r="IV39" s="273">
        <f t="shared" si="80"/>
        <v>0</v>
      </c>
      <c r="IW39" s="273">
        <f t="shared" si="80"/>
        <v>0</v>
      </c>
      <c r="IX39" s="273">
        <f t="shared" si="80"/>
        <v>0</v>
      </c>
      <c r="IY39" s="273">
        <f t="shared" si="80"/>
        <v>0</v>
      </c>
      <c r="IZ39" s="273">
        <f t="shared" ref="IZ39:KQ39" si="81">IF(IZ38&lt;0,1,0)</f>
        <v>0</v>
      </c>
      <c r="JA39" s="273">
        <f t="shared" si="81"/>
        <v>0</v>
      </c>
      <c r="JB39" s="273">
        <f t="shared" si="81"/>
        <v>0</v>
      </c>
      <c r="JC39" s="273">
        <f t="shared" si="81"/>
        <v>0</v>
      </c>
      <c r="JD39" s="273">
        <f t="shared" si="81"/>
        <v>0</v>
      </c>
      <c r="JE39" s="273">
        <f t="shared" si="81"/>
        <v>0</v>
      </c>
      <c r="JF39" s="273">
        <f t="shared" si="81"/>
        <v>0</v>
      </c>
      <c r="JG39" s="273">
        <f t="shared" si="81"/>
        <v>0</v>
      </c>
      <c r="JH39" s="273">
        <f t="shared" si="81"/>
        <v>0</v>
      </c>
      <c r="JI39" s="273">
        <f t="shared" si="81"/>
        <v>0</v>
      </c>
      <c r="JJ39" s="273">
        <f t="shared" si="81"/>
        <v>0</v>
      </c>
      <c r="JK39" s="273">
        <f t="shared" si="81"/>
        <v>0</v>
      </c>
      <c r="JL39" s="273">
        <f t="shared" si="81"/>
        <v>0</v>
      </c>
      <c r="JM39" s="273">
        <f t="shared" si="81"/>
        <v>0</v>
      </c>
      <c r="JN39" s="273">
        <f t="shared" si="81"/>
        <v>0</v>
      </c>
      <c r="JO39" s="273">
        <f t="shared" si="81"/>
        <v>0</v>
      </c>
      <c r="JP39" s="273">
        <f t="shared" si="81"/>
        <v>0</v>
      </c>
      <c r="JQ39" s="273">
        <f t="shared" si="81"/>
        <v>0</v>
      </c>
      <c r="JR39" s="273">
        <f t="shared" si="81"/>
        <v>0</v>
      </c>
      <c r="JS39" s="273">
        <f t="shared" si="81"/>
        <v>0</v>
      </c>
      <c r="JT39" s="273">
        <f t="shared" si="81"/>
        <v>0</v>
      </c>
      <c r="JU39" s="273">
        <f t="shared" si="81"/>
        <v>0</v>
      </c>
      <c r="JV39" s="273">
        <f t="shared" si="81"/>
        <v>0</v>
      </c>
      <c r="JW39" s="273">
        <f t="shared" si="81"/>
        <v>0</v>
      </c>
      <c r="JX39" s="273">
        <f t="shared" si="81"/>
        <v>0</v>
      </c>
      <c r="JY39" s="273">
        <f t="shared" si="81"/>
        <v>0</v>
      </c>
      <c r="JZ39" s="273">
        <f t="shared" si="81"/>
        <v>0</v>
      </c>
      <c r="KA39" s="273">
        <f t="shared" si="81"/>
        <v>0</v>
      </c>
      <c r="KB39" s="273">
        <f t="shared" si="81"/>
        <v>0</v>
      </c>
      <c r="KC39" s="273">
        <f t="shared" si="81"/>
        <v>0</v>
      </c>
      <c r="KD39" s="273">
        <f t="shared" si="81"/>
        <v>0</v>
      </c>
      <c r="KE39" s="273">
        <f t="shared" si="81"/>
        <v>0</v>
      </c>
      <c r="KF39" s="273">
        <f t="shared" si="81"/>
        <v>0</v>
      </c>
      <c r="KG39" s="273">
        <f t="shared" si="81"/>
        <v>0</v>
      </c>
      <c r="KH39" s="273">
        <f t="shared" si="81"/>
        <v>0</v>
      </c>
      <c r="KI39" s="273">
        <f t="shared" si="81"/>
        <v>0</v>
      </c>
      <c r="KJ39" s="273">
        <f t="shared" si="81"/>
        <v>0</v>
      </c>
      <c r="KK39" s="273">
        <f t="shared" si="81"/>
        <v>0</v>
      </c>
      <c r="KL39" s="273">
        <f t="shared" si="81"/>
        <v>0</v>
      </c>
      <c r="KM39" s="273">
        <f t="shared" si="81"/>
        <v>0</v>
      </c>
      <c r="KN39" s="273">
        <f t="shared" si="81"/>
        <v>0</v>
      </c>
      <c r="KO39" s="273">
        <f t="shared" si="81"/>
        <v>0</v>
      </c>
      <c r="KP39" s="273">
        <f t="shared" si="81"/>
        <v>0</v>
      </c>
      <c r="KQ39" s="273">
        <f t="shared" si="81"/>
        <v>0</v>
      </c>
    </row>
    <row r="40" spans="2:303" x14ac:dyDescent="0.35">
      <c r="B40" s="270"/>
      <c r="C40" s="274"/>
      <c r="D40" s="266"/>
      <c r="E40" s="266"/>
      <c r="F40" s="266"/>
      <c r="G40" s="266"/>
      <c r="H40" s="266"/>
      <c r="I40" s="266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271"/>
      <c r="AO40" s="271"/>
      <c r="AP40" s="271"/>
      <c r="AQ40" s="271"/>
    </row>
    <row r="41" spans="2:303" x14ac:dyDescent="0.35">
      <c r="B41" s="270"/>
      <c r="C41" s="274"/>
      <c r="D41" s="268"/>
      <c r="E41" s="268"/>
      <c r="F41" s="268"/>
      <c r="G41" s="268"/>
      <c r="H41" s="268"/>
      <c r="I41" s="268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  <c r="AC41" s="267"/>
      <c r="AD41" s="267"/>
      <c r="AE41" s="267"/>
      <c r="AF41" s="267"/>
      <c r="AG41" s="267"/>
      <c r="AH41" s="267"/>
      <c r="AI41" s="267"/>
      <c r="AJ41" s="267"/>
      <c r="AK41" s="267"/>
      <c r="AL41" s="267"/>
      <c r="AM41" s="267"/>
      <c r="AN41" s="267"/>
      <c r="AO41" s="267"/>
      <c r="AP41" s="267"/>
      <c r="AQ41" s="267"/>
    </row>
    <row r="42" spans="2:303" x14ac:dyDescent="0.35">
      <c r="B42" s="275" t="s">
        <v>129</v>
      </c>
      <c r="C42" s="276">
        <f>18%/12</f>
        <v>1.4999999999999999E-2</v>
      </c>
      <c r="D42" s="277"/>
      <c r="E42" s="278"/>
      <c r="F42" s="278"/>
      <c r="G42" s="278"/>
      <c r="H42" s="278"/>
      <c r="I42" s="278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  <c r="AB42" s="278"/>
      <c r="AC42" s="278"/>
      <c r="AD42" s="278"/>
      <c r="AE42" s="278"/>
      <c r="AF42" s="278"/>
      <c r="AG42" s="278"/>
      <c r="AH42" s="278"/>
      <c r="AI42" s="278"/>
      <c r="AJ42" s="278"/>
      <c r="AK42" s="278"/>
      <c r="AL42" s="278"/>
      <c r="AM42" s="278"/>
      <c r="AN42" s="278"/>
      <c r="AO42" s="278"/>
      <c r="AP42" s="278"/>
      <c r="AQ42" s="278"/>
    </row>
    <row r="43" spans="2:303" x14ac:dyDescent="0.35">
      <c r="B43" s="279" t="s">
        <v>130</v>
      </c>
      <c r="C43" s="280" t="e">
        <f>IRR(D53:D61)</f>
        <v>#NUM!</v>
      </c>
      <c r="D43" s="281" t="e">
        <f>C43*12</f>
        <v>#NUM!</v>
      </c>
      <c r="E43" s="282"/>
      <c r="F43" s="282"/>
      <c r="G43" s="282"/>
      <c r="H43" s="282"/>
      <c r="I43" s="282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4"/>
      <c r="U43" s="283"/>
      <c r="V43" s="283"/>
      <c r="W43" s="283"/>
      <c r="X43" s="283"/>
      <c r="Y43" s="283"/>
      <c r="Z43" s="283"/>
      <c r="AA43" s="283"/>
      <c r="AB43" s="283"/>
      <c r="AC43" s="283"/>
      <c r="AD43" s="283"/>
      <c r="AE43" s="283"/>
      <c r="AF43" s="283"/>
      <c r="AG43" s="283"/>
      <c r="AH43" s="283"/>
      <c r="AI43" s="283"/>
      <c r="AJ43" s="283"/>
      <c r="AK43" s="283"/>
      <c r="AL43" s="283"/>
      <c r="AM43" s="283"/>
      <c r="AN43" s="283"/>
      <c r="AO43" s="283"/>
      <c r="AP43" s="283"/>
      <c r="AQ43" s="283"/>
    </row>
    <row r="44" spans="2:303" x14ac:dyDescent="0.35">
      <c r="B44" s="279" t="s">
        <v>131</v>
      </c>
      <c r="C44" s="285">
        <f>NPV(C42,E22:CD22)+D22</f>
        <v>-31318888071.226879</v>
      </c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283"/>
      <c r="AB44" s="283"/>
      <c r="AC44" s="283"/>
      <c r="AD44" s="283"/>
      <c r="AE44" s="283"/>
      <c r="AF44" s="283"/>
      <c r="AG44" s="283"/>
      <c r="AH44" s="283"/>
      <c r="AI44" s="283"/>
      <c r="AJ44" s="283"/>
      <c r="AK44" s="283"/>
      <c r="AL44" s="283"/>
      <c r="AM44" s="283"/>
      <c r="AN44" s="283"/>
      <c r="AO44" s="283"/>
      <c r="AP44" s="283"/>
      <c r="AQ44" s="283"/>
    </row>
    <row r="45" spans="2:303" x14ac:dyDescent="0.35">
      <c r="B45" s="283"/>
      <c r="C45" s="286"/>
      <c r="D45" s="286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83"/>
      <c r="AB45" s="283"/>
      <c r="AC45" s="283"/>
      <c r="AD45" s="283"/>
      <c r="AE45" s="283"/>
      <c r="AF45" s="283"/>
      <c r="AG45" s="283"/>
      <c r="AH45" s="283"/>
      <c r="AI45" s="283"/>
      <c r="AJ45" s="283"/>
      <c r="AK45" s="283"/>
      <c r="AL45" s="283"/>
      <c r="AM45" s="283"/>
      <c r="AN45" s="283"/>
      <c r="AO45" s="283"/>
      <c r="AP45" s="283"/>
      <c r="AQ45" s="283"/>
    </row>
    <row r="46" spans="2:303" x14ac:dyDescent="0.35">
      <c r="B46" s="279" t="s">
        <v>132</v>
      </c>
      <c r="C46" s="276">
        <f>IFERROR(C22/C25, 0)</f>
        <v>-6.3982157868435712</v>
      </c>
      <c r="D46" s="286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83"/>
      <c r="AB46" s="283"/>
      <c r="AC46" s="283"/>
      <c r="AD46" s="283"/>
      <c r="AE46" s="283"/>
      <c r="AF46" s="283"/>
      <c r="AG46" s="283"/>
      <c r="AH46" s="283"/>
      <c r="AI46" s="283"/>
      <c r="AJ46" s="283"/>
      <c r="AK46" s="283"/>
      <c r="AL46" s="283"/>
      <c r="AM46" s="283"/>
      <c r="AN46" s="283"/>
      <c r="AO46" s="283"/>
      <c r="AP46" s="283"/>
      <c r="AQ46" s="283"/>
    </row>
    <row r="47" spans="2:303" x14ac:dyDescent="0.35">
      <c r="B47" s="279" t="s">
        <v>133</v>
      </c>
      <c r="C47" s="276">
        <f>IFERROR(C22/SUM(C24:C26),0)</f>
        <v>-6.3982157868435712</v>
      </c>
      <c r="D47" s="286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83"/>
      <c r="AB47" s="283"/>
      <c r="AC47" s="283"/>
      <c r="AD47" s="283"/>
      <c r="AE47" s="283"/>
      <c r="AF47" s="283"/>
      <c r="AG47" s="283"/>
      <c r="AH47" s="283"/>
      <c r="AI47" s="283"/>
      <c r="AJ47" s="283"/>
      <c r="AK47" s="283"/>
      <c r="AL47" s="283"/>
      <c r="AM47" s="283"/>
      <c r="AN47" s="283"/>
      <c r="AO47" s="283"/>
      <c r="AP47" s="283"/>
      <c r="AQ47" s="283"/>
    </row>
    <row r="48" spans="2:303" x14ac:dyDescent="0.35">
      <c r="B48" s="279" t="s">
        <v>8</v>
      </c>
      <c r="C48" s="287" t="e">
        <f>C39</f>
        <v>#N/A</v>
      </c>
      <c r="D48" s="286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83"/>
      <c r="AB48" s="283"/>
      <c r="AC48" s="283"/>
      <c r="AD48" s="283"/>
      <c r="AE48" s="283"/>
      <c r="AF48" s="283"/>
      <c r="AG48" s="283"/>
      <c r="AH48" s="283"/>
      <c r="AI48" s="283"/>
      <c r="AJ48" s="283"/>
      <c r="AK48" s="283"/>
      <c r="AL48" s="283"/>
      <c r="AM48" s="283"/>
      <c r="AN48" s="283"/>
      <c r="AO48" s="283"/>
      <c r="AP48" s="283"/>
      <c r="AQ48" s="283"/>
    </row>
    <row r="49" spans="2:43" x14ac:dyDescent="0.35">
      <c r="B49" s="279" t="s">
        <v>134</v>
      </c>
      <c r="C49" s="276">
        <f>21%/12</f>
        <v>1.7499999999999998E-2</v>
      </c>
      <c r="D49" s="286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83"/>
      <c r="AA49" s="283"/>
      <c r="AB49" s="283"/>
      <c r="AC49" s="283"/>
      <c r="AD49" s="283"/>
      <c r="AE49" s="283"/>
      <c r="AF49" s="283"/>
      <c r="AG49" s="283"/>
      <c r="AH49" s="283"/>
      <c r="AI49" s="283"/>
      <c r="AJ49" s="283"/>
      <c r="AK49" s="283"/>
      <c r="AL49" s="283"/>
      <c r="AM49" s="283"/>
      <c r="AN49" s="283"/>
      <c r="AO49" s="283"/>
      <c r="AP49" s="283"/>
      <c r="AQ49" s="283"/>
    </row>
    <row r="50" spans="2:43" x14ac:dyDescent="0.35">
      <c r="B50" s="279" t="s">
        <v>133</v>
      </c>
      <c r="C50" s="276">
        <f>IFERROR(C22/SUM(C24:C26),0)</f>
        <v>-6.3982157868435712</v>
      </c>
      <c r="D50" s="286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  <c r="AA50" s="283"/>
      <c r="AB50" s="283"/>
      <c r="AC50" s="283"/>
      <c r="AD50" s="283"/>
      <c r="AE50" s="283"/>
      <c r="AF50" s="283"/>
      <c r="AG50" s="283"/>
      <c r="AH50" s="283"/>
      <c r="AI50" s="283"/>
      <c r="AJ50" s="283"/>
      <c r="AK50" s="283"/>
      <c r="AL50" s="283"/>
      <c r="AM50" s="283"/>
      <c r="AN50" s="283"/>
      <c r="AO50" s="283"/>
      <c r="AP50" s="283"/>
      <c r="AQ50" s="283"/>
    </row>
    <row r="53" spans="2:43" x14ac:dyDescent="0.35">
      <c r="C53" s="295">
        <v>2026</v>
      </c>
      <c r="D53" s="255">
        <f>SUM(D22:K22)</f>
        <v>-5395820605.2448435</v>
      </c>
    </row>
    <row r="54" spans="2:43" x14ac:dyDescent="0.35">
      <c r="C54" s="295">
        <v>2027</v>
      </c>
      <c r="D54" s="255">
        <f>SUM(L22:W22)</f>
        <v>-4803293754.8284035</v>
      </c>
    </row>
    <row r="55" spans="2:43" x14ac:dyDescent="0.35">
      <c r="C55" s="295">
        <v>2028</v>
      </c>
      <c r="D55" s="255">
        <f>SUM(X22:AI22)</f>
        <v>-6221366453.4843569</v>
      </c>
    </row>
    <row r="56" spans="2:43" x14ac:dyDescent="0.35">
      <c r="C56" s="295">
        <v>2029</v>
      </c>
      <c r="D56" s="255">
        <f>SUM(AJ22:AU22)</f>
        <v>-10176674035.013512</v>
      </c>
    </row>
    <row r="57" spans="2:43" x14ac:dyDescent="0.35">
      <c r="C57" s="295">
        <v>2030</v>
      </c>
      <c r="D57" s="255">
        <f>SUM(AV22:BG22)</f>
        <v>-10206916082.652447</v>
      </c>
    </row>
    <row r="58" spans="2:43" x14ac:dyDescent="0.35">
      <c r="C58" s="295">
        <v>2031</v>
      </c>
      <c r="D58" s="255">
        <f>SUM(BH22:BS22)</f>
        <v>-10206916082.652447</v>
      </c>
    </row>
    <row r="59" spans="2:43" x14ac:dyDescent="0.35">
      <c r="C59" s="295">
        <v>2032</v>
      </c>
      <c r="D59" s="255">
        <f>SUM(BT22:CE22)</f>
        <v>-9143947355.5558681</v>
      </c>
    </row>
    <row r="60" spans="2:43" x14ac:dyDescent="0.35">
      <c r="C60" s="295">
        <v>2033</v>
      </c>
      <c r="D60" s="255">
        <f>SUM(CF22:CQ22)</f>
        <v>-6823104474.679616</v>
      </c>
    </row>
    <row r="61" spans="2:43" x14ac:dyDescent="0.35">
      <c r="C61" s="295">
        <v>2034</v>
      </c>
      <c r="D61" s="255">
        <f>SUM(CR22:DC22)</f>
        <v>-1087935651.1319005</v>
      </c>
    </row>
  </sheetData>
  <conditionalFormatting sqref="D36:KQ3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4F70A-5CBB-484F-B4C0-6B295D2BE835}">
  <dimension ref="B1:O306"/>
  <sheetViews>
    <sheetView workbookViewId="0">
      <pane ySplit="6" topLeftCell="A7" activePane="bottomLeft" state="frozen"/>
      <selection pane="bottomLeft" activeCell="E3" sqref="E3"/>
    </sheetView>
  </sheetViews>
  <sheetFormatPr defaultRowHeight="14.5" x14ac:dyDescent="0.35"/>
  <cols>
    <col min="2" max="2" width="4.6328125" customWidth="1"/>
    <col min="3" max="3" width="4.08984375" customWidth="1"/>
    <col min="4" max="4" width="13.453125" customWidth="1"/>
    <col min="5" max="5" width="17.54296875" bestFit="1" customWidth="1"/>
    <col min="6" max="6" width="15" bestFit="1" customWidth="1"/>
    <col min="7" max="7" width="12.36328125" bestFit="1" customWidth="1"/>
    <col min="8" max="8" width="16.08984375" customWidth="1"/>
    <col min="9" max="9" width="16" bestFit="1" customWidth="1"/>
    <col min="10" max="10" width="25.36328125" customWidth="1"/>
    <col min="11" max="11" width="22.54296875" customWidth="1"/>
    <col min="12" max="12" width="9.08984375" bestFit="1" customWidth="1"/>
    <col min="13" max="13" width="16.453125" customWidth="1"/>
    <col min="14" max="14" width="9.08984375" bestFit="1" customWidth="1"/>
    <col min="15" max="15" width="15" customWidth="1"/>
  </cols>
  <sheetData>
    <row r="1" spans="2:13" x14ac:dyDescent="0.35">
      <c r="H1" s="197">
        <f>H3-H2</f>
        <v>0</v>
      </c>
    </row>
    <row r="2" spans="2:13" x14ac:dyDescent="0.35">
      <c r="E2" s="197"/>
      <c r="F2" s="197">
        <f t="shared" ref="F2:K2" si="0">SUBTOTAL(9,F7:F306)</f>
        <v>197152741</v>
      </c>
      <c r="G2" s="197">
        <f t="shared" si="0"/>
        <v>0</v>
      </c>
      <c r="H2" s="197">
        <f t="shared" si="0"/>
        <v>3397215017.4741516</v>
      </c>
      <c r="I2" s="197">
        <f t="shared" si="0"/>
        <v>687711458.89655054</v>
      </c>
      <c r="J2" s="197">
        <f t="shared" si="0"/>
        <v>112218750</v>
      </c>
      <c r="K2" s="197">
        <f t="shared" si="0"/>
        <v>675000000</v>
      </c>
    </row>
    <row r="3" spans="2:13" x14ac:dyDescent="0.35">
      <c r="E3" s="197">
        <f>'PnL (2)'!B49</f>
        <v>10013100000</v>
      </c>
      <c r="F3" s="197">
        <f>'PnL все'!B50</f>
        <v>197152741</v>
      </c>
      <c r="G3" s="197">
        <f>'PnL все'!B62</f>
        <v>0</v>
      </c>
      <c r="H3" s="197">
        <f>'PnL (2)'!B73</f>
        <v>3397215017.4741516</v>
      </c>
      <c r="I3" s="197">
        <f>'PnL (2)'!B70</f>
        <v>687711458.89655018</v>
      </c>
      <c r="K3" s="197">
        <f>Credit!D2</f>
        <v>675000000</v>
      </c>
    </row>
    <row r="4" spans="2:13" x14ac:dyDescent="0.35">
      <c r="F4" s="198">
        <v>6</v>
      </c>
    </row>
    <row r="5" spans="2:13" x14ac:dyDescent="0.35">
      <c r="H5" s="201">
        <f>EDATE(D15,24)</f>
        <v>47178</v>
      </c>
    </row>
    <row r="6" spans="2:13" x14ac:dyDescent="0.35">
      <c r="E6" s="289" t="s">
        <v>112</v>
      </c>
      <c r="F6" s="289" t="s">
        <v>114</v>
      </c>
      <c r="G6" t="s">
        <v>113</v>
      </c>
      <c r="H6" s="289" t="s">
        <v>37</v>
      </c>
      <c r="I6" s="289" t="s">
        <v>109</v>
      </c>
      <c r="J6" s="289" t="s">
        <v>110</v>
      </c>
      <c r="K6" s="289" t="s">
        <v>120</v>
      </c>
    </row>
    <row r="7" spans="2:13" x14ac:dyDescent="0.35">
      <c r="B7">
        <v>1</v>
      </c>
      <c r="C7" s="235">
        <f t="shared" ref="C7:C70" si="1">MONTH(D7)</f>
        <v>7</v>
      </c>
      <c r="D7" s="238">
        <f>DCF!D6</f>
        <v>46204</v>
      </c>
      <c r="E7" s="197">
        <f>$E$3*50%</f>
        <v>5006550000</v>
      </c>
      <c r="F7" s="197">
        <f t="shared" ref="F7:F17" si="2">$F$3*8%</f>
        <v>15772219.280000001</v>
      </c>
      <c r="G7" s="197"/>
      <c r="H7" s="197"/>
      <c r="I7" s="197"/>
      <c r="J7" s="197">
        <f>SUMIF(Credit!$A$12:$A$371,'Графики (2)'!D7,Credit!$D$12:$D$371)</f>
        <v>11812500</v>
      </c>
      <c r="K7">
        <f>SUMIF(Credit!$A$12:$A$371,'Графики (2)'!D7,Credit!$C$12:$C$371)</f>
        <v>37500000</v>
      </c>
    </row>
    <row r="8" spans="2:13" x14ac:dyDescent="0.35">
      <c r="B8">
        <f t="shared" ref="B8:B71" si="3">B7+1</f>
        <v>2</v>
      </c>
      <c r="C8" s="235">
        <f t="shared" si="1"/>
        <v>8</v>
      </c>
      <c r="D8" s="238">
        <f t="shared" ref="D8:D71" si="4">EDATE(D7,1)</f>
        <v>46235</v>
      </c>
      <c r="E8" s="197"/>
      <c r="F8" s="197">
        <f t="shared" si="2"/>
        <v>15772219.280000001</v>
      </c>
      <c r="G8" s="197"/>
      <c r="H8" s="197"/>
      <c r="I8" s="197"/>
      <c r="J8" s="197">
        <f>SUMIF(Credit!$A$12:$A$371,'Графики (2)'!D8,Credit!$D$12:$D$371)</f>
        <v>11156250</v>
      </c>
      <c r="K8">
        <f>SUMIF(Credit!$A$12:$A$371,'Графики (2)'!D8,Credit!$C$12:$C$371)</f>
        <v>37500000</v>
      </c>
    </row>
    <row r="9" spans="2:13" x14ac:dyDescent="0.35">
      <c r="B9">
        <f t="shared" si="3"/>
        <v>3</v>
      </c>
      <c r="C9" s="235">
        <f t="shared" si="1"/>
        <v>9</v>
      </c>
      <c r="D9" s="238">
        <f t="shared" si="4"/>
        <v>46266</v>
      </c>
      <c r="E9" s="197"/>
      <c r="F9" s="197">
        <f t="shared" si="2"/>
        <v>15772219.280000001</v>
      </c>
      <c r="G9" s="197"/>
      <c r="H9" s="197"/>
      <c r="I9" s="197">
        <f>$I$3*2.5%</f>
        <v>17192786.472413756</v>
      </c>
      <c r="J9" s="197">
        <f>SUMIF(Credit!$A$12:$A$371,'Графики (2)'!D9,Credit!$D$12:$D$371)</f>
        <v>10500000</v>
      </c>
      <c r="K9">
        <f>SUMIF(Credit!$A$12:$A$371,'Графики (2)'!D9,Credit!$C$12:$C$371)</f>
        <v>37500000</v>
      </c>
    </row>
    <row r="10" spans="2:13" x14ac:dyDescent="0.35">
      <c r="B10">
        <f t="shared" si="3"/>
        <v>4</v>
      </c>
      <c r="C10" s="235">
        <f t="shared" si="1"/>
        <v>10</v>
      </c>
      <c r="D10" s="238">
        <f t="shared" si="4"/>
        <v>46296</v>
      </c>
      <c r="E10" s="197"/>
      <c r="F10" s="197">
        <f t="shared" si="2"/>
        <v>15772219.280000001</v>
      </c>
      <c r="G10" s="197"/>
      <c r="H10" s="197"/>
      <c r="I10" s="197"/>
      <c r="J10" s="197">
        <f>SUMIF(Credit!$A$12:$A$371,'Графики (2)'!D10,Credit!$D$12:$D$371)</f>
        <v>9843750</v>
      </c>
      <c r="K10">
        <f>SUMIF(Credit!$A$12:$A$371,'Графики (2)'!D10,Credit!$C$12:$C$371)</f>
        <v>37500000</v>
      </c>
    </row>
    <row r="11" spans="2:13" x14ac:dyDescent="0.35">
      <c r="B11">
        <f t="shared" si="3"/>
        <v>5</v>
      </c>
      <c r="C11" s="235">
        <f t="shared" si="1"/>
        <v>11</v>
      </c>
      <c r="D11" s="238">
        <f t="shared" si="4"/>
        <v>46327</v>
      </c>
      <c r="E11" s="197"/>
      <c r="F11" s="197">
        <f t="shared" si="2"/>
        <v>15772219.280000001</v>
      </c>
      <c r="G11" s="197"/>
      <c r="H11" s="197"/>
      <c r="I11" s="197"/>
      <c r="J11" s="197">
        <f>SUMIF(Credit!$A$12:$A$371,'Графики (2)'!D11,Credit!$D$12:$D$371)</f>
        <v>9187500</v>
      </c>
      <c r="K11">
        <f>SUMIF(Credit!$A$12:$A$371,'Графики (2)'!D11,Credit!$C$12:$C$371)</f>
        <v>37500000</v>
      </c>
    </row>
    <row r="12" spans="2:13" x14ac:dyDescent="0.35">
      <c r="B12">
        <f t="shared" si="3"/>
        <v>6</v>
      </c>
      <c r="C12" s="235">
        <f t="shared" si="1"/>
        <v>12</v>
      </c>
      <c r="D12" s="238">
        <f t="shared" si="4"/>
        <v>46357</v>
      </c>
      <c r="E12" s="197"/>
      <c r="F12" s="197">
        <f t="shared" si="2"/>
        <v>15772219.280000001</v>
      </c>
      <c r="G12" s="197"/>
      <c r="H12" s="197"/>
      <c r="I12" s="197">
        <f>$I$3*2.5%</f>
        <v>17192786.472413756</v>
      </c>
      <c r="J12" s="197">
        <f>SUMIF(Credit!$A$12:$A$371,'Графики (2)'!D12,Credit!$D$12:$D$371)</f>
        <v>8531250</v>
      </c>
      <c r="K12">
        <f>SUMIF(Credit!$A$12:$A$371,'Графики (2)'!D12,Credit!$C$12:$C$371)</f>
        <v>37500000</v>
      </c>
    </row>
    <row r="13" spans="2:13" x14ac:dyDescent="0.35">
      <c r="B13">
        <f t="shared" si="3"/>
        <v>7</v>
      </c>
      <c r="C13" s="235">
        <f t="shared" si="1"/>
        <v>1</v>
      </c>
      <c r="D13" s="238">
        <f t="shared" si="4"/>
        <v>46388</v>
      </c>
      <c r="E13" s="197"/>
      <c r="F13" s="197">
        <f t="shared" si="2"/>
        <v>15772219.280000001</v>
      </c>
      <c r="G13" s="197"/>
      <c r="H13" s="197"/>
      <c r="I13" s="197"/>
      <c r="J13" s="197">
        <f>SUMIF(Credit!$A$12:$A$371,'Графики (2)'!D13,Credit!$D$12:$D$371)</f>
        <v>7875000</v>
      </c>
      <c r="K13">
        <f>SUMIF(Credit!$A$12:$A$371,'Графики (2)'!D13,Credit!$C$12:$C$371)</f>
        <v>37500000</v>
      </c>
    </row>
    <row r="14" spans="2:13" x14ac:dyDescent="0.35">
      <c r="B14">
        <f t="shared" si="3"/>
        <v>8</v>
      </c>
      <c r="C14" s="235">
        <f t="shared" si="1"/>
        <v>2</v>
      </c>
      <c r="D14" s="238">
        <f t="shared" si="4"/>
        <v>46419</v>
      </c>
      <c r="E14" s="197"/>
      <c r="F14" s="197">
        <f t="shared" si="2"/>
        <v>15772219.280000001</v>
      </c>
      <c r="G14" s="197"/>
      <c r="H14" s="197"/>
      <c r="I14" s="197"/>
      <c r="J14" s="197">
        <f>SUMIF(Credit!$A$12:$A$371,'Графики (2)'!D14,Credit!$D$12:$D$371)</f>
        <v>7218750</v>
      </c>
      <c r="K14">
        <f>SUMIF(Credit!$A$12:$A$371,'Графики (2)'!D14,Credit!$C$12:$C$371)</f>
        <v>37500000</v>
      </c>
    </row>
    <row r="15" spans="2:13" x14ac:dyDescent="0.35">
      <c r="B15">
        <f t="shared" si="3"/>
        <v>9</v>
      </c>
      <c r="C15" s="235">
        <f t="shared" si="1"/>
        <v>3</v>
      </c>
      <c r="D15" s="238">
        <f t="shared" si="4"/>
        <v>46447</v>
      </c>
      <c r="E15" s="197"/>
      <c r="F15" s="197">
        <f t="shared" si="2"/>
        <v>15772219.280000001</v>
      </c>
      <c r="G15" s="197"/>
      <c r="H15" s="197"/>
      <c r="I15" s="197">
        <f>$I$3*2.5%</f>
        <v>17192786.472413756</v>
      </c>
      <c r="J15" s="197">
        <f>SUMIF(Credit!$A$12:$A$371,'Графики (2)'!D15,Credit!$D$12:$D$371)</f>
        <v>6562500</v>
      </c>
      <c r="K15">
        <f>SUMIF(Credit!$A$12:$A$371,'Графики (2)'!D15,Credit!$C$12:$C$371)</f>
        <v>37500000</v>
      </c>
      <c r="M15">
        <f>100/12</f>
        <v>8.3333333333333339</v>
      </c>
    </row>
    <row r="16" spans="2:13" x14ac:dyDescent="0.35">
      <c r="B16">
        <f t="shared" si="3"/>
        <v>10</v>
      </c>
      <c r="C16" s="235">
        <f t="shared" si="1"/>
        <v>4</v>
      </c>
      <c r="D16" s="238">
        <f t="shared" si="4"/>
        <v>46478</v>
      </c>
      <c r="E16" s="197"/>
      <c r="F16" s="197">
        <f t="shared" si="2"/>
        <v>15772219.280000001</v>
      </c>
      <c r="G16" s="197"/>
      <c r="H16" s="197"/>
      <c r="I16" s="197"/>
      <c r="J16" s="197">
        <f>SUMIF(Credit!$A$12:$A$371,'Графики (2)'!D16,Credit!$D$12:$D$371)</f>
        <v>5906250</v>
      </c>
      <c r="K16">
        <f>SUMIF(Credit!$A$12:$A$371,'Графики (2)'!D16,Credit!$C$12:$C$371)</f>
        <v>37500000</v>
      </c>
    </row>
    <row r="17" spans="2:13" x14ac:dyDescent="0.35">
      <c r="B17">
        <f t="shared" si="3"/>
        <v>11</v>
      </c>
      <c r="C17" s="235">
        <f t="shared" si="1"/>
        <v>5</v>
      </c>
      <c r="D17" s="238">
        <f t="shared" si="4"/>
        <v>46508</v>
      </c>
      <c r="E17" s="197"/>
      <c r="F17" s="197">
        <f t="shared" si="2"/>
        <v>15772219.280000001</v>
      </c>
      <c r="G17" s="197"/>
      <c r="H17" s="197"/>
      <c r="I17" s="213"/>
      <c r="J17" s="197">
        <f>SUMIF(Credit!$A$12:$A$371,'Графики (2)'!D17,Credit!$D$12:$D$371)</f>
        <v>5250000</v>
      </c>
      <c r="K17">
        <f>SUMIF(Credit!$A$12:$A$371,'Графики (2)'!D17,Credit!$C$12:$C$371)</f>
        <v>37500000</v>
      </c>
      <c r="M17">
        <f>8*11</f>
        <v>88</v>
      </c>
    </row>
    <row r="18" spans="2:13" x14ac:dyDescent="0.35">
      <c r="B18">
        <f t="shared" si="3"/>
        <v>12</v>
      </c>
      <c r="C18" s="235">
        <f t="shared" si="1"/>
        <v>6</v>
      </c>
      <c r="D18" s="238">
        <f t="shared" si="4"/>
        <v>46539</v>
      </c>
      <c r="E18" s="197"/>
      <c r="F18" s="197">
        <f>$F$3*12%</f>
        <v>23658328.919999998</v>
      </c>
      <c r="G18" s="197"/>
      <c r="H18" s="197">
        <f>$H$3*10%</f>
        <v>339721501.74741518</v>
      </c>
      <c r="I18" s="197">
        <f>$I$3*2.5%</f>
        <v>17192786.472413756</v>
      </c>
      <c r="J18" s="197">
        <f>SUMIF(Credit!$A$12:$A$371,'Графики (2)'!D18,Credit!$D$12:$D$371)</f>
        <v>4593750</v>
      </c>
      <c r="K18">
        <f>SUMIF(Credit!$A$12:$A$371,'Графики (2)'!D18,Credit!$C$12:$C$371)</f>
        <v>37500000</v>
      </c>
    </row>
    <row r="19" spans="2:13" x14ac:dyDescent="0.35">
      <c r="B19">
        <f t="shared" si="3"/>
        <v>13</v>
      </c>
      <c r="C19" s="235">
        <f t="shared" si="1"/>
        <v>7</v>
      </c>
      <c r="D19" s="238">
        <f t="shared" si="4"/>
        <v>46569</v>
      </c>
      <c r="E19" s="197"/>
      <c r="F19" s="197"/>
      <c r="G19" s="197"/>
      <c r="H19" s="197" t="s">
        <v>164</v>
      </c>
      <c r="I19" s="197"/>
      <c r="J19" s="197">
        <f>SUMIF(Credit!$A$12:$A$371,'Графики (2)'!D19,Credit!$D$12:$D$371)</f>
        <v>3937500</v>
      </c>
      <c r="K19">
        <f>SUMIF(Credit!$A$12:$A$371,'Графики (2)'!D19,Credit!$C$12:$C$371)</f>
        <v>37500000</v>
      </c>
    </row>
    <row r="20" spans="2:13" x14ac:dyDescent="0.35">
      <c r="B20">
        <f t="shared" si="3"/>
        <v>14</v>
      </c>
      <c r="C20" s="235">
        <f t="shared" si="1"/>
        <v>8</v>
      </c>
      <c r="D20" s="238">
        <f t="shared" si="4"/>
        <v>46600</v>
      </c>
      <c r="E20" s="197"/>
      <c r="F20" s="197"/>
      <c r="G20" s="197"/>
      <c r="H20" s="197"/>
      <c r="I20" s="197"/>
      <c r="J20" s="197">
        <f>SUMIF(Credit!$A$12:$A$371,'Графики (2)'!D20,Credit!$D$12:$D$371)</f>
        <v>3281250</v>
      </c>
      <c r="K20">
        <f>SUMIF(Credit!$A$12:$A$371,'Графики (2)'!D20,Credit!$C$12:$C$371)</f>
        <v>37500000</v>
      </c>
    </row>
    <row r="21" spans="2:13" x14ac:dyDescent="0.35">
      <c r="B21">
        <f t="shared" si="3"/>
        <v>15</v>
      </c>
      <c r="C21" s="235">
        <f t="shared" si="1"/>
        <v>9</v>
      </c>
      <c r="D21" s="238">
        <f t="shared" si="4"/>
        <v>46631</v>
      </c>
      <c r="E21" s="197"/>
      <c r="F21" s="197"/>
      <c r="G21" s="197"/>
      <c r="H21" s="197"/>
      <c r="I21" s="197">
        <f>$I$3*2.5%</f>
        <v>17192786.472413756</v>
      </c>
      <c r="J21" s="197">
        <f>SUMIF(Credit!$A$12:$A$371,'Графики (2)'!D21,Credit!$D$12:$D$371)</f>
        <v>2625000</v>
      </c>
      <c r="K21">
        <f>SUMIF(Credit!$A$12:$A$371,'Графики (2)'!D21,Credit!$C$12:$C$371)</f>
        <v>37500000</v>
      </c>
    </row>
    <row r="22" spans="2:13" x14ac:dyDescent="0.35">
      <c r="B22">
        <f t="shared" si="3"/>
        <v>16</v>
      </c>
      <c r="C22" s="235">
        <f t="shared" si="1"/>
        <v>10</v>
      </c>
      <c r="D22" s="238">
        <f t="shared" si="4"/>
        <v>46661</v>
      </c>
      <c r="E22" s="197"/>
      <c r="F22" s="197"/>
      <c r="G22" s="197"/>
      <c r="H22" s="197"/>
      <c r="I22" s="197"/>
      <c r="J22" s="197">
        <f>SUMIF(Credit!$A$12:$A$371,'Графики (2)'!D22,Credit!$D$12:$D$371)</f>
        <v>1968750</v>
      </c>
      <c r="K22">
        <f>SUMIF(Credit!$A$12:$A$371,'Графики (2)'!D22,Credit!$C$12:$C$371)</f>
        <v>37500000</v>
      </c>
    </row>
    <row r="23" spans="2:13" x14ac:dyDescent="0.35">
      <c r="B23">
        <f t="shared" si="3"/>
        <v>17</v>
      </c>
      <c r="C23" s="235">
        <f t="shared" si="1"/>
        <v>11</v>
      </c>
      <c r="D23" s="238">
        <f t="shared" si="4"/>
        <v>46692</v>
      </c>
      <c r="E23" s="197"/>
      <c r="F23" s="197"/>
      <c r="G23" s="197"/>
      <c r="H23" s="197"/>
      <c r="I23" s="197"/>
      <c r="J23" s="197">
        <f>SUMIF(Credit!$A$12:$A$371,'Графики (2)'!D23,Credit!$D$12:$D$371)</f>
        <v>1312500</v>
      </c>
      <c r="K23">
        <f>SUMIF(Credit!$A$12:$A$371,'Графики (2)'!D23,Credit!$C$12:$C$371)</f>
        <v>37500000</v>
      </c>
    </row>
    <row r="24" spans="2:13" x14ac:dyDescent="0.35">
      <c r="B24">
        <f t="shared" si="3"/>
        <v>18</v>
      </c>
      <c r="C24" s="235">
        <f t="shared" si="1"/>
        <v>12</v>
      </c>
      <c r="D24" s="238">
        <f t="shared" si="4"/>
        <v>46722</v>
      </c>
      <c r="E24" s="197"/>
      <c r="F24" s="197"/>
      <c r="G24" s="197"/>
      <c r="H24" s="197"/>
      <c r="I24" s="197">
        <f>$I$3*2.5%</f>
        <v>17192786.472413756</v>
      </c>
      <c r="J24" s="197">
        <f>SUMIF(Credit!$A$12:$A$371,'Графики (2)'!D24,Credit!$D$12:$D$371)</f>
        <v>656250</v>
      </c>
      <c r="K24">
        <f>SUMIF(Credit!$A$12:$A$371,'Графики (2)'!D24,Credit!$C$12:$C$371)</f>
        <v>37500000</v>
      </c>
    </row>
    <row r="25" spans="2:13" x14ac:dyDescent="0.35">
      <c r="B25">
        <f t="shared" si="3"/>
        <v>19</v>
      </c>
      <c r="C25" s="235">
        <f t="shared" si="1"/>
        <v>1</v>
      </c>
      <c r="D25" s="238">
        <f t="shared" si="4"/>
        <v>46753</v>
      </c>
      <c r="E25" s="197"/>
      <c r="F25" s="197"/>
      <c r="G25" s="197"/>
      <c r="H25" s="197"/>
      <c r="I25" s="197"/>
      <c r="J25" s="197">
        <f>SUMIF(Credit!$A$12:$A$371,'Графики (2)'!D25,Credit!$D$12:$D$371)</f>
        <v>0</v>
      </c>
      <c r="K25">
        <f>SUMIF(Credit!$A$12:$A$371,'Графики (2)'!D25,Credit!$C$12:$C$371)</f>
        <v>0</v>
      </c>
    </row>
    <row r="26" spans="2:13" x14ac:dyDescent="0.35">
      <c r="B26">
        <f t="shared" si="3"/>
        <v>20</v>
      </c>
      <c r="C26" s="235">
        <f t="shared" si="1"/>
        <v>2</v>
      </c>
      <c r="D26" s="238">
        <f t="shared" si="4"/>
        <v>46784</v>
      </c>
      <c r="E26" s="197"/>
      <c r="F26" s="197"/>
      <c r="G26" s="197"/>
      <c r="H26" s="197"/>
      <c r="I26" s="197"/>
      <c r="J26" s="197">
        <f>SUMIF(Credit!$A$12:$A$371,'Графики (2)'!D26,Credit!$D$12:$D$371)</f>
        <v>0</v>
      </c>
      <c r="K26">
        <f>SUMIF(Credit!$A$12:$A$371,'Графики (2)'!D26,Credit!$C$12:$C$371)</f>
        <v>0</v>
      </c>
    </row>
    <row r="27" spans="2:13" x14ac:dyDescent="0.35">
      <c r="B27">
        <f t="shared" si="3"/>
        <v>21</v>
      </c>
      <c r="C27" s="235">
        <f t="shared" si="1"/>
        <v>3</v>
      </c>
      <c r="D27" s="238">
        <f t="shared" si="4"/>
        <v>46813</v>
      </c>
      <c r="E27" s="197"/>
      <c r="F27" s="197"/>
      <c r="G27" s="197"/>
      <c r="H27" s="197"/>
      <c r="I27" s="197">
        <f>$I$3*2.5%</f>
        <v>17192786.472413756</v>
      </c>
      <c r="J27" s="197">
        <f>SUMIF(Credit!$A$12:$A$371,'Графики (2)'!D27,Credit!$D$12:$D$371)</f>
        <v>0</v>
      </c>
      <c r="K27">
        <f>SUMIF(Credit!$A$12:$A$371,'Графики (2)'!D27,Credit!$C$12:$C$371)</f>
        <v>0</v>
      </c>
    </row>
    <row r="28" spans="2:13" x14ac:dyDescent="0.35">
      <c r="B28">
        <f t="shared" si="3"/>
        <v>22</v>
      </c>
      <c r="C28" s="235">
        <f t="shared" si="1"/>
        <v>4</v>
      </c>
      <c r="D28" s="238">
        <f t="shared" si="4"/>
        <v>46844</v>
      </c>
      <c r="E28" s="197"/>
      <c r="F28" s="197"/>
      <c r="G28" s="197"/>
      <c r="H28" s="197"/>
      <c r="I28" s="197"/>
      <c r="J28" s="197">
        <f>SUMIF(Credit!$A$12:$A$371,'Графики (2)'!D28,Credit!$D$12:$D$371)</f>
        <v>0</v>
      </c>
      <c r="K28">
        <f>SUMIF(Credit!$A$12:$A$371,'Графики (2)'!D28,Credit!$C$12:$C$371)</f>
        <v>0</v>
      </c>
    </row>
    <row r="29" spans="2:13" x14ac:dyDescent="0.35">
      <c r="B29">
        <f t="shared" si="3"/>
        <v>23</v>
      </c>
      <c r="C29" s="235">
        <f t="shared" si="1"/>
        <v>5</v>
      </c>
      <c r="D29" s="238">
        <f t="shared" si="4"/>
        <v>46874</v>
      </c>
      <c r="E29" s="197"/>
      <c r="F29" s="197"/>
      <c r="G29" s="197"/>
      <c r="H29" s="197"/>
      <c r="I29" s="197"/>
      <c r="J29" s="197">
        <f>SUMIF(Credit!$A$12:$A$371,'Графики (2)'!D29,Credit!$D$12:$D$371)</f>
        <v>0</v>
      </c>
      <c r="K29">
        <f>SUMIF(Credit!$A$12:$A$371,'Графики (2)'!D29,Credit!$C$12:$C$371)</f>
        <v>0</v>
      </c>
    </row>
    <row r="30" spans="2:13" x14ac:dyDescent="0.35">
      <c r="B30">
        <f t="shared" si="3"/>
        <v>24</v>
      </c>
      <c r="C30" s="235">
        <f t="shared" si="1"/>
        <v>6</v>
      </c>
      <c r="D30" s="238">
        <f t="shared" si="4"/>
        <v>46905</v>
      </c>
      <c r="E30" s="197"/>
      <c r="F30" s="197"/>
      <c r="G30" s="197">
        <f t="shared" ref="G30:G53" si="5">$G$3/24</f>
        <v>0</v>
      </c>
      <c r="H30" s="197">
        <f>$H$3*10%</f>
        <v>339721501.74741518</v>
      </c>
      <c r="I30" s="197">
        <f>$I$3*2.5%</f>
        <v>17192786.472413756</v>
      </c>
      <c r="J30" s="197">
        <f>SUMIF(Credit!$A$12:$A$371,'Графики (2)'!D30,Credit!$D$12:$D$371)</f>
        <v>0</v>
      </c>
      <c r="K30">
        <f>SUMIF(Credit!$A$12:$A$371,'Графики (2)'!D30,Credit!$C$12:$C$371)</f>
        <v>0</v>
      </c>
    </row>
    <row r="31" spans="2:13" x14ac:dyDescent="0.35">
      <c r="B31">
        <f t="shared" si="3"/>
        <v>25</v>
      </c>
      <c r="C31" s="235">
        <f t="shared" si="1"/>
        <v>7</v>
      </c>
      <c r="D31" s="238">
        <f t="shared" si="4"/>
        <v>46935</v>
      </c>
      <c r="E31" s="197"/>
      <c r="F31" s="197"/>
      <c r="G31" s="197">
        <f t="shared" si="5"/>
        <v>0</v>
      </c>
      <c r="H31" s="197"/>
      <c r="I31" s="197"/>
      <c r="J31" s="197">
        <f>SUMIF(Credit!$A$12:$A$371,'Графики (2)'!D31,Credit!$D$12:$D$371)</f>
        <v>0</v>
      </c>
      <c r="K31">
        <f>SUMIF(Credit!$A$12:$A$371,'Графики (2)'!D31,Credit!$C$12:$C$371)</f>
        <v>0</v>
      </c>
    </row>
    <row r="32" spans="2:13" x14ac:dyDescent="0.35">
      <c r="B32">
        <f t="shared" si="3"/>
        <v>26</v>
      </c>
      <c r="C32" s="235">
        <f t="shared" si="1"/>
        <v>8</v>
      </c>
      <c r="D32" s="238">
        <f t="shared" si="4"/>
        <v>46966</v>
      </c>
      <c r="E32" s="197"/>
      <c r="F32" s="197"/>
      <c r="G32" s="197">
        <f t="shared" si="5"/>
        <v>0</v>
      </c>
      <c r="H32" s="197"/>
      <c r="I32" s="197"/>
      <c r="J32" s="197">
        <f>SUMIF(Credit!$A$12:$A$371,'Графики (2)'!D32,Credit!$D$12:$D$371)</f>
        <v>0</v>
      </c>
      <c r="K32">
        <f>SUMIF(Credit!$A$12:$A$371,'Графики (2)'!D32,Credit!$C$12:$C$371)</f>
        <v>0</v>
      </c>
    </row>
    <row r="33" spans="2:15" x14ac:dyDescent="0.35">
      <c r="B33">
        <f t="shared" si="3"/>
        <v>27</v>
      </c>
      <c r="C33" s="235">
        <f t="shared" si="1"/>
        <v>9</v>
      </c>
      <c r="D33" s="238">
        <f t="shared" si="4"/>
        <v>46997</v>
      </c>
      <c r="F33" s="197"/>
      <c r="G33" s="197">
        <f t="shared" si="5"/>
        <v>0</v>
      </c>
      <c r="H33" s="197"/>
      <c r="I33" s="197">
        <f>$I$3*2.5%</f>
        <v>17192786.472413756</v>
      </c>
      <c r="J33" s="197">
        <f>SUMIF(Credit!$A$12:$A$371,'Графики (2)'!D33,Credit!$D$12:$D$371)</f>
        <v>0</v>
      </c>
      <c r="K33">
        <f>SUMIF(Credit!$A$12:$A$371,'Графики (2)'!D33,Credit!$C$12:$C$371)</f>
        <v>0</v>
      </c>
    </row>
    <row r="34" spans="2:15" x14ac:dyDescent="0.35">
      <c r="B34">
        <f t="shared" si="3"/>
        <v>28</v>
      </c>
      <c r="C34" s="235">
        <f t="shared" si="1"/>
        <v>10</v>
      </c>
      <c r="D34" s="238">
        <f t="shared" si="4"/>
        <v>47027</v>
      </c>
      <c r="F34" s="197"/>
      <c r="G34" s="197">
        <f t="shared" si="5"/>
        <v>0</v>
      </c>
      <c r="I34" s="197"/>
      <c r="J34" s="197">
        <f>SUMIF(Credit!$A$12:$A$371,'Графики (2)'!D34,Credit!$D$12:$D$371)</f>
        <v>0</v>
      </c>
      <c r="K34">
        <f>SUMIF(Credit!$A$12:$A$371,'Графики (2)'!D34,Credit!$C$12:$C$371)</f>
        <v>0</v>
      </c>
    </row>
    <row r="35" spans="2:15" x14ac:dyDescent="0.35">
      <c r="B35">
        <f t="shared" si="3"/>
        <v>29</v>
      </c>
      <c r="C35" s="235">
        <f t="shared" si="1"/>
        <v>11</v>
      </c>
      <c r="D35" s="238">
        <f t="shared" si="4"/>
        <v>47058</v>
      </c>
      <c r="F35" s="197"/>
      <c r="G35" s="197">
        <f t="shared" si="5"/>
        <v>0</v>
      </c>
      <c r="H35" s="197"/>
      <c r="I35" s="197"/>
      <c r="J35" s="197">
        <f>SUMIF(Credit!$A$12:$A$371,'Графики (2)'!D35,Credit!$D$12:$D$371)</f>
        <v>0</v>
      </c>
      <c r="K35">
        <f>SUMIF(Credit!$A$12:$A$371,'Графики (2)'!D35,Credit!$C$12:$C$371)</f>
        <v>0</v>
      </c>
    </row>
    <row r="36" spans="2:15" x14ac:dyDescent="0.35">
      <c r="B36">
        <f t="shared" si="3"/>
        <v>30</v>
      </c>
      <c r="C36" s="235">
        <f t="shared" si="1"/>
        <v>12</v>
      </c>
      <c r="D36" s="238">
        <f t="shared" si="4"/>
        <v>47088</v>
      </c>
      <c r="F36" s="197"/>
      <c r="G36" s="197">
        <f t="shared" si="5"/>
        <v>0</v>
      </c>
      <c r="H36" s="197"/>
      <c r="I36" s="197">
        <f>$I$3*2.5%</f>
        <v>17192786.472413756</v>
      </c>
      <c r="J36" s="197">
        <f>SUMIF(Credit!$A$12:$A$371,'Графики (2)'!D36,Credit!$D$12:$D$371)</f>
        <v>0</v>
      </c>
      <c r="K36">
        <f>SUMIF(Credit!$A$12:$A$371,'Графики (2)'!D36,Credit!$C$12:$C$371)</f>
        <v>0</v>
      </c>
      <c r="M36">
        <f>100/6</f>
        <v>16.666666666666668</v>
      </c>
    </row>
    <row r="37" spans="2:15" x14ac:dyDescent="0.35">
      <c r="B37">
        <f t="shared" si="3"/>
        <v>31</v>
      </c>
      <c r="C37" s="235">
        <f t="shared" si="1"/>
        <v>1</v>
      </c>
      <c r="D37" s="238">
        <f t="shared" si="4"/>
        <v>47119</v>
      </c>
      <c r="E37" s="197"/>
      <c r="F37" s="197"/>
      <c r="G37" s="197">
        <f t="shared" si="5"/>
        <v>0</v>
      </c>
      <c r="H37" s="197"/>
      <c r="I37" s="197"/>
      <c r="J37" s="197">
        <f>SUMIF(Credit!$A$12:$A$371,'Графики (2)'!D37,Credit!$D$12:$D$371)</f>
        <v>0</v>
      </c>
      <c r="K37">
        <f>SUMIF(Credit!$A$12:$A$371,'Графики (2)'!D37,Credit!$C$12:$C$371)</f>
        <v>0</v>
      </c>
      <c r="M37">
        <v>16.666666666666668</v>
      </c>
    </row>
    <row r="38" spans="2:15" x14ac:dyDescent="0.35">
      <c r="B38">
        <f t="shared" si="3"/>
        <v>32</v>
      </c>
      <c r="C38" s="235">
        <f t="shared" si="1"/>
        <v>2</v>
      </c>
      <c r="D38" s="238">
        <f t="shared" si="4"/>
        <v>47150</v>
      </c>
      <c r="E38" s="197"/>
      <c r="F38" s="197"/>
      <c r="G38" s="197">
        <f t="shared" si="5"/>
        <v>0</v>
      </c>
      <c r="H38" s="197"/>
      <c r="I38" s="197"/>
      <c r="J38" s="197">
        <f>SUMIF(Credit!$A$12:$A$371,'Графики (2)'!D38,Credit!$D$12:$D$371)</f>
        <v>0</v>
      </c>
      <c r="K38">
        <f>SUMIF(Credit!$A$12:$A$371,'Графики (2)'!D38,Credit!$C$12:$C$371)</f>
        <v>0</v>
      </c>
    </row>
    <row r="39" spans="2:15" x14ac:dyDescent="0.35">
      <c r="B39">
        <f t="shared" si="3"/>
        <v>33</v>
      </c>
      <c r="C39" s="235">
        <f t="shared" si="1"/>
        <v>3</v>
      </c>
      <c r="D39" s="238">
        <f t="shared" si="4"/>
        <v>47178</v>
      </c>
      <c r="E39" s="197"/>
      <c r="F39" s="197"/>
      <c r="G39" s="197">
        <f t="shared" si="5"/>
        <v>0</v>
      </c>
      <c r="H39" s="197"/>
      <c r="I39" s="197">
        <f>$I$3*2.5%</f>
        <v>17192786.472413756</v>
      </c>
      <c r="J39" s="197">
        <f>SUMIF(Credit!$A$12:$A$371,'Графики (2)'!D39,Credit!$D$12:$D$371)</f>
        <v>0</v>
      </c>
      <c r="K39">
        <f>SUMIF(Credit!$A$12:$A$371,'Графики (2)'!D39,Credit!$C$12:$C$371)</f>
        <v>0</v>
      </c>
    </row>
    <row r="40" spans="2:15" x14ac:dyDescent="0.35">
      <c r="B40">
        <f t="shared" si="3"/>
        <v>34</v>
      </c>
      <c r="C40" s="235">
        <f t="shared" si="1"/>
        <v>4</v>
      </c>
      <c r="D40" s="238">
        <f t="shared" si="4"/>
        <v>47209</v>
      </c>
      <c r="E40" s="197"/>
      <c r="F40" s="197"/>
      <c r="G40" s="197">
        <f t="shared" si="5"/>
        <v>0</v>
      </c>
      <c r="H40" s="197"/>
      <c r="I40" s="197"/>
      <c r="J40" s="197">
        <f>SUMIF(Credit!$A$12:$A$371,'Графики (2)'!D40,Credit!$D$12:$D$371)</f>
        <v>0</v>
      </c>
      <c r="K40">
        <f>SUMIF(Credit!$A$12:$A$371,'Графики (2)'!D40,Credit!$C$12:$C$371)</f>
        <v>0</v>
      </c>
      <c r="M40">
        <f>16*5</f>
        <v>80</v>
      </c>
    </row>
    <row r="41" spans="2:15" x14ac:dyDescent="0.35">
      <c r="B41">
        <f t="shared" si="3"/>
        <v>35</v>
      </c>
      <c r="C41" s="235">
        <f t="shared" si="1"/>
        <v>5</v>
      </c>
      <c r="D41" s="238">
        <f t="shared" si="4"/>
        <v>47239</v>
      </c>
      <c r="E41" s="197"/>
      <c r="F41" s="197"/>
      <c r="G41" s="197">
        <f t="shared" si="5"/>
        <v>0</v>
      </c>
      <c r="H41" s="197"/>
      <c r="I41" s="197"/>
      <c r="J41" s="197">
        <f>SUMIF(Credit!$A$12:$A$371,'Графики (2)'!D41,Credit!$D$12:$D$371)</f>
        <v>0</v>
      </c>
      <c r="K41">
        <f>SUMIF(Credit!$A$12:$A$371,'Графики (2)'!D41,Credit!$C$12:$C$371)</f>
        <v>0</v>
      </c>
    </row>
    <row r="42" spans="2:15" x14ac:dyDescent="0.35">
      <c r="B42">
        <f t="shared" si="3"/>
        <v>36</v>
      </c>
      <c r="C42" s="235">
        <f t="shared" si="1"/>
        <v>6</v>
      </c>
      <c r="D42" s="238">
        <f t="shared" si="4"/>
        <v>47270</v>
      </c>
      <c r="E42" s="197"/>
      <c r="F42" s="197"/>
      <c r="G42" s="197">
        <f t="shared" si="5"/>
        <v>0</v>
      </c>
      <c r="H42" s="197">
        <f>$H$3*10%</f>
        <v>339721501.74741518</v>
      </c>
      <c r="I42" s="197">
        <f>$I$3*2.5%</f>
        <v>17192786.472413756</v>
      </c>
      <c r="J42" s="197">
        <f>SUMIF(Credit!$A$12:$A$371,'Графики (2)'!D42,Credit!$D$12:$D$371)</f>
        <v>0</v>
      </c>
      <c r="K42">
        <f>SUMIF(Credit!$A$12:$A$371,'Графики (2)'!D42,Credit!$C$12:$C$371)</f>
        <v>0</v>
      </c>
    </row>
    <row r="43" spans="2:15" x14ac:dyDescent="0.35">
      <c r="B43">
        <f t="shared" si="3"/>
        <v>37</v>
      </c>
      <c r="C43" s="235">
        <f t="shared" si="1"/>
        <v>7</v>
      </c>
      <c r="D43" s="238">
        <f t="shared" si="4"/>
        <v>47300</v>
      </c>
      <c r="F43" s="197"/>
      <c r="G43" s="197">
        <f t="shared" si="5"/>
        <v>0</v>
      </c>
      <c r="H43" s="197"/>
      <c r="I43" s="197"/>
      <c r="J43" s="197">
        <f>SUMIF(Credit!$A$12:$A$371,'Графики (2)'!D43,Credit!$D$12:$D$371)</f>
        <v>0</v>
      </c>
      <c r="K43">
        <f>SUMIF(Credit!$A$12:$A$371,'Графики (2)'!D43,Credit!$C$12:$C$371)</f>
        <v>0</v>
      </c>
      <c r="M43">
        <v>194756998.65517223</v>
      </c>
      <c r="O43" s="218">
        <v>182667010.33950806</v>
      </c>
    </row>
    <row r="44" spans="2:15" x14ac:dyDescent="0.35">
      <c r="B44">
        <f t="shared" si="3"/>
        <v>38</v>
      </c>
      <c r="C44" s="235">
        <f t="shared" si="1"/>
        <v>8</v>
      </c>
      <c r="D44" s="238">
        <f t="shared" si="4"/>
        <v>47331</v>
      </c>
      <c r="F44" s="197"/>
      <c r="G44" s="197">
        <f t="shared" si="5"/>
        <v>0</v>
      </c>
      <c r="H44" s="197"/>
      <c r="I44" s="197"/>
      <c r="J44" s="197">
        <f>SUMIF(Credit!$A$12:$A$371,'Графики (2)'!D44,Credit!$D$12:$D$371)</f>
        <v>0</v>
      </c>
      <c r="K44">
        <f>SUMIF(Credit!$A$12:$A$371,'Графики (2)'!D44,Credit!$C$12:$C$371)</f>
        <v>0</v>
      </c>
    </row>
    <row r="45" spans="2:15" x14ac:dyDescent="0.35">
      <c r="B45">
        <f t="shared" si="3"/>
        <v>39</v>
      </c>
      <c r="C45" s="235">
        <f t="shared" si="1"/>
        <v>9</v>
      </c>
      <c r="D45" s="238">
        <f t="shared" si="4"/>
        <v>47362</v>
      </c>
      <c r="F45" s="197"/>
      <c r="G45" s="197">
        <f t="shared" si="5"/>
        <v>0</v>
      </c>
      <c r="H45" s="197"/>
      <c r="I45" s="197">
        <f>$I$3*2.5%</f>
        <v>17192786.472413756</v>
      </c>
      <c r="J45" s="197">
        <f>SUMIF(Credit!$A$12:$A$371,'Графики (2)'!D45,Credit!$D$12:$D$371)</f>
        <v>0</v>
      </c>
      <c r="K45">
        <f>SUMIF(Credit!$A$12:$A$371,'Графики (2)'!D45,Credit!$C$12:$C$371)</f>
        <v>0</v>
      </c>
      <c r="O45" s="218">
        <f>O43/2</f>
        <v>91333505.169754028</v>
      </c>
    </row>
    <row r="46" spans="2:15" x14ac:dyDescent="0.35">
      <c r="B46">
        <f t="shared" si="3"/>
        <v>40</v>
      </c>
      <c r="C46" s="235">
        <f t="shared" si="1"/>
        <v>10</v>
      </c>
      <c r="D46" s="238">
        <f t="shared" si="4"/>
        <v>47392</v>
      </c>
      <c r="F46" s="197"/>
      <c r="G46" s="197">
        <f t="shared" si="5"/>
        <v>0</v>
      </c>
      <c r="H46" s="212"/>
      <c r="J46" s="197">
        <f>SUMIF(Credit!$A$12:$A$371,'Графики (2)'!D46,Credit!$D$12:$D$371)</f>
        <v>0</v>
      </c>
      <c r="K46">
        <f>SUMIF(Credit!$A$12:$A$371,'Графики (2)'!D46,Credit!$C$12:$C$371)</f>
        <v>0</v>
      </c>
    </row>
    <row r="47" spans="2:15" x14ac:dyDescent="0.35">
      <c r="B47">
        <f t="shared" si="3"/>
        <v>41</v>
      </c>
      <c r="C47" s="235">
        <f t="shared" si="1"/>
        <v>11</v>
      </c>
      <c r="D47" s="238">
        <f t="shared" si="4"/>
        <v>47423</v>
      </c>
      <c r="F47" s="197"/>
      <c r="G47" s="197">
        <f t="shared" si="5"/>
        <v>0</v>
      </c>
      <c r="H47" s="197"/>
      <c r="I47" s="197"/>
      <c r="J47" s="197">
        <f>SUMIF(Credit!$A$12:$A$371,'Графики (2)'!D47,Credit!$D$12:$D$371)</f>
        <v>0</v>
      </c>
      <c r="K47">
        <f>SUMIF(Credit!$A$12:$A$371,'Графики (2)'!D47,Credit!$C$12:$C$371)</f>
        <v>0</v>
      </c>
    </row>
    <row r="48" spans="2:15" x14ac:dyDescent="0.35">
      <c r="B48">
        <f t="shared" si="3"/>
        <v>42</v>
      </c>
      <c r="C48" s="235">
        <f t="shared" si="1"/>
        <v>12</v>
      </c>
      <c r="D48" s="238">
        <f t="shared" si="4"/>
        <v>47453</v>
      </c>
      <c r="F48" s="197"/>
      <c r="G48" s="197">
        <f t="shared" si="5"/>
        <v>0</v>
      </c>
      <c r="H48" s="197"/>
      <c r="I48" s="197">
        <f>$I$3*2.5%</f>
        <v>17192786.472413756</v>
      </c>
      <c r="J48" s="197">
        <f>SUMIF(Credit!$A$12:$A$371,'Графики (2)'!D48,Credit!$D$12:$D$371)</f>
        <v>0</v>
      </c>
      <c r="K48">
        <f>SUMIF(Credit!$A$12:$A$371,'Графики (2)'!D48,Credit!$C$12:$C$371)</f>
        <v>0</v>
      </c>
      <c r="M48" s="218">
        <f>I48*3</f>
        <v>51578359.417241268</v>
      </c>
    </row>
    <row r="49" spans="2:11" x14ac:dyDescent="0.35">
      <c r="B49">
        <f t="shared" si="3"/>
        <v>43</v>
      </c>
      <c r="C49" s="235">
        <f t="shared" si="1"/>
        <v>1</v>
      </c>
      <c r="D49" s="238">
        <f t="shared" si="4"/>
        <v>47484</v>
      </c>
      <c r="F49" s="197"/>
      <c r="G49" s="197">
        <f t="shared" si="5"/>
        <v>0</v>
      </c>
      <c r="H49" s="197"/>
      <c r="I49" s="197"/>
      <c r="J49" s="197">
        <f>SUMIF(Credit!$A$12:$A$371,'Графики (2)'!D49,Credit!$D$12:$D$371)</f>
        <v>0</v>
      </c>
      <c r="K49">
        <f>SUMIF(Credit!$A$12:$A$371,'Графики (2)'!D49,Credit!$C$12:$C$371)</f>
        <v>0</v>
      </c>
    </row>
    <row r="50" spans="2:11" x14ac:dyDescent="0.35">
      <c r="B50">
        <f t="shared" si="3"/>
        <v>44</v>
      </c>
      <c r="C50" s="235">
        <f t="shared" si="1"/>
        <v>2</v>
      </c>
      <c r="D50" s="238">
        <f t="shared" si="4"/>
        <v>47515</v>
      </c>
      <c r="F50" s="197"/>
      <c r="G50" s="197">
        <f t="shared" si="5"/>
        <v>0</v>
      </c>
      <c r="H50" s="197"/>
      <c r="I50" s="197"/>
      <c r="J50" s="197">
        <f>SUMIF(Credit!$A$12:$A$371,'Графики (2)'!D50,Credit!$D$12:$D$371)</f>
        <v>0</v>
      </c>
      <c r="K50">
        <f>SUMIF(Credit!$A$12:$A$371,'Графики (2)'!D50,Credit!$C$12:$C$371)</f>
        <v>0</v>
      </c>
    </row>
    <row r="51" spans="2:11" x14ac:dyDescent="0.35">
      <c r="B51">
        <f t="shared" si="3"/>
        <v>45</v>
      </c>
      <c r="C51" s="235">
        <f t="shared" si="1"/>
        <v>3</v>
      </c>
      <c r="D51" s="238">
        <f t="shared" si="4"/>
        <v>47543</v>
      </c>
      <c r="E51" s="197"/>
      <c r="F51" s="197"/>
      <c r="G51" s="197">
        <f t="shared" si="5"/>
        <v>0</v>
      </c>
      <c r="H51" s="197"/>
      <c r="I51" s="197">
        <f>$I$3*2.5%</f>
        <v>17192786.472413756</v>
      </c>
      <c r="J51" s="197">
        <f>SUMIF(Credit!$A$12:$A$371,'Графики (2)'!D51,Credit!$D$12:$D$371)</f>
        <v>0</v>
      </c>
      <c r="K51">
        <f>SUMIF(Credit!$A$12:$A$371,'Графики (2)'!D51,Credit!$C$12:$C$371)</f>
        <v>0</v>
      </c>
    </row>
    <row r="52" spans="2:11" x14ac:dyDescent="0.35">
      <c r="B52">
        <f t="shared" si="3"/>
        <v>46</v>
      </c>
      <c r="C52" s="235">
        <f t="shared" si="1"/>
        <v>4</v>
      </c>
      <c r="D52" s="238">
        <f t="shared" si="4"/>
        <v>47574</v>
      </c>
      <c r="E52" s="197"/>
      <c r="F52" s="197"/>
      <c r="G52" s="197">
        <f t="shared" si="5"/>
        <v>0</v>
      </c>
      <c r="H52" s="197"/>
      <c r="I52" s="197"/>
      <c r="J52" s="197">
        <f>SUMIF(Credit!$A$12:$A$371,'Графики (2)'!D52,Credit!$D$12:$D$371)</f>
        <v>0</v>
      </c>
      <c r="K52">
        <f>SUMIF(Credit!$A$12:$A$371,'Графики (2)'!D52,Credit!$C$12:$C$371)</f>
        <v>0</v>
      </c>
    </row>
    <row r="53" spans="2:11" x14ac:dyDescent="0.35">
      <c r="B53">
        <f t="shared" si="3"/>
        <v>47</v>
      </c>
      <c r="C53" s="235">
        <f t="shared" si="1"/>
        <v>5</v>
      </c>
      <c r="D53" s="238">
        <f t="shared" si="4"/>
        <v>47604</v>
      </c>
      <c r="E53" s="197"/>
      <c r="F53" s="197"/>
      <c r="G53" s="197">
        <f t="shared" si="5"/>
        <v>0</v>
      </c>
      <c r="H53" s="197"/>
      <c r="I53" s="197"/>
      <c r="J53" s="197">
        <f>SUMIF(Credit!$A$12:$A$371,'Графики (2)'!D53,Credit!$D$12:$D$371)</f>
        <v>0</v>
      </c>
      <c r="K53">
        <f>SUMIF(Credit!$A$12:$A$371,'Графики (2)'!D53,Credit!$C$12:$C$371)</f>
        <v>0</v>
      </c>
    </row>
    <row r="54" spans="2:11" x14ac:dyDescent="0.35">
      <c r="B54">
        <f t="shared" si="3"/>
        <v>48</v>
      </c>
      <c r="C54" s="235">
        <f t="shared" si="1"/>
        <v>6</v>
      </c>
      <c r="D54" s="238">
        <f t="shared" si="4"/>
        <v>47635</v>
      </c>
      <c r="E54" s="197"/>
      <c r="F54" s="197"/>
      <c r="G54" s="197"/>
      <c r="H54" s="197">
        <f>$H$3*10%</f>
        <v>339721501.74741518</v>
      </c>
      <c r="I54" s="197">
        <f>$I$3*2.5%</f>
        <v>17192786.472413756</v>
      </c>
      <c r="J54" s="197">
        <f>SUMIF(Credit!$A$12:$A$371,'Графики (2)'!D54,Credit!$D$12:$D$371)</f>
        <v>0</v>
      </c>
      <c r="K54">
        <f>SUMIF(Credit!$A$12:$A$371,'Графики (2)'!D54,Credit!$C$12:$C$371)</f>
        <v>0</v>
      </c>
    </row>
    <row r="55" spans="2:11" x14ac:dyDescent="0.35">
      <c r="B55">
        <f t="shared" si="3"/>
        <v>49</v>
      </c>
      <c r="C55" s="235">
        <f t="shared" si="1"/>
        <v>7</v>
      </c>
      <c r="D55" s="238">
        <f t="shared" si="4"/>
        <v>47665</v>
      </c>
      <c r="F55" s="197"/>
      <c r="G55" s="197"/>
      <c r="H55" s="197"/>
      <c r="I55" s="197"/>
      <c r="J55" s="197">
        <f>SUMIF(Credit!$A$12:$A$371,'Графики (2)'!D55,Credit!$D$12:$D$371)</f>
        <v>0</v>
      </c>
      <c r="K55">
        <f>SUMIF(Credit!$A$12:$A$371,'Графики (2)'!D55,Credit!$C$12:$C$371)</f>
        <v>0</v>
      </c>
    </row>
    <row r="56" spans="2:11" x14ac:dyDescent="0.35">
      <c r="B56">
        <f t="shared" si="3"/>
        <v>50</v>
      </c>
      <c r="C56" s="235">
        <f t="shared" si="1"/>
        <v>8</v>
      </c>
      <c r="D56" s="238">
        <f t="shared" si="4"/>
        <v>47696</v>
      </c>
      <c r="F56" s="197"/>
      <c r="G56" s="197"/>
      <c r="H56" s="197"/>
      <c r="I56" s="197"/>
      <c r="J56" s="197">
        <f>SUMIF(Credit!$A$12:$A$371,'Графики (2)'!D56,Credit!$D$12:$D$371)</f>
        <v>0</v>
      </c>
      <c r="K56">
        <f>SUMIF(Credit!$A$12:$A$371,'Графики (2)'!D56,Credit!$C$12:$C$371)</f>
        <v>0</v>
      </c>
    </row>
    <row r="57" spans="2:11" x14ac:dyDescent="0.35">
      <c r="B57">
        <f t="shared" si="3"/>
        <v>51</v>
      </c>
      <c r="C57" s="235">
        <f t="shared" si="1"/>
        <v>9</v>
      </c>
      <c r="D57" s="238">
        <f t="shared" si="4"/>
        <v>47727</v>
      </c>
      <c r="F57" s="197"/>
      <c r="G57" s="197"/>
      <c r="H57" s="197"/>
      <c r="I57" s="197">
        <f>$I$3*2.5%</f>
        <v>17192786.472413756</v>
      </c>
      <c r="J57" s="197">
        <f>SUMIF(Credit!$A$12:$A$371,'Графики (2)'!D57,Credit!$D$12:$D$371)</f>
        <v>0</v>
      </c>
      <c r="K57">
        <f>SUMIF(Credit!$A$12:$A$371,'Графики (2)'!D57,Credit!$C$12:$C$371)</f>
        <v>0</v>
      </c>
    </row>
    <row r="58" spans="2:11" x14ac:dyDescent="0.35">
      <c r="B58">
        <f t="shared" si="3"/>
        <v>52</v>
      </c>
      <c r="C58" s="235">
        <f t="shared" si="1"/>
        <v>10</v>
      </c>
      <c r="D58" s="238">
        <f t="shared" si="4"/>
        <v>47757</v>
      </c>
      <c r="F58" s="197"/>
      <c r="G58" s="197"/>
      <c r="H58" s="197"/>
      <c r="I58" s="197"/>
      <c r="J58" s="197">
        <f>SUMIF(Credit!$A$12:$A$371,'Графики (2)'!D58,Credit!$D$12:$D$371)</f>
        <v>0</v>
      </c>
      <c r="K58">
        <f>SUMIF(Credit!$A$12:$A$371,'Графики (2)'!D58,Credit!$C$12:$C$371)</f>
        <v>0</v>
      </c>
    </row>
    <row r="59" spans="2:11" x14ac:dyDescent="0.35">
      <c r="B59">
        <f t="shared" si="3"/>
        <v>53</v>
      </c>
      <c r="C59" s="235">
        <f t="shared" si="1"/>
        <v>11</v>
      </c>
      <c r="D59" s="238">
        <f t="shared" si="4"/>
        <v>47788</v>
      </c>
      <c r="F59" s="197"/>
      <c r="G59" s="197"/>
      <c r="H59" s="197"/>
      <c r="I59" s="197"/>
      <c r="J59" s="197">
        <f>SUMIF(Credit!$A$12:$A$371,'Графики (2)'!D59,Credit!$D$12:$D$371)</f>
        <v>0</v>
      </c>
      <c r="K59">
        <f>SUMIF(Credit!$A$12:$A$371,'Графики (2)'!D59,Credit!$C$12:$C$371)</f>
        <v>0</v>
      </c>
    </row>
    <row r="60" spans="2:11" x14ac:dyDescent="0.35">
      <c r="B60">
        <f t="shared" si="3"/>
        <v>54</v>
      </c>
      <c r="C60" s="235">
        <f t="shared" si="1"/>
        <v>12</v>
      </c>
      <c r="D60" s="238">
        <f t="shared" si="4"/>
        <v>47818</v>
      </c>
      <c r="F60" s="197"/>
      <c r="G60" s="197"/>
      <c r="H60" s="197"/>
      <c r="I60" s="197">
        <f>$I$3*2.5%</f>
        <v>17192786.472413756</v>
      </c>
      <c r="J60" s="197">
        <f>SUMIF(Credit!$A$12:$A$371,'Графики (2)'!D60,Credit!$D$12:$D$371)</f>
        <v>0</v>
      </c>
      <c r="K60">
        <f>SUMIF(Credit!$A$12:$A$371,'Графики (2)'!D60,Credit!$C$12:$C$371)</f>
        <v>0</v>
      </c>
    </row>
    <row r="61" spans="2:11" x14ac:dyDescent="0.35">
      <c r="B61">
        <f t="shared" si="3"/>
        <v>55</v>
      </c>
      <c r="C61" s="235">
        <f t="shared" si="1"/>
        <v>1</v>
      </c>
      <c r="D61" s="238">
        <f t="shared" si="4"/>
        <v>47849</v>
      </c>
      <c r="E61" s="197"/>
      <c r="F61" s="197"/>
      <c r="G61" s="197"/>
      <c r="H61" s="197"/>
      <c r="I61" s="197"/>
      <c r="J61" s="197">
        <f>SUMIF(Credit!$A$12:$A$371,'Графики (2)'!D61,Credit!$D$12:$D$371)</f>
        <v>0</v>
      </c>
      <c r="K61">
        <f>SUMIF(Credit!$A$12:$A$371,'Графики (2)'!D61,Credit!$C$12:$C$371)</f>
        <v>0</v>
      </c>
    </row>
    <row r="62" spans="2:11" x14ac:dyDescent="0.35">
      <c r="B62">
        <f t="shared" si="3"/>
        <v>56</v>
      </c>
      <c r="C62" s="235">
        <f t="shared" si="1"/>
        <v>2</v>
      </c>
      <c r="D62" s="238">
        <f t="shared" si="4"/>
        <v>47880</v>
      </c>
      <c r="E62" s="197"/>
      <c r="F62" s="197"/>
      <c r="G62" s="197"/>
      <c r="H62" s="197"/>
      <c r="I62" s="197"/>
      <c r="J62" s="197">
        <f>SUMIF(Credit!$A$12:$A$371,'Графики (2)'!D62,Credit!$D$12:$D$371)</f>
        <v>0</v>
      </c>
      <c r="K62">
        <f>SUMIF(Credit!$A$12:$A$371,'Графики (2)'!D62,Credit!$C$12:$C$371)</f>
        <v>0</v>
      </c>
    </row>
    <row r="63" spans="2:11" x14ac:dyDescent="0.35">
      <c r="B63">
        <f t="shared" si="3"/>
        <v>57</v>
      </c>
      <c r="C63" s="235">
        <f t="shared" si="1"/>
        <v>3</v>
      </c>
      <c r="D63" s="238">
        <f t="shared" si="4"/>
        <v>47908</v>
      </c>
      <c r="E63" s="197"/>
      <c r="F63" s="197"/>
      <c r="G63" s="197"/>
      <c r="H63" s="197"/>
      <c r="I63" s="197">
        <f>$I$3*2.5%</f>
        <v>17192786.472413756</v>
      </c>
      <c r="J63" s="197">
        <f>SUMIF(Credit!$A$12:$A$371,'Графики (2)'!D63,Credit!$D$12:$D$371)</f>
        <v>0</v>
      </c>
      <c r="K63">
        <f>SUMIF(Credit!$A$12:$A$371,'Графики (2)'!D63,Credit!$C$12:$C$371)</f>
        <v>0</v>
      </c>
    </row>
    <row r="64" spans="2:11" x14ac:dyDescent="0.35">
      <c r="B64">
        <f t="shared" si="3"/>
        <v>58</v>
      </c>
      <c r="C64" s="235">
        <f t="shared" si="1"/>
        <v>4</v>
      </c>
      <c r="D64" s="238">
        <f t="shared" si="4"/>
        <v>47939</v>
      </c>
      <c r="E64" s="197"/>
      <c r="F64" s="197"/>
      <c r="G64" s="197"/>
      <c r="H64" s="197"/>
      <c r="I64" s="197"/>
      <c r="J64" s="197">
        <f>SUMIF(Credit!$A$12:$A$371,'Графики (2)'!D64,Credit!$D$12:$D$371)</f>
        <v>0</v>
      </c>
      <c r="K64">
        <f>SUMIF(Credit!$A$12:$A$371,'Графики (2)'!D64,Credit!$C$12:$C$371)</f>
        <v>0</v>
      </c>
    </row>
    <row r="65" spans="2:11" x14ac:dyDescent="0.35">
      <c r="B65">
        <f t="shared" si="3"/>
        <v>59</v>
      </c>
      <c r="C65" s="235">
        <f t="shared" si="1"/>
        <v>5</v>
      </c>
      <c r="D65" s="238">
        <f t="shared" si="4"/>
        <v>47969</v>
      </c>
      <c r="E65" s="197"/>
      <c r="F65" s="197"/>
      <c r="G65" s="197"/>
      <c r="H65" s="197"/>
      <c r="I65" s="197"/>
      <c r="J65" s="197">
        <f>SUMIF(Credit!$A$12:$A$371,'Графики (2)'!D65,Credit!$D$12:$D$371)</f>
        <v>0</v>
      </c>
      <c r="K65">
        <f>SUMIF(Credit!$A$12:$A$371,'Графики (2)'!D65,Credit!$C$12:$C$371)</f>
        <v>0</v>
      </c>
    </row>
    <row r="66" spans="2:11" x14ac:dyDescent="0.35">
      <c r="B66">
        <f t="shared" si="3"/>
        <v>60</v>
      </c>
      <c r="C66" s="235">
        <f t="shared" si="1"/>
        <v>6</v>
      </c>
      <c r="D66" s="238">
        <f t="shared" si="4"/>
        <v>48000</v>
      </c>
      <c r="E66" s="197"/>
      <c r="F66" s="197"/>
      <c r="G66" s="197"/>
      <c r="H66" s="197">
        <f>$H$3*10%</f>
        <v>339721501.74741518</v>
      </c>
      <c r="I66" s="197">
        <f>$I$3*2.5%</f>
        <v>17192786.472413756</v>
      </c>
      <c r="J66" s="197">
        <f>SUMIF(Credit!$A$12:$A$371,'Графики (2)'!D66,Credit!$D$12:$D$371)</f>
        <v>0</v>
      </c>
      <c r="K66">
        <f>SUMIF(Credit!$A$12:$A$371,'Графики (2)'!D66,Credit!$C$12:$C$371)</f>
        <v>0</v>
      </c>
    </row>
    <row r="67" spans="2:11" x14ac:dyDescent="0.35">
      <c r="B67">
        <f t="shared" si="3"/>
        <v>61</v>
      </c>
      <c r="C67" s="235">
        <f t="shared" si="1"/>
        <v>7</v>
      </c>
      <c r="D67" s="238">
        <f t="shared" si="4"/>
        <v>48030</v>
      </c>
      <c r="E67" s="197"/>
      <c r="F67" s="197"/>
      <c r="G67" s="197"/>
      <c r="H67" s="197"/>
      <c r="I67" s="197"/>
      <c r="J67" s="197">
        <f>SUMIF(Credit!$A$12:$A$371,'Графики (2)'!D67,Credit!$D$12:$D$371)</f>
        <v>0</v>
      </c>
      <c r="K67">
        <f>SUMIF(Credit!$A$12:$A$371,'Графики (2)'!D67,Credit!$C$12:$C$371)</f>
        <v>0</v>
      </c>
    </row>
    <row r="68" spans="2:11" x14ac:dyDescent="0.35">
      <c r="B68">
        <f t="shared" si="3"/>
        <v>62</v>
      </c>
      <c r="C68" s="235">
        <f t="shared" si="1"/>
        <v>8</v>
      </c>
      <c r="D68" s="238">
        <f t="shared" si="4"/>
        <v>48061</v>
      </c>
      <c r="E68" s="197"/>
      <c r="F68" s="197"/>
      <c r="G68" s="197"/>
      <c r="H68" s="197"/>
      <c r="I68" s="197"/>
      <c r="J68" s="197">
        <f>SUMIF(Credit!$A$12:$A$371,'Графики (2)'!D68,Credit!$D$12:$D$371)</f>
        <v>0</v>
      </c>
      <c r="K68">
        <f>SUMIF(Credit!$A$12:$A$371,'Графики (2)'!D68,Credit!$C$12:$C$371)</f>
        <v>0</v>
      </c>
    </row>
    <row r="69" spans="2:11" x14ac:dyDescent="0.35">
      <c r="B69">
        <f t="shared" si="3"/>
        <v>63</v>
      </c>
      <c r="C69" s="235">
        <f t="shared" si="1"/>
        <v>9</v>
      </c>
      <c r="D69" s="238">
        <f t="shared" si="4"/>
        <v>48092</v>
      </c>
      <c r="E69" s="197"/>
      <c r="F69" s="197"/>
      <c r="G69" s="197"/>
      <c r="H69" s="212"/>
      <c r="I69" s="197">
        <f>$I$3*2.5%</f>
        <v>17192786.472413756</v>
      </c>
      <c r="J69" s="197">
        <f>SUMIF(Credit!$A$12:$A$371,'Графики (2)'!D69,Credit!$D$12:$D$371)</f>
        <v>0</v>
      </c>
      <c r="K69">
        <f>SUMIF(Credit!$A$12:$A$371,'Графики (2)'!D69,Credit!$C$12:$C$371)</f>
        <v>0</v>
      </c>
    </row>
    <row r="70" spans="2:11" x14ac:dyDescent="0.35">
      <c r="B70">
        <f t="shared" si="3"/>
        <v>64</v>
      </c>
      <c r="C70" s="235">
        <f t="shared" si="1"/>
        <v>10</v>
      </c>
      <c r="D70" s="238">
        <f t="shared" si="4"/>
        <v>48122</v>
      </c>
      <c r="E70" s="197"/>
      <c r="F70" s="197"/>
      <c r="G70" s="197"/>
      <c r="H70" s="197"/>
      <c r="I70" s="197"/>
      <c r="J70" s="197">
        <f>SUMIF(Credit!$A$12:$A$371,'Графики (2)'!D70,Credit!$D$12:$D$371)</f>
        <v>0</v>
      </c>
      <c r="K70">
        <f>SUMIF(Credit!$A$12:$A$371,'Графики (2)'!D70,Credit!$C$12:$C$371)</f>
        <v>0</v>
      </c>
    </row>
    <row r="71" spans="2:11" x14ac:dyDescent="0.35">
      <c r="B71">
        <f t="shared" si="3"/>
        <v>65</v>
      </c>
      <c r="C71" s="235">
        <f t="shared" ref="C71:C134" si="6">MONTH(D71)</f>
        <v>11</v>
      </c>
      <c r="D71" s="238">
        <f t="shared" si="4"/>
        <v>48153</v>
      </c>
      <c r="E71" s="197"/>
      <c r="F71" s="197"/>
      <c r="G71" s="197"/>
      <c r="H71" s="197"/>
      <c r="I71" s="197"/>
      <c r="J71" s="197">
        <f>SUMIF(Credit!$A$12:$A$371,'Графики (2)'!D71,Credit!$D$12:$D$371)</f>
        <v>0</v>
      </c>
      <c r="K71">
        <f>SUMIF(Credit!$A$12:$A$371,'Графики (2)'!D71,Credit!$C$12:$C$371)</f>
        <v>0</v>
      </c>
    </row>
    <row r="72" spans="2:11" x14ac:dyDescent="0.35">
      <c r="B72">
        <f t="shared" ref="B72:B135" si="7">B71+1</f>
        <v>66</v>
      </c>
      <c r="C72" s="235">
        <f t="shared" si="6"/>
        <v>12</v>
      </c>
      <c r="D72" s="238">
        <f t="shared" ref="D72:D135" si="8">EDATE(D71,1)</f>
        <v>48183</v>
      </c>
      <c r="E72" s="197"/>
      <c r="F72" s="197"/>
      <c r="G72" s="197"/>
      <c r="H72" s="197"/>
      <c r="I72" s="197">
        <f>$I$3*2.5%</f>
        <v>17192786.472413756</v>
      </c>
      <c r="J72" s="197">
        <f>SUMIF(Credit!$A$12:$A$371,'Графики (2)'!D72,Credit!$D$12:$D$371)</f>
        <v>0</v>
      </c>
      <c r="K72">
        <f>SUMIF(Credit!$A$12:$A$371,'Графики (2)'!D72,Credit!$C$12:$C$371)</f>
        <v>0</v>
      </c>
    </row>
    <row r="73" spans="2:11" x14ac:dyDescent="0.35">
      <c r="B73">
        <f t="shared" si="7"/>
        <v>67</v>
      </c>
      <c r="C73" s="235">
        <f t="shared" si="6"/>
        <v>1</v>
      </c>
      <c r="D73" s="238">
        <f t="shared" si="8"/>
        <v>48214</v>
      </c>
      <c r="E73" s="197"/>
      <c r="F73" s="197"/>
      <c r="G73" s="197"/>
      <c r="H73" s="197"/>
      <c r="I73" s="197"/>
      <c r="J73" s="197">
        <f>SUMIF(Credit!$A$12:$A$371,'Графики (2)'!D73,Credit!$D$12:$D$371)</f>
        <v>0</v>
      </c>
      <c r="K73">
        <f>SUMIF(Credit!$A$12:$A$371,'Графики (2)'!D73,Credit!$C$12:$C$371)</f>
        <v>0</v>
      </c>
    </row>
    <row r="74" spans="2:11" x14ac:dyDescent="0.35">
      <c r="B74">
        <f t="shared" si="7"/>
        <v>68</v>
      </c>
      <c r="C74" s="235">
        <f t="shared" si="6"/>
        <v>2</v>
      </c>
      <c r="D74" s="238">
        <f t="shared" si="8"/>
        <v>48245</v>
      </c>
      <c r="E74" s="197"/>
      <c r="F74" s="197"/>
      <c r="G74" s="197"/>
      <c r="H74" s="197"/>
      <c r="I74" s="197"/>
      <c r="J74" s="197">
        <f>SUMIF(Credit!$A$12:$A$371,'Графики (2)'!D74,Credit!$D$12:$D$371)</f>
        <v>0</v>
      </c>
      <c r="K74">
        <f>SUMIF(Credit!$A$12:$A$371,'Графики (2)'!D74,Credit!$C$12:$C$371)</f>
        <v>0</v>
      </c>
    </row>
    <row r="75" spans="2:11" x14ac:dyDescent="0.35">
      <c r="B75">
        <f t="shared" si="7"/>
        <v>69</v>
      </c>
      <c r="C75" s="235">
        <f t="shared" si="6"/>
        <v>3</v>
      </c>
      <c r="D75" s="238">
        <f t="shared" si="8"/>
        <v>48274</v>
      </c>
      <c r="E75" s="197"/>
      <c r="F75" s="197"/>
      <c r="G75" s="197"/>
      <c r="H75" s="197"/>
      <c r="I75" s="197">
        <f>$I$3*2.5%</f>
        <v>17192786.472413756</v>
      </c>
      <c r="J75" s="197">
        <f>SUMIF(Credit!$A$12:$A$371,'Графики (2)'!D75,Credit!$D$12:$D$371)</f>
        <v>0</v>
      </c>
      <c r="K75">
        <f>SUMIF(Credit!$A$12:$A$371,'Графики (2)'!D75,Credit!$C$12:$C$371)</f>
        <v>0</v>
      </c>
    </row>
    <row r="76" spans="2:11" x14ac:dyDescent="0.35">
      <c r="B76">
        <f t="shared" si="7"/>
        <v>70</v>
      </c>
      <c r="C76" s="235">
        <f t="shared" si="6"/>
        <v>4</v>
      </c>
      <c r="D76" s="238">
        <f t="shared" si="8"/>
        <v>48305</v>
      </c>
      <c r="E76" s="197"/>
      <c r="F76" s="197"/>
      <c r="G76" s="197"/>
      <c r="H76" s="197"/>
      <c r="I76" s="197"/>
      <c r="J76" s="197">
        <f>SUMIF(Credit!$A$12:$A$371,'Графики (2)'!D76,Credit!$D$12:$D$371)</f>
        <v>0</v>
      </c>
      <c r="K76">
        <f>SUMIF(Credit!$A$12:$A$371,'Графики (2)'!D76,Credit!$C$12:$C$371)</f>
        <v>0</v>
      </c>
    </row>
    <row r="77" spans="2:11" x14ac:dyDescent="0.35">
      <c r="B77">
        <f t="shared" si="7"/>
        <v>71</v>
      </c>
      <c r="C77" s="235">
        <f t="shared" si="6"/>
        <v>5</v>
      </c>
      <c r="D77" s="238">
        <f t="shared" si="8"/>
        <v>48335</v>
      </c>
      <c r="E77" s="197"/>
      <c r="F77" s="197"/>
      <c r="G77" s="197"/>
      <c r="H77" s="197"/>
      <c r="I77" s="197"/>
      <c r="J77" s="197">
        <f>SUMIF(Credit!$A$12:$A$371,'Графики (2)'!D77,Credit!$D$12:$D$371)</f>
        <v>0</v>
      </c>
      <c r="K77">
        <f>SUMIF(Credit!$A$12:$A$371,'Графики (2)'!D77,Credit!$C$12:$C$371)</f>
        <v>0</v>
      </c>
    </row>
    <row r="78" spans="2:11" x14ac:dyDescent="0.35">
      <c r="B78">
        <f t="shared" si="7"/>
        <v>72</v>
      </c>
      <c r="C78" s="235">
        <f t="shared" si="6"/>
        <v>6</v>
      </c>
      <c r="D78" s="238">
        <f t="shared" si="8"/>
        <v>48366</v>
      </c>
      <c r="E78" s="197"/>
      <c r="F78" s="197"/>
      <c r="G78" s="197"/>
      <c r="H78" s="197">
        <f>$H$3*10%</f>
        <v>339721501.74741518</v>
      </c>
      <c r="I78" s="197">
        <f>$I$3*2.5%</f>
        <v>17192786.472413756</v>
      </c>
      <c r="J78" s="197">
        <f>SUMIF(Credit!$A$12:$A$371,'Графики (2)'!D78,Credit!$D$12:$D$371)</f>
        <v>0</v>
      </c>
      <c r="K78">
        <f>SUMIF(Credit!$A$12:$A$371,'Графики (2)'!D78,Credit!$C$12:$C$371)</f>
        <v>0</v>
      </c>
    </row>
    <row r="79" spans="2:11" x14ac:dyDescent="0.35">
      <c r="B79">
        <f t="shared" si="7"/>
        <v>73</v>
      </c>
      <c r="C79" s="235">
        <f t="shared" si="6"/>
        <v>7</v>
      </c>
      <c r="D79" s="238">
        <f t="shared" si="8"/>
        <v>48396</v>
      </c>
      <c r="E79" s="197"/>
      <c r="F79" s="197"/>
      <c r="G79" s="197"/>
      <c r="H79" s="197"/>
      <c r="I79" s="197"/>
      <c r="J79" s="197">
        <f>SUMIF(Credit!$A$12:$A$371,'Графики (2)'!D79,Credit!$D$12:$D$371)</f>
        <v>0</v>
      </c>
      <c r="K79">
        <f>SUMIF(Credit!$A$12:$A$371,'Графики (2)'!D79,Credit!$C$12:$C$371)</f>
        <v>0</v>
      </c>
    </row>
    <row r="80" spans="2:11" x14ac:dyDescent="0.35">
      <c r="B80">
        <f t="shared" si="7"/>
        <v>74</v>
      </c>
      <c r="C80" s="235">
        <f t="shared" si="6"/>
        <v>8</v>
      </c>
      <c r="D80" s="238">
        <f t="shared" si="8"/>
        <v>48427</v>
      </c>
      <c r="E80" s="197"/>
      <c r="F80" s="197"/>
      <c r="G80" s="197"/>
      <c r="H80" s="197"/>
      <c r="I80" s="197"/>
      <c r="J80" s="197">
        <f>SUMIF(Credit!$A$12:$A$371,'Графики (2)'!D80,Credit!$D$12:$D$371)</f>
        <v>0</v>
      </c>
      <c r="K80">
        <f>SUMIF(Credit!$A$12:$A$371,'Графики (2)'!D80,Credit!$C$12:$C$371)</f>
        <v>0</v>
      </c>
    </row>
    <row r="81" spans="2:11" x14ac:dyDescent="0.35">
      <c r="B81">
        <f t="shared" si="7"/>
        <v>75</v>
      </c>
      <c r="C81" s="235">
        <f t="shared" si="6"/>
        <v>9</v>
      </c>
      <c r="D81" s="238">
        <f t="shared" si="8"/>
        <v>48458</v>
      </c>
      <c r="E81" s="197"/>
      <c r="F81" s="197"/>
      <c r="G81" s="197"/>
      <c r="H81" s="197"/>
      <c r="I81" s="197">
        <f>$I$3*5%</f>
        <v>34385572.944827512</v>
      </c>
      <c r="J81" s="197">
        <f>SUMIF(Credit!$A$12:$A$371,'Графики (2)'!D81,Credit!$D$12:$D$371)</f>
        <v>0</v>
      </c>
      <c r="K81">
        <f>SUMIF(Credit!$A$12:$A$371,'Графики (2)'!D81,Credit!$C$12:$C$371)</f>
        <v>0</v>
      </c>
    </row>
    <row r="82" spans="2:11" x14ac:dyDescent="0.35">
      <c r="B82">
        <f t="shared" si="7"/>
        <v>76</v>
      </c>
      <c r="C82" s="235">
        <f t="shared" si="6"/>
        <v>10</v>
      </c>
      <c r="D82" s="238">
        <f t="shared" si="8"/>
        <v>48488</v>
      </c>
      <c r="E82" s="197"/>
      <c r="F82" s="197"/>
      <c r="G82" s="197"/>
      <c r="H82" s="197"/>
      <c r="I82" s="197"/>
      <c r="J82" s="197">
        <f>SUMIF(Credit!$A$12:$A$371,'Графики (2)'!D82,Credit!$D$12:$D$371)</f>
        <v>0</v>
      </c>
      <c r="K82">
        <f>SUMIF(Credit!$A$12:$A$371,'Графики (2)'!D82,Credit!$C$12:$C$371)</f>
        <v>0</v>
      </c>
    </row>
    <row r="83" spans="2:11" x14ac:dyDescent="0.35">
      <c r="B83">
        <f t="shared" si="7"/>
        <v>77</v>
      </c>
      <c r="C83" s="235">
        <f t="shared" si="6"/>
        <v>11</v>
      </c>
      <c r="D83" s="238">
        <f t="shared" si="8"/>
        <v>48519</v>
      </c>
      <c r="E83" s="197"/>
      <c r="F83" s="197"/>
      <c r="G83" s="197"/>
      <c r="H83" s="197"/>
      <c r="I83" s="197"/>
      <c r="J83" s="197">
        <f>SUMIF(Credit!$A$12:$A$371,'Графики (2)'!D83,Credit!$D$12:$D$371)</f>
        <v>0</v>
      </c>
      <c r="K83">
        <f>SUMIF(Credit!$A$12:$A$371,'Графики (2)'!D83,Credit!$C$12:$C$371)</f>
        <v>0</v>
      </c>
    </row>
    <row r="84" spans="2:11" x14ac:dyDescent="0.35">
      <c r="B84">
        <f t="shared" si="7"/>
        <v>78</v>
      </c>
      <c r="C84" s="235">
        <f t="shared" si="6"/>
        <v>12</v>
      </c>
      <c r="D84" s="238">
        <f t="shared" si="8"/>
        <v>48549</v>
      </c>
      <c r="E84" s="197"/>
      <c r="F84" s="197"/>
      <c r="G84" s="197"/>
      <c r="H84" s="197"/>
      <c r="I84" s="197">
        <f>$I$3*5%</f>
        <v>34385572.944827512</v>
      </c>
      <c r="J84" s="197">
        <f>SUMIF(Credit!$A$12:$A$371,'Графики (2)'!D84,Credit!$D$12:$D$371)</f>
        <v>0</v>
      </c>
      <c r="K84">
        <f>SUMIF(Credit!$A$12:$A$371,'Графики (2)'!D84,Credit!$C$12:$C$371)</f>
        <v>0</v>
      </c>
    </row>
    <row r="85" spans="2:11" x14ac:dyDescent="0.35">
      <c r="B85">
        <f t="shared" si="7"/>
        <v>79</v>
      </c>
      <c r="C85" s="235">
        <f t="shared" si="6"/>
        <v>1</v>
      </c>
      <c r="D85" s="238">
        <f t="shared" si="8"/>
        <v>48580</v>
      </c>
      <c r="E85" s="197"/>
      <c r="F85" s="197"/>
      <c r="G85" s="197"/>
      <c r="H85" s="197"/>
      <c r="I85" s="197"/>
      <c r="J85" s="197">
        <f>SUMIF(Credit!$A$12:$A$371,'Графики (2)'!D85,Credit!$D$12:$D$371)</f>
        <v>0</v>
      </c>
      <c r="K85">
        <f>SUMIF(Credit!$A$12:$A$371,'Графики (2)'!D85,Credit!$C$12:$C$371)</f>
        <v>0</v>
      </c>
    </row>
    <row r="86" spans="2:11" x14ac:dyDescent="0.35">
      <c r="B86">
        <f t="shared" si="7"/>
        <v>80</v>
      </c>
      <c r="C86" s="235">
        <f t="shared" si="6"/>
        <v>2</v>
      </c>
      <c r="D86" s="238">
        <f t="shared" si="8"/>
        <v>48611</v>
      </c>
      <c r="E86" s="197"/>
      <c r="F86" s="197"/>
      <c r="G86" s="197"/>
      <c r="H86" s="197"/>
      <c r="I86" s="197"/>
      <c r="J86" s="197">
        <f>SUMIF(Credit!$A$12:$A$371,'Графики (2)'!D86,Credit!$D$12:$D$371)</f>
        <v>0</v>
      </c>
      <c r="K86">
        <f>SUMIF(Credit!$A$12:$A$371,'Графики (2)'!D86,Credit!$C$12:$C$371)</f>
        <v>0</v>
      </c>
    </row>
    <row r="87" spans="2:11" x14ac:dyDescent="0.35">
      <c r="B87">
        <f t="shared" si="7"/>
        <v>81</v>
      </c>
      <c r="C87" s="235">
        <f t="shared" si="6"/>
        <v>3</v>
      </c>
      <c r="D87" s="238">
        <f t="shared" si="8"/>
        <v>48639</v>
      </c>
      <c r="E87" s="197"/>
      <c r="F87" s="197"/>
      <c r="G87" s="197"/>
      <c r="H87" s="197"/>
      <c r="I87" s="197">
        <f>$I$3*5%</f>
        <v>34385572.944827512</v>
      </c>
      <c r="J87" s="197">
        <f>SUMIF(Credit!$A$12:$A$371,'Графики (2)'!D87,Credit!$D$12:$D$371)</f>
        <v>0</v>
      </c>
      <c r="K87">
        <f>SUMIF(Credit!$A$12:$A$371,'Графики (2)'!D87,Credit!$C$12:$C$371)</f>
        <v>0</v>
      </c>
    </row>
    <row r="88" spans="2:11" x14ac:dyDescent="0.35">
      <c r="B88">
        <f t="shared" si="7"/>
        <v>82</v>
      </c>
      <c r="C88" s="235">
        <f t="shared" si="6"/>
        <v>4</v>
      </c>
      <c r="D88" s="238">
        <f t="shared" si="8"/>
        <v>48670</v>
      </c>
      <c r="E88" s="197"/>
      <c r="F88" s="197"/>
      <c r="G88" s="197"/>
      <c r="H88" s="197"/>
      <c r="I88" s="197"/>
      <c r="J88" s="197">
        <f>SUMIF(Credit!$A$12:$A$371,'Графики (2)'!D88,Credit!$D$12:$D$371)</f>
        <v>0</v>
      </c>
      <c r="K88">
        <f>SUMIF(Credit!$A$12:$A$371,'Графики (2)'!D88,Credit!$C$12:$C$371)</f>
        <v>0</v>
      </c>
    </row>
    <row r="89" spans="2:11" x14ac:dyDescent="0.35">
      <c r="B89">
        <f t="shared" si="7"/>
        <v>83</v>
      </c>
      <c r="C89" s="235">
        <f t="shared" si="6"/>
        <v>5</v>
      </c>
      <c r="D89" s="238">
        <f t="shared" si="8"/>
        <v>48700</v>
      </c>
      <c r="E89" s="197">
        <f>$E$3*50%</f>
        <v>5006550000</v>
      </c>
      <c r="F89" s="197"/>
      <c r="G89" s="197"/>
      <c r="H89" s="197"/>
      <c r="I89" s="197"/>
      <c r="J89" s="197">
        <f>SUMIF(Credit!$A$12:$A$371,'Графики (2)'!D89,Credit!$D$12:$D$371)</f>
        <v>0</v>
      </c>
      <c r="K89">
        <f>SUMIF(Credit!$A$12:$A$371,'Графики (2)'!D89,Credit!$C$12:$C$371)</f>
        <v>0</v>
      </c>
    </row>
    <row r="90" spans="2:11" x14ac:dyDescent="0.35">
      <c r="B90">
        <f t="shared" si="7"/>
        <v>84</v>
      </c>
      <c r="C90" s="235">
        <f t="shared" si="6"/>
        <v>6</v>
      </c>
      <c r="D90" s="238">
        <f t="shared" si="8"/>
        <v>48731</v>
      </c>
      <c r="E90" s="197"/>
      <c r="F90" s="197"/>
      <c r="G90" s="197"/>
      <c r="H90" s="197">
        <f>$H$3*10%</f>
        <v>339721501.74741518</v>
      </c>
      <c r="I90" s="197">
        <f>$I$3*5%</f>
        <v>34385572.944827512</v>
      </c>
      <c r="J90" s="197">
        <f>SUMIF(Credit!$A$12:$A$371,'Графики (2)'!D90,Credit!$D$12:$D$371)</f>
        <v>0</v>
      </c>
      <c r="K90">
        <f>SUMIF(Credit!$A$12:$A$371,'Графики (2)'!D90,Credit!$C$12:$C$371)</f>
        <v>0</v>
      </c>
    </row>
    <row r="91" spans="2:11" x14ac:dyDescent="0.35">
      <c r="B91">
        <f t="shared" si="7"/>
        <v>85</v>
      </c>
      <c r="C91" s="235">
        <f t="shared" si="6"/>
        <v>7</v>
      </c>
      <c r="D91" s="238">
        <f t="shared" si="8"/>
        <v>48761</v>
      </c>
      <c r="E91" s="197"/>
      <c r="F91" s="197"/>
      <c r="G91" s="197"/>
      <c r="H91" s="197"/>
      <c r="I91" s="197"/>
      <c r="J91" s="197">
        <f>SUMIF(Credit!$A$12:$A$371,'Графики (2)'!D91,Credit!$D$12:$D$371)</f>
        <v>0</v>
      </c>
      <c r="K91">
        <f>SUMIF(Credit!$A$12:$A$371,'Графики (2)'!D91,Credit!$C$12:$C$371)</f>
        <v>0</v>
      </c>
    </row>
    <row r="92" spans="2:11" x14ac:dyDescent="0.35">
      <c r="B92">
        <f t="shared" si="7"/>
        <v>86</v>
      </c>
      <c r="C92" s="235">
        <f t="shared" si="6"/>
        <v>8</v>
      </c>
      <c r="D92" s="238">
        <f t="shared" si="8"/>
        <v>48792</v>
      </c>
      <c r="E92" s="197"/>
      <c r="F92" s="197"/>
      <c r="G92" s="197"/>
      <c r="H92" s="197"/>
      <c r="I92" s="197"/>
      <c r="J92" s="197">
        <f>SUMIF(Credit!$A$12:$A$371,'Графики (2)'!D92,Credit!$D$12:$D$371)</f>
        <v>0</v>
      </c>
      <c r="K92">
        <f>SUMIF(Credit!$A$12:$A$371,'Графики (2)'!D92,Credit!$C$12:$C$371)</f>
        <v>0</v>
      </c>
    </row>
    <row r="93" spans="2:11" x14ac:dyDescent="0.35">
      <c r="B93">
        <f t="shared" si="7"/>
        <v>87</v>
      </c>
      <c r="C93" s="235">
        <f t="shared" si="6"/>
        <v>9</v>
      </c>
      <c r="D93" s="238">
        <f t="shared" si="8"/>
        <v>48823</v>
      </c>
      <c r="E93" s="197"/>
      <c r="F93" s="197"/>
      <c r="G93" s="197"/>
      <c r="H93" s="197"/>
      <c r="I93" s="197">
        <f>$I$3*5%</f>
        <v>34385572.944827512</v>
      </c>
      <c r="J93" s="197">
        <f>SUMIF(Credit!$A$12:$A$371,'Графики (2)'!D93,Credit!$D$12:$D$371)</f>
        <v>0</v>
      </c>
      <c r="K93">
        <f>SUMIF(Credit!$A$12:$A$371,'Графики (2)'!D93,Credit!$C$12:$C$371)</f>
        <v>0</v>
      </c>
    </row>
    <row r="94" spans="2:11" x14ac:dyDescent="0.35">
      <c r="B94">
        <f t="shared" si="7"/>
        <v>88</v>
      </c>
      <c r="C94" s="235">
        <f t="shared" si="6"/>
        <v>10</v>
      </c>
      <c r="D94" s="238">
        <f t="shared" si="8"/>
        <v>48853</v>
      </c>
      <c r="E94" s="197"/>
      <c r="F94" s="197"/>
      <c r="G94" s="197"/>
      <c r="H94" s="197"/>
      <c r="I94" s="197"/>
      <c r="J94" s="197">
        <f>SUMIF(Credit!$A$12:$A$371,'Графики (2)'!D94,Credit!$D$12:$D$371)</f>
        <v>0</v>
      </c>
      <c r="K94">
        <f>SUMIF(Credit!$A$12:$A$371,'Графики (2)'!D94,Credit!$C$12:$C$371)</f>
        <v>0</v>
      </c>
    </row>
    <row r="95" spans="2:11" x14ac:dyDescent="0.35">
      <c r="B95">
        <f t="shared" si="7"/>
        <v>89</v>
      </c>
      <c r="C95" s="235">
        <f t="shared" si="6"/>
        <v>11</v>
      </c>
      <c r="D95" s="238">
        <f t="shared" si="8"/>
        <v>48884</v>
      </c>
      <c r="E95" s="197"/>
      <c r="F95" s="197"/>
      <c r="G95" s="197"/>
      <c r="H95" s="197"/>
      <c r="I95" s="197"/>
      <c r="J95" s="197">
        <f>SUMIF(Credit!$A$12:$A$371,'Графики (2)'!D95,Credit!$D$12:$D$371)</f>
        <v>0</v>
      </c>
      <c r="K95">
        <f>SUMIF(Credit!$A$12:$A$371,'Графики (2)'!D95,Credit!$C$12:$C$371)</f>
        <v>0</v>
      </c>
    </row>
    <row r="96" spans="2:11" x14ac:dyDescent="0.35">
      <c r="B96">
        <f t="shared" si="7"/>
        <v>90</v>
      </c>
      <c r="C96" s="235">
        <f t="shared" si="6"/>
        <v>12</v>
      </c>
      <c r="D96" s="238">
        <f t="shared" si="8"/>
        <v>48914</v>
      </c>
      <c r="E96" s="197"/>
      <c r="F96" s="197"/>
      <c r="G96" s="197"/>
      <c r="H96" s="197"/>
      <c r="I96" s="197">
        <f>$I$3*5%</f>
        <v>34385572.944827512</v>
      </c>
      <c r="J96" s="197">
        <f>SUMIF(Credit!$A$12:$A$371,'Графики (2)'!D96,Credit!$D$12:$D$371)</f>
        <v>0</v>
      </c>
      <c r="K96">
        <f>SUMIF(Credit!$A$12:$A$371,'Графики (2)'!D96,Credit!$C$12:$C$371)</f>
        <v>0</v>
      </c>
    </row>
    <row r="97" spans="2:11" x14ac:dyDescent="0.35">
      <c r="B97">
        <f t="shared" si="7"/>
        <v>91</v>
      </c>
      <c r="C97" s="235">
        <f t="shared" si="6"/>
        <v>1</v>
      </c>
      <c r="D97" s="238">
        <f t="shared" si="8"/>
        <v>48945</v>
      </c>
      <c r="E97" s="197"/>
      <c r="F97" s="197"/>
      <c r="G97" s="197"/>
      <c r="H97" s="197"/>
      <c r="I97" s="197"/>
      <c r="J97" s="197">
        <f>SUMIF(Credit!$A$12:$A$371,'Графики (2)'!D97,Credit!$D$12:$D$371)</f>
        <v>0</v>
      </c>
      <c r="K97">
        <f>SUMIF(Credit!$A$12:$A$371,'Графики (2)'!D97,Credit!$C$12:$C$371)</f>
        <v>0</v>
      </c>
    </row>
    <row r="98" spans="2:11" x14ac:dyDescent="0.35">
      <c r="B98">
        <f t="shared" si="7"/>
        <v>92</v>
      </c>
      <c r="C98" s="235">
        <f t="shared" si="6"/>
        <v>2</v>
      </c>
      <c r="D98" s="238">
        <f t="shared" si="8"/>
        <v>48976</v>
      </c>
      <c r="E98" s="197"/>
      <c r="F98" s="197"/>
      <c r="G98" s="197"/>
      <c r="H98" s="197"/>
      <c r="I98" s="197"/>
      <c r="J98" s="197">
        <f>SUMIF(Credit!$A$12:$A$371,'Графики (2)'!D98,Credit!$D$12:$D$371)</f>
        <v>0</v>
      </c>
      <c r="K98">
        <f>SUMIF(Credit!$A$12:$A$371,'Графики (2)'!D98,Credit!$C$12:$C$371)</f>
        <v>0</v>
      </c>
    </row>
    <row r="99" spans="2:11" x14ac:dyDescent="0.35">
      <c r="B99">
        <f t="shared" si="7"/>
        <v>93</v>
      </c>
      <c r="C99" s="235">
        <f t="shared" si="6"/>
        <v>3</v>
      </c>
      <c r="D99" s="238">
        <f t="shared" si="8"/>
        <v>49004</v>
      </c>
      <c r="E99" s="197"/>
      <c r="F99" s="197"/>
      <c r="G99" s="197"/>
      <c r="H99" s="197"/>
      <c r="I99" s="197">
        <f>$I$3*5%</f>
        <v>34385572.944827512</v>
      </c>
      <c r="J99" s="197">
        <f>SUMIF(Credit!$A$12:$A$371,'Графики (2)'!D99,Credit!$D$12:$D$371)</f>
        <v>0</v>
      </c>
      <c r="K99">
        <f>SUMIF(Credit!$A$12:$A$371,'Графики (2)'!D99,Credit!$C$12:$C$371)</f>
        <v>0</v>
      </c>
    </row>
    <row r="100" spans="2:11" x14ac:dyDescent="0.35">
      <c r="B100">
        <f t="shared" si="7"/>
        <v>94</v>
      </c>
      <c r="C100" s="235">
        <f t="shared" si="6"/>
        <v>4</v>
      </c>
      <c r="D100" s="238">
        <f t="shared" si="8"/>
        <v>49035</v>
      </c>
      <c r="E100" s="197"/>
      <c r="F100" s="197"/>
      <c r="G100" s="197"/>
      <c r="H100" s="197"/>
      <c r="I100" s="197"/>
      <c r="J100" s="197">
        <f>SUMIF(Credit!$A$12:$A$371,'Графики (2)'!D100,Credit!$D$12:$D$371)</f>
        <v>0</v>
      </c>
      <c r="K100">
        <f>SUMIF(Credit!$A$12:$A$371,'Графики (2)'!D100,Credit!$C$12:$C$371)</f>
        <v>0</v>
      </c>
    </row>
    <row r="101" spans="2:11" x14ac:dyDescent="0.35">
      <c r="B101">
        <f t="shared" si="7"/>
        <v>95</v>
      </c>
      <c r="C101" s="235">
        <f t="shared" si="6"/>
        <v>5</v>
      </c>
      <c r="D101" s="238">
        <f t="shared" si="8"/>
        <v>49065</v>
      </c>
      <c r="E101" s="197"/>
      <c r="F101" s="197"/>
      <c r="G101" s="197"/>
      <c r="H101" s="197"/>
      <c r="I101" s="197"/>
      <c r="J101" s="197">
        <f>SUMIF(Credit!$A$12:$A$371,'Графики (2)'!D101,Credit!$D$12:$D$371)</f>
        <v>0</v>
      </c>
      <c r="K101">
        <f>SUMIF(Credit!$A$12:$A$371,'Графики (2)'!D101,Credit!$C$12:$C$371)</f>
        <v>0</v>
      </c>
    </row>
    <row r="102" spans="2:11" x14ac:dyDescent="0.35">
      <c r="B102">
        <f t="shared" si="7"/>
        <v>96</v>
      </c>
      <c r="C102" s="235">
        <f t="shared" si="6"/>
        <v>6</v>
      </c>
      <c r="D102" s="238">
        <f t="shared" si="8"/>
        <v>49096</v>
      </c>
      <c r="E102" s="197"/>
      <c r="F102" s="197"/>
      <c r="G102" s="197"/>
      <c r="H102" s="197">
        <f>$H$3*30%</f>
        <v>1019164505.2422454</v>
      </c>
      <c r="I102" s="197">
        <f>$I$3*5%</f>
        <v>34385572.944827512</v>
      </c>
      <c r="J102" s="197">
        <f>SUMIF(Credit!$A$12:$A$371,'Графики (2)'!D102,Credit!$D$12:$D$371)</f>
        <v>0</v>
      </c>
      <c r="K102">
        <f>SUMIF(Credit!$A$12:$A$371,'Графики (2)'!D102,Credit!$C$12:$C$371)</f>
        <v>0</v>
      </c>
    </row>
    <row r="103" spans="2:11" x14ac:dyDescent="0.35">
      <c r="B103">
        <f t="shared" si="7"/>
        <v>97</v>
      </c>
      <c r="C103" s="235">
        <f t="shared" si="6"/>
        <v>7</v>
      </c>
      <c r="D103" s="238">
        <f t="shared" si="8"/>
        <v>49126</v>
      </c>
      <c r="E103" s="197"/>
      <c r="F103" s="197"/>
      <c r="G103" s="197"/>
      <c r="H103" s="197"/>
      <c r="I103" s="197"/>
      <c r="J103" s="197">
        <f>SUMIF(Credit!$A$12:$A$371,'Графики (2)'!D103,Credit!$D$12:$D$371)</f>
        <v>0</v>
      </c>
      <c r="K103">
        <f>SUMIF(Credit!$A$12:$A$371,'Графики (2)'!D103,Credit!$C$12:$C$371)</f>
        <v>0</v>
      </c>
    </row>
    <row r="104" spans="2:11" x14ac:dyDescent="0.35">
      <c r="B104">
        <f t="shared" si="7"/>
        <v>98</v>
      </c>
      <c r="C104" s="235">
        <f t="shared" si="6"/>
        <v>8</v>
      </c>
      <c r="D104" s="238">
        <f t="shared" si="8"/>
        <v>49157</v>
      </c>
      <c r="E104" s="197"/>
      <c r="F104" s="197"/>
      <c r="G104" s="197"/>
      <c r="H104" s="197"/>
      <c r="I104" s="197"/>
      <c r="J104" s="197">
        <f>SUMIF(Credit!$A$12:$A$371,'Графики (2)'!D104,Credit!$D$12:$D$371)</f>
        <v>0</v>
      </c>
      <c r="K104">
        <f>SUMIF(Credit!$A$12:$A$371,'Графики (2)'!D104,Credit!$C$12:$C$371)</f>
        <v>0</v>
      </c>
    </row>
    <row r="105" spans="2:11" x14ac:dyDescent="0.35">
      <c r="B105">
        <f t="shared" si="7"/>
        <v>99</v>
      </c>
      <c r="C105" s="235">
        <f t="shared" si="6"/>
        <v>9</v>
      </c>
      <c r="D105" s="238">
        <f t="shared" si="8"/>
        <v>49188</v>
      </c>
      <c r="E105" s="197"/>
      <c r="F105" s="197"/>
      <c r="G105" s="197"/>
      <c r="H105" s="197"/>
      <c r="I105" s="197"/>
      <c r="J105" s="197">
        <f>SUMIF(Credit!$A$12:$A$371,'Графики (2)'!D105,Credit!$D$12:$D$371)</f>
        <v>0</v>
      </c>
      <c r="K105">
        <f>SUMIF(Credit!$A$12:$A$371,'Графики (2)'!D105,Credit!$C$12:$C$371)</f>
        <v>0</v>
      </c>
    </row>
    <row r="106" spans="2:11" x14ac:dyDescent="0.35">
      <c r="B106">
        <f t="shared" si="7"/>
        <v>100</v>
      </c>
      <c r="C106" s="235">
        <f t="shared" si="6"/>
        <v>10</v>
      </c>
      <c r="D106" s="238">
        <f t="shared" si="8"/>
        <v>49218</v>
      </c>
      <c r="E106" s="197"/>
      <c r="F106" s="197"/>
      <c r="G106" s="197"/>
      <c r="H106" s="197"/>
      <c r="I106" s="197"/>
      <c r="J106" s="197">
        <f>SUMIF(Credit!$A$12:$A$371,'Графики (2)'!D106,Credit!$D$12:$D$371)</f>
        <v>0</v>
      </c>
      <c r="K106">
        <f>SUMIF(Credit!$A$12:$A$371,'Графики (2)'!D106,Credit!$C$12:$C$371)</f>
        <v>0</v>
      </c>
    </row>
    <row r="107" spans="2:11" x14ac:dyDescent="0.35">
      <c r="B107">
        <f t="shared" si="7"/>
        <v>101</v>
      </c>
      <c r="C107" s="235">
        <f t="shared" si="6"/>
        <v>11</v>
      </c>
      <c r="D107" s="238">
        <f t="shared" si="8"/>
        <v>49249</v>
      </c>
      <c r="E107" s="197"/>
      <c r="F107" s="197"/>
      <c r="G107" s="197"/>
      <c r="H107" s="197"/>
      <c r="I107" s="197"/>
      <c r="J107" s="197">
        <f>SUMIF(Credit!$A$12:$A$371,'Графики (2)'!D107,Credit!$D$12:$D$371)</f>
        <v>0</v>
      </c>
      <c r="K107">
        <f>SUMIF(Credit!$A$12:$A$371,'Графики (2)'!D107,Credit!$C$12:$C$371)</f>
        <v>0</v>
      </c>
    </row>
    <row r="108" spans="2:11" x14ac:dyDescent="0.35">
      <c r="B108">
        <f t="shared" si="7"/>
        <v>102</v>
      </c>
      <c r="C108" s="235">
        <f t="shared" si="6"/>
        <v>12</v>
      </c>
      <c r="D108" s="238">
        <f t="shared" si="8"/>
        <v>49279</v>
      </c>
      <c r="E108" s="197"/>
      <c r="F108" s="197"/>
      <c r="G108" s="197"/>
      <c r="H108" s="197"/>
      <c r="I108" s="197"/>
      <c r="J108" s="197">
        <f>SUMIF(Credit!$A$12:$A$371,'Графики (2)'!D108,Credit!$D$12:$D$371)</f>
        <v>0</v>
      </c>
      <c r="K108">
        <f>SUMIF(Credit!$A$12:$A$371,'Графики (2)'!D108,Credit!$C$12:$C$371)</f>
        <v>0</v>
      </c>
    </row>
    <row r="109" spans="2:11" x14ac:dyDescent="0.35">
      <c r="B109">
        <f t="shared" si="7"/>
        <v>103</v>
      </c>
      <c r="C109" s="235">
        <f t="shared" si="6"/>
        <v>1</v>
      </c>
      <c r="D109" s="238">
        <f t="shared" si="8"/>
        <v>49310</v>
      </c>
      <c r="E109" s="197"/>
      <c r="F109" s="197"/>
      <c r="G109" s="197"/>
      <c r="H109" s="197"/>
      <c r="I109" s="197"/>
      <c r="J109" s="197">
        <f>SUMIF(Credit!$A$12:$A$371,'Графики (2)'!D109,Credit!$D$12:$D$371)</f>
        <v>0</v>
      </c>
      <c r="K109">
        <f>SUMIF(Credit!$A$12:$A$371,'Графики (2)'!D109,Credit!$C$12:$C$371)</f>
        <v>0</v>
      </c>
    </row>
    <row r="110" spans="2:11" x14ac:dyDescent="0.35">
      <c r="B110">
        <f t="shared" si="7"/>
        <v>104</v>
      </c>
      <c r="C110" s="235">
        <f t="shared" si="6"/>
        <v>2</v>
      </c>
      <c r="D110" s="238">
        <f t="shared" si="8"/>
        <v>49341</v>
      </c>
      <c r="E110" s="197"/>
      <c r="F110" s="197"/>
      <c r="G110" s="197"/>
      <c r="H110" s="197"/>
      <c r="I110" s="197"/>
      <c r="J110" s="197">
        <f>SUMIF(Credit!$A$12:$A$371,'Графики (2)'!D110,Credit!$D$12:$D$371)</f>
        <v>0</v>
      </c>
      <c r="K110">
        <f>SUMIF(Credit!$A$12:$A$371,'Графики (2)'!D110,Credit!$C$12:$C$371)</f>
        <v>0</v>
      </c>
    </row>
    <row r="111" spans="2:11" x14ac:dyDescent="0.35">
      <c r="B111">
        <f t="shared" si="7"/>
        <v>105</v>
      </c>
      <c r="C111" s="235">
        <f t="shared" si="6"/>
        <v>3</v>
      </c>
      <c r="D111" s="238">
        <f t="shared" si="8"/>
        <v>49369</v>
      </c>
      <c r="E111" s="197"/>
      <c r="F111" s="197"/>
      <c r="G111" s="197"/>
      <c r="H111" s="197"/>
      <c r="I111" s="197"/>
      <c r="J111" s="197">
        <f>SUMIF(Credit!$A$12:$A$371,'Графики (2)'!D111,Credit!$D$12:$D$371)</f>
        <v>0</v>
      </c>
      <c r="K111">
        <f>SUMIF(Credit!$A$12:$A$371,'Графики (2)'!D111,Credit!$C$12:$C$371)</f>
        <v>0</v>
      </c>
    </row>
    <row r="112" spans="2:11" x14ac:dyDescent="0.35">
      <c r="B112">
        <f t="shared" si="7"/>
        <v>106</v>
      </c>
      <c r="C112" s="235">
        <f t="shared" si="6"/>
        <v>4</v>
      </c>
      <c r="D112" s="238">
        <f t="shared" si="8"/>
        <v>49400</v>
      </c>
      <c r="E112" s="197"/>
      <c r="F112" s="197"/>
      <c r="G112" s="197"/>
      <c r="H112" s="197"/>
      <c r="I112" s="197"/>
      <c r="J112" s="197">
        <f>SUMIF(Credit!$A$12:$A$371,'Графики (2)'!D112,Credit!$D$12:$D$371)</f>
        <v>0</v>
      </c>
      <c r="K112">
        <f>SUMIF(Credit!$A$12:$A$371,'Графики (2)'!D112,Credit!$C$12:$C$371)</f>
        <v>0</v>
      </c>
    </row>
    <row r="113" spans="2:11" x14ac:dyDescent="0.35">
      <c r="B113">
        <f t="shared" si="7"/>
        <v>107</v>
      </c>
      <c r="C113" s="235">
        <f t="shared" si="6"/>
        <v>5</v>
      </c>
      <c r="D113" s="238">
        <f t="shared" si="8"/>
        <v>49430</v>
      </c>
      <c r="E113" s="197"/>
      <c r="F113" s="197"/>
      <c r="G113" s="197"/>
      <c r="H113" s="197"/>
      <c r="I113" s="197"/>
      <c r="J113" s="197">
        <f>SUMIF(Credit!$A$12:$A$371,'Графики (2)'!D113,Credit!$D$12:$D$371)</f>
        <v>0</v>
      </c>
      <c r="K113">
        <f>SUMIF(Credit!$A$12:$A$371,'Графики (2)'!D113,Credit!$C$12:$C$371)</f>
        <v>0</v>
      </c>
    </row>
    <row r="114" spans="2:11" x14ac:dyDescent="0.35">
      <c r="B114">
        <f t="shared" si="7"/>
        <v>108</v>
      </c>
      <c r="C114" s="235">
        <f t="shared" si="6"/>
        <v>6</v>
      </c>
      <c r="D114" s="238">
        <f t="shared" si="8"/>
        <v>49461</v>
      </c>
      <c r="E114" s="197"/>
      <c r="F114" s="197"/>
      <c r="G114" s="197"/>
      <c r="H114" s="197"/>
      <c r="I114" s="197"/>
      <c r="J114" s="197">
        <f>SUMIF(Credit!$A$12:$A$371,'Графики (2)'!D114,Credit!$D$12:$D$371)</f>
        <v>0</v>
      </c>
      <c r="K114">
        <f>SUMIF(Credit!$A$12:$A$371,'Графики (2)'!D114,Credit!$C$12:$C$371)</f>
        <v>0</v>
      </c>
    </row>
    <row r="115" spans="2:11" x14ac:dyDescent="0.35">
      <c r="B115">
        <f t="shared" si="7"/>
        <v>109</v>
      </c>
      <c r="C115" s="235">
        <f t="shared" si="6"/>
        <v>7</v>
      </c>
      <c r="D115" s="238">
        <f t="shared" si="8"/>
        <v>49491</v>
      </c>
      <c r="E115" s="197"/>
      <c r="F115" s="197"/>
      <c r="G115" s="197"/>
      <c r="H115" s="197"/>
      <c r="I115" s="197"/>
      <c r="J115" s="197">
        <f>SUMIF(Credit!$A$12:$A$371,'Графики (2)'!D115,Credit!$D$12:$D$371)</f>
        <v>0</v>
      </c>
      <c r="K115">
        <f>SUMIF(Credit!$A$12:$A$371,'Графики (2)'!D115,Credit!$C$12:$C$371)</f>
        <v>0</v>
      </c>
    </row>
    <row r="116" spans="2:11" x14ac:dyDescent="0.35">
      <c r="B116">
        <f t="shared" si="7"/>
        <v>110</v>
      </c>
      <c r="C116" s="235">
        <f t="shared" si="6"/>
        <v>8</v>
      </c>
      <c r="D116" s="238">
        <f t="shared" si="8"/>
        <v>49522</v>
      </c>
      <c r="E116" s="197"/>
      <c r="F116" s="197"/>
      <c r="G116" s="197"/>
      <c r="H116" s="197"/>
      <c r="I116" s="197"/>
      <c r="J116" s="197">
        <f>SUMIF(Credit!$A$12:$A$371,'Графики (2)'!D116,Credit!$D$12:$D$371)</f>
        <v>0</v>
      </c>
      <c r="K116">
        <f>SUMIF(Credit!$A$12:$A$371,'Графики (2)'!D116,Credit!$C$12:$C$371)</f>
        <v>0</v>
      </c>
    </row>
    <row r="117" spans="2:11" x14ac:dyDescent="0.35">
      <c r="B117">
        <f t="shared" si="7"/>
        <v>111</v>
      </c>
      <c r="C117" s="235">
        <f t="shared" si="6"/>
        <v>9</v>
      </c>
      <c r="D117" s="238">
        <f t="shared" si="8"/>
        <v>49553</v>
      </c>
      <c r="E117" s="197"/>
      <c r="F117" s="197"/>
      <c r="G117" s="197"/>
      <c r="H117" s="197"/>
      <c r="I117" s="197"/>
      <c r="J117" s="197">
        <f>SUMIF(Credit!$A$12:$A$371,'Графики (2)'!D117,Credit!$D$12:$D$371)</f>
        <v>0</v>
      </c>
      <c r="K117">
        <f>SUMIF(Credit!$A$12:$A$371,'Графики (2)'!D117,Credit!$C$12:$C$371)</f>
        <v>0</v>
      </c>
    </row>
    <row r="118" spans="2:11" x14ac:dyDescent="0.35">
      <c r="B118">
        <f t="shared" si="7"/>
        <v>112</v>
      </c>
      <c r="C118" s="235">
        <f t="shared" si="6"/>
        <v>10</v>
      </c>
      <c r="D118" s="238">
        <f t="shared" si="8"/>
        <v>49583</v>
      </c>
      <c r="E118" s="197"/>
      <c r="F118" s="197"/>
      <c r="G118" s="197"/>
      <c r="H118" s="197"/>
      <c r="I118" s="197"/>
      <c r="J118" s="197">
        <f>SUMIF(Credit!$A$12:$A$371,'Графики (2)'!D118,Credit!$D$12:$D$371)</f>
        <v>0</v>
      </c>
      <c r="K118">
        <f>SUMIF(Credit!$A$12:$A$371,'Графики (2)'!D118,Credit!$C$12:$C$371)</f>
        <v>0</v>
      </c>
    </row>
    <row r="119" spans="2:11" x14ac:dyDescent="0.35">
      <c r="B119">
        <f t="shared" si="7"/>
        <v>113</v>
      </c>
      <c r="C119" s="235">
        <f t="shared" si="6"/>
        <v>11</v>
      </c>
      <c r="D119" s="238">
        <f t="shared" si="8"/>
        <v>49614</v>
      </c>
      <c r="E119" s="197"/>
      <c r="F119" s="197"/>
      <c r="G119" s="197"/>
      <c r="H119" s="197"/>
      <c r="I119" s="197"/>
      <c r="J119" s="197">
        <f>SUMIF(Credit!$A$12:$A$371,'Графики (2)'!D119,Credit!$D$12:$D$371)</f>
        <v>0</v>
      </c>
      <c r="K119">
        <f>SUMIF(Credit!$A$12:$A$371,'Графики (2)'!D119,Credit!$C$12:$C$371)</f>
        <v>0</v>
      </c>
    </row>
    <row r="120" spans="2:11" x14ac:dyDescent="0.35">
      <c r="B120">
        <f t="shared" si="7"/>
        <v>114</v>
      </c>
      <c r="C120" s="235">
        <f t="shared" si="6"/>
        <v>12</v>
      </c>
      <c r="D120" s="238">
        <f t="shared" si="8"/>
        <v>49644</v>
      </c>
      <c r="E120" s="197"/>
      <c r="F120" s="197"/>
      <c r="G120" s="197"/>
      <c r="H120" s="197"/>
      <c r="I120" s="197"/>
      <c r="J120" s="197">
        <f>SUMIF(Credit!$A$12:$A$371,'Графики (2)'!D120,Credit!$D$12:$D$371)</f>
        <v>0</v>
      </c>
      <c r="K120">
        <f>SUMIF(Credit!$A$12:$A$371,'Графики (2)'!D120,Credit!$C$12:$C$371)</f>
        <v>0</v>
      </c>
    </row>
    <row r="121" spans="2:11" x14ac:dyDescent="0.35">
      <c r="B121">
        <f t="shared" si="7"/>
        <v>115</v>
      </c>
      <c r="C121" s="235">
        <f t="shared" si="6"/>
        <v>1</v>
      </c>
      <c r="D121" s="238">
        <f t="shared" si="8"/>
        <v>49675</v>
      </c>
      <c r="E121" s="197"/>
      <c r="F121" s="197"/>
      <c r="G121" s="197"/>
      <c r="H121" s="197"/>
      <c r="I121" s="197"/>
      <c r="J121" s="197">
        <f>SUMIF(Credit!$A$12:$A$371,'Графики (2)'!D121,Credit!$D$12:$D$371)</f>
        <v>0</v>
      </c>
      <c r="K121">
        <f>SUMIF(Credit!$A$12:$A$371,'Графики (2)'!D121,Credit!$C$12:$C$371)</f>
        <v>0</v>
      </c>
    </row>
    <row r="122" spans="2:11" x14ac:dyDescent="0.35">
      <c r="B122">
        <f t="shared" si="7"/>
        <v>116</v>
      </c>
      <c r="C122" s="235">
        <f t="shared" si="6"/>
        <v>2</v>
      </c>
      <c r="D122" s="238">
        <f t="shared" si="8"/>
        <v>49706</v>
      </c>
      <c r="E122" s="197"/>
      <c r="F122" s="197"/>
      <c r="G122" s="197"/>
      <c r="H122" s="197"/>
      <c r="I122" s="197"/>
      <c r="J122" s="197">
        <f>SUMIF(Credit!$A$12:$A$371,'Графики (2)'!D122,Credit!$D$12:$D$371)</f>
        <v>0</v>
      </c>
      <c r="K122">
        <f>SUMIF(Credit!$A$12:$A$371,'Графики (2)'!D122,Credit!$C$12:$C$371)</f>
        <v>0</v>
      </c>
    </row>
    <row r="123" spans="2:11" x14ac:dyDescent="0.35">
      <c r="B123">
        <f t="shared" si="7"/>
        <v>117</v>
      </c>
      <c r="C123" s="235">
        <f t="shared" si="6"/>
        <v>3</v>
      </c>
      <c r="D123" s="238">
        <f t="shared" si="8"/>
        <v>49735</v>
      </c>
      <c r="E123" s="197"/>
      <c r="F123" s="197"/>
      <c r="G123" s="197"/>
      <c r="H123" s="197"/>
      <c r="I123" s="197"/>
      <c r="J123" s="197">
        <f>SUMIF(Credit!$A$12:$A$371,'Графики (2)'!D123,Credit!$D$12:$D$371)</f>
        <v>0</v>
      </c>
      <c r="K123">
        <f>SUMIF(Credit!$A$12:$A$371,'Графики (2)'!D123,Credit!$C$12:$C$371)</f>
        <v>0</v>
      </c>
    </row>
    <row r="124" spans="2:11" x14ac:dyDescent="0.35">
      <c r="B124">
        <f t="shared" si="7"/>
        <v>118</v>
      </c>
      <c r="C124" s="235">
        <f t="shared" si="6"/>
        <v>4</v>
      </c>
      <c r="D124" s="238">
        <f t="shared" si="8"/>
        <v>49766</v>
      </c>
      <c r="E124" s="197"/>
      <c r="F124" s="197"/>
      <c r="G124" s="197"/>
      <c r="H124" s="197"/>
      <c r="I124" s="197"/>
      <c r="J124" s="197">
        <f>SUMIF(Credit!$A$12:$A$371,'Графики (2)'!D124,Credit!$D$12:$D$371)</f>
        <v>0</v>
      </c>
      <c r="K124">
        <f>SUMIF(Credit!$A$12:$A$371,'Графики (2)'!D124,Credit!$C$12:$C$371)</f>
        <v>0</v>
      </c>
    </row>
    <row r="125" spans="2:11" x14ac:dyDescent="0.35">
      <c r="B125">
        <f t="shared" si="7"/>
        <v>119</v>
      </c>
      <c r="C125" s="235">
        <f t="shared" si="6"/>
        <v>5</v>
      </c>
      <c r="D125" s="238">
        <f t="shared" si="8"/>
        <v>49796</v>
      </c>
      <c r="E125" s="197"/>
      <c r="F125" s="197"/>
      <c r="G125" s="197"/>
      <c r="H125" s="197"/>
      <c r="I125" s="197"/>
      <c r="J125" s="197">
        <f>SUMIF(Credit!$A$12:$A$371,'Графики (2)'!D125,Credit!$D$12:$D$371)</f>
        <v>0</v>
      </c>
      <c r="K125">
        <f>SUMIF(Credit!$A$12:$A$371,'Графики (2)'!D125,Credit!$C$12:$C$371)</f>
        <v>0</v>
      </c>
    </row>
    <row r="126" spans="2:11" x14ac:dyDescent="0.35">
      <c r="B126">
        <f t="shared" si="7"/>
        <v>120</v>
      </c>
      <c r="C126" s="235">
        <f t="shared" si="6"/>
        <v>6</v>
      </c>
      <c r="D126" s="238">
        <f t="shared" si="8"/>
        <v>49827</v>
      </c>
      <c r="E126" s="197"/>
      <c r="F126" s="197"/>
      <c r="G126" s="197"/>
      <c r="H126" s="197"/>
      <c r="I126" s="197"/>
      <c r="J126" s="197">
        <f>SUMIF(Credit!$A$12:$A$371,'Графики (2)'!D126,Credit!$D$12:$D$371)</f>
        <v>0</v>
      </c>
      <c r="K126">
        <f>SUMIF(Credit!$A$12:$A$371,'Графики (2)'!D126,Credit!$C$12:$C$371)</f>
        <v>0</v>
      </c>
    </row>
    <row r="127" spans="2:11" x14ac:dyDescent="0.35">
      <c r="B127">
        <f t="shared" si="7"/>
        <v>121</v>
      </c>
      <c r="C127" s="235">
        <f t="shared" si="6"/>
        <v>7</v>
      </c>
      <c r="D127" s="238">
        <f t="shared" si="8"/>
        <v>49857</v>
      </c>
      <c r="E127" s="197"/>
      <c r="F127" s="197"/>
      <c r="G127" s="197"/>
      <c r="H127" s="197"/>
      <c r="I127" s="197"/>
      <c r="J127" s="197">
        <f>SUMIF(Credit!$A$12:$A$371,'Графики (2)'!D127,Credit!$D$12:$D$371)</f>
        <v>0</v>
      </c>
      <c r="K127">
        <f>SUMIF(Credit!$A$12:$A$371,'Графики (2)'!D127,Credit!$C$12:$C$371)</f>
        <v>0</v>
      </c>
    </row>
    <row r="128" spans="2:11" x14ac:dyDescent="0.35">
      <c r="B128">
        <f t="shared" si="7"/>
        <v>122</v>
      </c>
      <c r="C128" s="235">
        <f t="shared" si="6"/>
        <v>8</v>
      </c>
      <c r="D128" s="238">
        <f t="shared" si="8"/>
        <v>49888</v>
      </c>
      <c r="E128" s="197"/>
      <c r="F128" s="197"/>
      <c r="G128" s="197"/>
      <c r="H128" s="197"/>
      <c r="I128" s="197"/>
      <c r="J128" s="197">
        <f>SUMIF(Credit!$A$12:$A$371,'Графики (2)'!D128,Credit!$D$12:$D$371)</f>
        <v>0</v>
      </c>
      <c r="K128">
        <f>SUMIF(Credit!$A$12:$A$371,'Графики (2)'!D128,Credit!$C$12:$C$371)</f>
        <v>0</v>
      </c>
    </row>
    <row r="129" spans="2:11" x14ac:dyDescent="0.35">
      <c r="B129">
        <f t="shared" si="7"/>
        <v>123</v>
      </c>
      <c r="C129" s="235">
        <f t="shared" si="6"/>
        <v>9</v>
      </c>
      <c r="D129" s="238">
        <f t="shared" si="8"/>
        <v>49919</v>
      </c>
      <c r="E129" s="197"/>
      <c r="F129" s="197"/>
      <c r="G129" s="197"/>
      <c r="H129" s="197"/>
      <c r="I129" s="197"/>
      <c r="J129" s="197">
        <f>SUMIF(Credit!$A$12:$A$371,'Графики (2)'!D129,Credit!$D$12:$D$371)</f>
        <v>0</v>
      </c>
      <c r="K129">
        <f>SUMIF(Credit!$A$12:$A$371,'Графики (2)'!D129,Credit!$C$12:$C$371)</f>
        <v>0</v>
      </c>
    </row>
    <row r="130" spans="2:11" x14ac:dyDescent="0.35">
      <c r="B130">
        <f t="shared" si="7"/>
        <v>124</v>
      </c>
      <c r="C130" s="235">
        <f t="shared" si="6"/>
        <v>10</v>
      </c>
      <c r="D130" s="238">
        <f t="shared" si="8"/>
        <v>49949</v>
      </c>
      <c r="E130" s="197"/>
      <c r="F130" s="197"/>
      <c r="G130" s="197"/>
      <c r="H130" s="197"/>
      <c r="I130" s="197"/>
      <c r="J130" s="197">
        <f>SUMIF(Credit!$A$12:$A$371,'Графики (2)'!D130,Credit!$D$12:$D$371)</f>
        <v>0</v>
      </c>
      <c r="K130">
        <f>SUMIF(Credit!$A$12:$A$371,'Графики (2)'!D130,Credit!$C$12:$C$371)</f>
        <v>0</v>
      </c>
    </row>
    <row r="131" spans="2:11" x14ac:dyDescent="0.35">
      <c r="B131">
        <f t="shared" si="7"/>
        <v>125</v>
      </c>
      <c r="C131" s="235">
        <f t="shared" si="6"/>
        <v>11</v>
      </c>
      <c r="D131" s="238">
        <f t="shared" si="8"/>
        <v>49980</v>
      </c>
      <c r="E131" s="197"/>
      <c r="F131" s="197"/>
      <c r="G131" s="197"/>
      <c r="H131" s="197"/>
      <c r="I131" s="197"/>
      <c r="J131" s="197">
        <f>SUMIF(Credit!$A$12:$A$371,'Графики (2)'!D131,Credit!$D$12:$D$371)</f>
        <v>0</v>
      </c>
      <c r="K131">
        <f>SUMIF(Credit!$A$12:$A$371,'Графики (2)'!D131,Credit!$C$12:$C$371)</f>
        <v>0</v>
      </c>
    </row>
    <row r="132" spans="2:11" x14ac:dyDescent="0.35">
      <c r="B132">
        <f t="shared" si="7"/>
        <v>126</v>
      </c>
      <c r="C132" s="235">
        <f t="shared" si="6"/>
        <v>12</v>
      </c>
      <c r="D132" s="238">
        <f t="shared" si="8"/>
        <v>50010</v>
      </c>
      <c r="E132" s="197"/>
      <c r="F132" s="197"/>
      <c r="G132" s="197"/>
      <c r="H132" s="197"/>
      <c r="I132" s="197"/>
      <c r="J132" s="197">
        <f>SUMIF(Credit!$A$12:$A$371,'Графики (2)'!D132,Credit!$D$12:$D$371)</f>
        <v>0</v>
      </c>
      <c r="K132">
        <f>SUMIF(Credit!$A$12:$A$371,'Графики (2)'!D132,Credit!$C$12:$C$371)</f>
        <v>0</v>
      </c>
    </row>
    <row r="133" spans="2:11" x14ac:dyDescent="0.35">
      <c r="B133">
        <f t="shared" si="7"/>
        <v>127</v>
      </c>
      <c r="C133" s="235">
        <f t="shared" si="6"/>
        <v>1</v>
      </c>
      <c r="D133" s="238">
        <f t="shared" si="8"/>
        <v>50041</v>
      </c>
      <c r="E133" s="197"/>
      <c r="F133" s="197"/>
      <c r="G133" s="197"/>
      <c r="H133" s="197"/>
      <c r="I133" s="197"/>
      <c r="J133" s="197">
        <f>SUMIF(Credit!$A$12:$A$371,'Графики (2)'!D133,Credit!$D$12:$D$371)</f>
        <v>0</v>
      </c>
      <c r="K133">
        <f>SUMIF(Credit!$A$12:$A$371,'Графики (2)'!D133,Credit!$C$12:$C$371)</f>
        <v>0</v>
      </c>
    </row>
    <row r="134" spans="2:11" x14ac:dyDescent="0.35">
      <c r="B134">
        <f t="shared" si="7"/>
        <v>128</v>
      </c>
      <c r="C134" s="235">
        <f t="shared" si="6"/>
        <v>2</v>
      </c>
      <c r="D134" s="238">
        <f t="shared" si="8"/>
        <v>50072</v>
      </c>
      <c r="E134" s="197"/>
      <c r="F134" s="197"/>
      <c r="G134" s="197"/>
      <c r="H134" s="197"/>
      <c r="I134" s="197"/>
      <c r="J134" s="197">
        <f>SUMIF(Credit!$A$12:$A$371,'Графики (2)'!D134,Credit!$D$12:$D$371)</f>
        <v>0</v>
      </c>
      <c r="K134">
        <f>SUMIF(Credit!$A$12:$A$371,'Графики (2)'!D134,Credit!$C$12:$C$371)</f>
        <v>0</v>
      </c>
    </row>
    <row r="135" spans="2:11" x14ac:dyDescent="0.35">
      <c r="B135">
        <f t="shared" si="7"/>
        <v>129</v>
      </c>
      <c r="C135" s="235">
        <f t="shared" ref="C135:C198" si="9">MONTH(D135)</f>
        <v>3</v>
      </c>
      <c r="D135" s="238">
        <f t="shared" si="8"/>
        <v>50100</v>
      </c>
      <c r="E135" s="197"/>
      <c r="F135" s="197"/>
      <c r="G135" s="197"/>
      <c r="H135" s="197"/>
      <c r="I135" s="197"/>
      <c r="J135" s="197">
        <f>SUMIF(Credit!$A$12:$A$371,'Графики (2)'!D135,Credit!$D$12:$D$371)</f>
        <v>0</v>
      </c>
      <c r="K135">
        <f>SUMIF(Credit!$A$12:$A$371,'Графики (2)'!D135,Credit!$C$12:$C$371)</f>
        <v>0</v>
      </c>
    </row>
    <row r="136" spans="2:11" x14ac:dyDescent="0.35">
      <c r="B136">
        <f t="shared" ref="B136:B199" si="10">B135+1</f>
        <v>130</v>
      </c>
      <c r="C136" s="235">
        <f t="shared" si="9"/>
        <v>4</v>
      </c>
      <c r="D136" s="238">
        <f t="shared" ref="D136:D199" si="11">EDATE(D135,1)</f>
        <v>50131</v>
      </c>
      <c r="E136" s="197"/>
      <c r="F136" s="197"/>
      <c r="G136" s="197"/>
      <c r="H136" s="197"/>
      <c r="I136" s="197"/>
      <c r="J136" s="197">
        <f>SUMIF(Credit!$A$12:$A$371,'Графики (2)'!D136,Credit!$D$12:$D$371)</f>
        <v>0</v>
      </c>
      <c r="K136">
        <f>SUMIF(Credit!$A$12:$A$371,'Графики (2)'!D136,Credit!$C$12:$C$371)</f>
        <v>0</v>
      </c>
    </row>
    <row r="137" spans="2:11" x14ac:dyDescent="0.35">
      <c r="B137">
        <f t="shared" si="10"/>
        <v>131</v>
      </c>
      <c r="C137" s="235">
        <f t="shared" si="9"/>
        <v>5</v>
      </c>
      <c r="D137" s="238">
        <f t="shared" si="11"/>
        <v>50161</v>
      </c>
      <c r="E137" s="197"/>
      <c r="F137" s="197"/>
      <c r="G137" s="197"/>
      <c r="H137" s="197"/>
      <c r="I137" s="197"/>
      <c r="J137" s="197">
        <f>SUMIF(Credit!$A$12:$A$371,'Графики (2)'!D137,Credit!$D$12:$D$371)</f>
        <v>0</v>
      </c>
      <c r="K137">
        <f>SUMIF(Credit!$A$12:$A$371,'Графики (2)'!D137,Credit!$C$12:$C$371)</f>
        <v>0</v>
      </c>
    </row>
    <row r="138" spans="2:11" x14ac:dyDescent="0.35">
      <c r="B138">
        <f t="shared" si="10"/>
        <v>132</v>
      </c>
      <c r="C138" s="235">
        <f t="shared" si="9"/>
        <v>6</v>
      </c>
      <c r="D138" s="238">
        <f t="shared" si="11"/>
        <v>50192</v>
      </c>
      <c r="E138" s="197"/>
      <c r="F138" s="197"/>
      <c r="G138" s="197"/>
      <c r="H138" s="197"/>
      <c r="I138" s="197"/>
      <c r="J138" s="197">
        <f>SUMIF(Credit!$A$12:$A$371,'Графики (2)'!D138,Credit!$D$12:$D$371)</f>
        <v>0</v>
      </c>
      <c r="K138">
        <f>SUMIF(Credit!$A$12:$A$371,'Графики (2)'!D138,Credit!$C$12:$C$371)</f>
        <v>0</v>
      </c>
    </row>
    <row r="139" spans="2:11" x14ac:dyDescent="0.35">
      <c r="B139">
        <f t="shared" si="10"/>
        <v>133</v>
      </c>
      <c r="C139" s="235">
        <f t="shared" si="9"/>
        <v>7</v>
      </c>
      <c r="D139" s="238">
        <f t="shared" si="11"/>
        <v>50222</v>
      </c>
      <c r="E139" s="197"/>
      <c r="F139" s="197"/>
      <c r="G139" s="197"/>
      <c r="H139" s="197"/>
      <c r="I139" s="197"/>
      <c r="J139" s="197">
        <f>SUMIF(Credit!$A$12:$A$371,'Графики (2)'!D139,Credit!$D$12:$D$371)</f>
        <v>0</v>
      </c>
      <c r="K139">
        <f>SUMIF(Credit!$A$12:$A$371,'Графики (2)'!D139,Credit!$C$12:$C$371)</f>
        <v>0</v>
      </c>
    </row>
    <row r="140" spans="2:11" x14ac:dyDescent="0.35">
      <c r="B140">
        <f t="shared" si="10"/>
        <v>134</v>
      </c>
      <c r="C140" s="235">
        <f t="shared" si="9"/>
        <v>8</v>
      </c>
      <c r="D140" s="238">
        <f t="shared" si="11"/>
        <v>50253</v>
      </c>
      <c r="E140" s="197"/>
      <c r="F140" s="197"/>
      <c r="G140" s="197"/>
      <c r="H140" s="197"/>
      <c r="I140" s="197"/>
      <c r="J140" s="197">
        <f>SUMIF(Credit!$A$12:$A$371,'Графики (2)'!D140,Credit!$D$12:$D$371)</f>
        <v>0</v>
      </c>
      <c r="K140">
        <f>SUMIF(Credit!$A$12:$A$371,'Графики (2)'!D140,Credit!$C$12:$C$371)</f>
        <v>0</v>
      </c>
    </row>
    <row r="141" spans="2:11" x14ac:dyDescent="0.35">
      <c r="B141">
        <f t="shared" si="10"/>
        <v>135</v>
      </c>
      <c r="C141" s="235">
        <f t="shared" si="9"/>
        <v>9</v>
      </c>
      <c r="D141" s="238">
        <f t="shared" si="11"/>
        <v>50284</v>
      </c>
      <c r="E141" s="197"/>
      <c r="F141" s="197"/>
      <c r="G141" s="197"/>
      <c r="H141" s="197"/>
      <c r="I141" s="197"/>
      <c r="J141" s="197">
        <f>SUMIF(Credit!$A$12:$A$371,'Графики (2)'!D141,Credit!$D$12:$D$371)</f>
        <v>0</v>
      </c>
      <c r="K141">
        <f>SUMIF(Credit!$A$12:$A$371,'Графики (2)'!D141,Credit!$C$12:$C$371)</f>
        <v>0</v>
      </c>
    </row>
    <row r="142" spans="2:11" x14ac:dyDescent="0.35">
      <c r="B142">
        <f t="shared" si="10"/>
        <v>136</v>
      </c>
      <c r="C142" s="235">
        <f t="shared" si="9"/>
        <v>10</v>
      </c>
      <c r="D142" s="238">
        <f t="shared" si="11"/>
        <v>50314</v>
      </c>
      <c r="E142" s="197"/>
      <c r="F142" s="197"/>
      <c r="G142" s="197"/>
      <c r="H142" s="197"/>
      <c r="I142" s="197"/>
      <c r="J142" s="197">
        <f>SUMIF(Credit!$A$12:$A$371,'Графики (2)'!D142,Credit!$D$12:$D$371)</f>
        <v>0</v>
      </c>
      <c r="K142">
        <f>SUMIF(Credit!$A$12:$A$371,'Графики (2)'!D142,Credit!$C$12:$C$371)</f>
        <v>0</v>
      </c>
    </row>
    <row r="143" spans="2:11" x14ac:dyDescent="0.35">
      <c r="B143">
        <f t="shared" si="10"/>
        <v>137</v>
      </c>
      <c r="C143" s="235">
        <f t="shared" si="9"/>
        <v>11</v>
      </c>
      <c r="D143" s="238">
        <f t="shared" si="11"/>
        <v>50345</v>
      </c>
      <c r="E143" s="197"/>
      <c r="F143" s="197"/>
      <c r="G143" s="197"/>
      <c r="H143" s="197"/>
      <c r="I143" s="197"/>
      <c r="J143" s="197">
        <f>SUMIF(Credit!$A$12:$A$371,'Графики (2)'!D143,Credit!$D$12:$D$371)</f>
        <v>0</v>
      </c>
      <c r="K143">
        <f>SUMIF(Credit!$A$12:$A$371,'Графики (2)'!D143,Credit!$C$12:$C$371)</f>
        <v>0</v>
      </c>
    </row>
    <row r="144" spans="2:11" x14ac:dyDescent="0.35">
      <c r="B144">
        <f t="shared" si="10"/>
        <v>138</v>
      </c>
      <c r="C144" s="235">
        <f t="shared" si="9"/>
        <v>12</v>
      </c>
      <c r="D144" s="238">
        <f t="shared" si="11"/>
        <v>50375</v>
      </c>
      <c r="E144" s="197"/>
      <c r="F144" s="197"/>
      <c r="G144" s="197"/>
      <c r="H144" s="197"/>
      <c r="I144" s="197"/>
      <c r="J144" s="197">
        <f>SUMIF(Credit!$A$12:$A$371,'Графики (2)'!D144,Credit!$D$12:$D$371)</f>
        <v>0</v>
      </c>
      <c r="K144">
        <f>SUMIF(Credit!$A$12:$A$371,'Графики (2)'!D144,Credit!$C$12:$C$371)</f>
        <v>0</v>
      </c>
    </row>
    <row r="145" spans="2:11" x14ac:dyDescent="0.35">
      <c r="B145">
        <f t="shared" si="10"/>
        <v>139</v>
      </c>
      <c r="C145" s="235">
        <f t="shared" si="9"/>
        <v>1</v>
      </c>
      <c r="D145" s="238">
        <f t="shared" si="11"/>
        <v>50406</v>
      </c>
      <c r="E145" s="197"/>
      <c r="F145" s="197"/>
      <c r="G145" s="197"/>
      <c r="H145" s="197"/>
      <c r="I145" s="197"/>
      <c r="J145" s="197">
        <f>SUMIF(Credit!$A$12:$A$371,'Графики (2)'!D145,Credit!$D$12:$D$371)</f>
        <v>0</v>
      </c>
      <c r="K145">
        <f>SUMIF(Credit!$A$12:$A$371,'Графики (2)'!D145,Credit!$C$12:$C$371)</f>
        <v>0</v>
      </c>
    </row>
    <row r="146" spans="2:11" x14ac:dyDescent="0.35">
      <c r="B146">
        <f t="shared" si="10"/>
        <v>140</v>
      </c>
      <c r="C146" s="235">
        <f t="shared" si="9"/>
        <v>2</v>
      </c>
      <c r="D146" s="238">
        <f t="shared" si="11"/>
        <v>50437</v>
      </c>
      <c r="E146" s="197"/>
      <c r="F146" s="197"/>
      <c r="G146" s="197"/>
      <c r="H146" s="197"/>
      <c r="I146" s="197"/>
      <c r="J146" s="197">
        <f>SUMIF(Credit!$A$12:$A$371,'Графики (2)'!D146,Credit!$D$12:$D$371)</f>
        <v>0</v>
      </c>
      <c r="K146">
        <f>SUMIF(Credit!$A$12:$A$371,'Графики (2)'!D146,Credit!$C$12:$C$371)</f>
        <v>0</v>
      </c>
    </row>
    <row r="147" spans="2:11" x14ac:dyDescent="0.35">
      <c r="B147">
        <f t="shared" si="10"/>
        <v>141</v>
      </c>
      <c r="C147" s="235">
        <f t="shared" si="9"/>
        <v>3</v>
      </c>
      <c r="D147" s="238">
        <f t="shared" si="11"/>
        <v>50465</v>
      </c>
      <c r="E147" s="197"/>
      <c r="F147" s="197"/>
      <c r="G147" s="197"/>
      <c r="H147" s="197"/>
      <c r="I147" s="197"/>
      <c r="J147" s="197">
        <f>SUMIF(Credit!$A$12:$A$371,'Графики (2)'!D147,Credit!$D$12:$D$371)</f>
        <v>0</v>
      </c>
      <c r="K147">
        <f>SUMIF(Credit!$A$12:$A$371,'Графики (2)'!D147,Credit!$C$12:$C$371)</f>
        <v>0</v>
      </c>
    </row>
    <row r="148" spans="2:11" x14ac:dyDescent="0.35">
      <c r="B148">
        <f t="shared" si="10"/>
        <v>142</v>
      </c>
      <c r="C148" s="235">
        <f t="shared" si="9"/>
        <v>4</v>
      </c>
      <c r="D148" s="238">
        <f t="shared" si="11"/>
        <v>50496</v>
      </c>
      <c r="E148" s="197"/>
      <c r="F148" s="197"/>
      <c r="G148" s="197"/>
      <c r="H148" s="197"/>
      <c r="I148" s="197"/>
      <c r="J148" s="197">
        <f>SUMIF(Credit!$A$12:$A$371,'Графики (2)'!D148,Credit!$D$12:$D$371)</f>
        <v>0</v>
      </c>
      <c r="K148">
        <f>SUMIF(Credit!$A$12:$A$371,'Графики (2)'!D148,Credit!$C$12:$C$371)</f>
        <v>0</v>
      </c>
    </row>
    <row r="149" spans="2:11" x14ac:dyDescent="0.35">
      <c r="B149">
        <f t="shared" si="10"/>
        <v>143</v>
      </c>
      <c r="C149" s="235">
        <f t="shared" si="9"/>
        <v>5</v>
      </c>
      <c r="D149" s="238">
        <f t="shared" si="11"/>
        <v>50526</v>
      </c>
      <c r="E149" s="197"/>
      <c r="F149" s="197"/>
      <c r="G149" s="197"/>
      <c r="H149" s="197"/>
      <c r="I149" s="197"/>
      <c r="J149" s="197">
        <f>SUMIF(Credit!$A$12:$A$371,'Графики (2)'!D149,Credit!$D$12:$D$371)</f>
        <v>0</v>
      </c>
      <c r="K149">
        <f>SUMIF(Credit!$A$12:$A$371,'Графики (2)'!D149,Credit!$C$12:$C$371)</f>
        <v>0</v>
      </c>
    </row>
    <row r="150" spans="2:11" x14ac:dyDescent="0.35">
      <c r="B150">
        <f t="shared" si="10"/>
        <v>144</v>
      </c>
      <c r="C150" s="235">
        <f t="shared" si="9"/>
        <v>6</v>
      </c>
      <c r="D150" s="238">
        <f t="shared" si="11"/>
        <v>50557</v>
      </c>
      <c r="E150" s="197"/>
      <c r="F150" s="197"/>
      <c r="G150" s="197"/>
      <c r="H150" s="197"/>
      <c r="I150" s="197"/>
      <c r="J150" s="197">
        <f>SUMIF(Credit!$A$12:$A$371,'Графики (2)'!D150,Credit!$D$12:$D$371)</f>
        <v>0</v>
      </c>
      <c r="K150">
        <f>SUMIF(Credit!$A$12:$A$371,'Графики (2)'!D150,Credit!$C$12:$C$371)</f>
        <v>0</v>
      </c>
    </row>
    <row r="151" spans="2:11" x14ac:dyDescent="0.35">
      <c r="B151">
        <f t="shared" si="10"/>
        <v>145</v>
      </c>
      <c r="C151" s="235">
        <f t="shared" si="9"/>
        <v>7</v>
      </c>
      <c r="D151" s="238">
        <f t="shared" si="11"/>
        <v>50587</v>
      </c>
      <c r="E151" s="197"/>
      <c r="F151" s="197"/>
      <c r="G151" s="197"/>
      <c r="H151" s="197"/>
      <c r="I151" s="197"/>
      <c r="J151" s="197">
        <f>SUMIF(Credit!$A$12:$A$371,'Графики (2)'!D151,Credit!$D$12:$D$371)</f>
        <v>0</v>
      </c>
      <c r="K151">
        <f>SUMIF(Credit!$A$12:$A$371,'Графики (2)'!D151,Credit!$C$12:$C$371)</f>
        <v>0</v>
      </c>
    </row>
    <row r="152" spans="2:11" x14ac:dyDescent="0.35">
      <c r="B152">
        <f t="shared" si="10"/>
        <v>146</v>
      </c>
      <c r="C152" s="235">
        <f t="shared" si="9"/>
        <v>8</v>
      </c>
      <c r="D152" s="238">
        <f t="shared" si="11"/>
        <v>50618</v>
      </c>
      <c r="E152" s="197"/>
      <c r="F152" s="197"/>
      <c r="G152" s="197"/>
      <c r="H152" s="197"/>
      <c r="I152" s="197"/>
      <c r="J152" s="197">
        <f>SUMIF(Credit!$A$12:$A$371,'Графики (2)'!D152,Credit!$D$12:$D$371)</f>
        <v>0</v>
      </c>
      <c r="K152">
        <f>SUMIF(Credit!$A$12:$A$371,'Графики (2)'!D152,Credit!$C$12:$C$371)</f>
        <v>0</v>
      </c>
    </row>
    <row r="153" spans="2:11" x14ac:dyDescent="0.35">
      <c r="B153">
        <f t="shared" si="10"/>
        <v>147</v>
      </c>
      <c r="C153" s="235">
        <f t="shared" si="9"/>
        <v>9</v>
      </c>
      <c r="D153" s="238">
        <f t="shared" si="11"/>
        <v>50649</v>
      </c>
      <c r="E153" s="197"/>
      <c r="F153" s="197"/>
      <c r="G153" s="197"/>
      <c r="H153" s="197"/>
      <c r="I153" s="197"/>
      <c r="J153" s="197">
        <f>SUMIF(Credit!$A$12:$A$371,'Графики (2)'!D153,Credit!$D$12:$D$371)</f>
        <v>0</v>
      </c>
      <c r="K153">
        <f>SUMIF(Credit!$A$12:$A$371,'Графики (2)'!D153,Credit!$C$12:$C$371)</f>
        <v>0</v>
      </c>
    </row>
    <row r="154" spans="2:11" x14ac:dyDescent="0.35">
      <c r="B154">
        <f t="shared" si="10"/>
        <v>148</v>
      </c>
      <c r="C154" s="235">
        <f t="shared" si="9"/>
        <v>10</v>
      </c>
      <c r="D154" s="238">
        <f t="shared" si="11"/>
        <v>50679</v>
      </c>
      <c r="E154" s="197"/>
      <c r="F154" s="197"/>
      <c r="G154" s="197"/>
      <c r="H154" s="197"/>
      <c r="I154" s="197"/>
      <c r="J154" s="197">
        <f>SUMIF(Credit!$A$12:$A$371,'Графики (2)'!D154,Credit!$D$12:$D$371)</f>
        <v>0</v>
      </c>
      <c r="K154">
        <f>SUMIF(Credit!$A$12:$A$371,'Графики (2)'!D154,Credit!$C$12:$C$371)</f>
        <v>0</v>
      </c>
    </row>
    <row r="155" spans="2:11" x14ac:dyDescent="0.35">
      <c r="B155">
        <f t="shared" si="10"/>
        <v>149</v>
      </c>
      <c r="C155" s="235">
        <f t="shared" si="9"/>
        <v>11</v>
      </c>
      <c r="D155" s="238">
        <f t="shared" si="11"/>
        <v>50710</v>
      </c>
      <c r="E155" s="197"/>
      <c r="F155" s="197"/>
      <c r="G155" s="197"/>
      <c r="H155" s="197"/>
      <c r="I155" s="197"/>
      <c r="J155" s="197">
        <f>SUMIF(Credit!$A$12:$A$371,'Графики (2)'!D155,Credit!$D$12:$D$371)</f>
        <v>0</v>
      </c>
      <c r="K155">
        <f>SUMIF(Credit!$A$12:$A$371,'Графики (2)'!D155,Credit!$C$12:$C$371)</f>
        <v>0</v>
      </c>
    </row>
    <row r="156" spans="2:11" x14ac:dyDescent="0.35">
      <c r="B156">
        <f t="shared" si="10"/>
        <v>150</v>
      </c>
      <c r="C156" s="235">
        <f t="shared" si="9"/>
        <v>12</v>
      </c>
      <c r="D156" s="238">
        <f t="shared" si="11"/>
        <v>50740</v>
      </c>
      <c r="E156" s="197"/>
      <c r="F156" s="197"/>
      <c r="G156" s="197"/>
      <c r="H156" s="197"/>
      <c r="I156" s="197"/>
      <c r="J156" s="197">
        <f>SUMIF(Credit!$A$12:$A$371,'Графики (2)'!D156,Credit!$D$12:$D$371)</f>
        <v>0</v>
      </c>
      <c r="K156">
        <f>SUMIF(Credit!$A$12:$A$371,'Графики (2)'!D156,Credit!$C$12:$C$371)</f>
        <v>0</v>
      </c>
    </row>
    <row r="157" spans="2:11" x14ac:dyDescent="0.35">
      <c r="B157">
        <f t="shared" si="10"/>
        <v>151</v>
      </c>
      <c r="C157" s="235">
        <f t="shared" si="9"/>
        <v>1</v>
      </c>
      <c r="D157" s="238">
        <f t="shared" si="11"/>
        <v>50771</v>
      </c>
      <c r="E157" s="197"/>
      <c r="F157" s="197"/>
      <c r="G157" s="197"/>
      <c r="H157" s="197"/>
      <c r="I157" s="197"/>
      <c r="J157" s="197">
        <f>SUMIF(Credit!$A$12:$A$371,'Графики (2)'!D157,Credit!$D$12:$D$371)</f>
        <v>0</v>
      </c>
      <c r="K157">
        <f>SUMIF(Credit!$A$12:$A$371,'Графики (2)'!D157,Credit!$C$12:$C$371)</f>
        <v>0</v>
      </c>
    </row>
    <row r="158" spans="2:11" x14ac:dyDescent="0.35">
      <c r="B158">
        <f t="shared" si="10"/>
        <v>152</v>
      </c>
      <c r="C158" s="235">
        <f t="shared" si="9"/>
        <v>2</v>
      </c>
      <c r="D158" s="238">
        <f t="shared" si="11"/>
        <v>50802</v>
      </c>
      <c r="E158" s="197"/>
      <c r="F158" s="197"/>
      <c r="G158" s="197"/>
      <c r="H158" s="197"/>
      <c r="I158" s="197"/>
      <c r="J158" s="197">
        <f>SUMIF(Credit!$A$12:$A$371,'Графики (2)'!D158,Credit!$D$12:$D$371)</f>
        <v>0</v>
      </c>
      <c r="K158">
        <f>SUMIF(Credit!$A$12:$A$371,'Графики (2)'!D158,Credit!$C$12:$C$371)</f>
        <v>0</v>
      </c>
    </row>
    <row r="159" spans="2:11" x14ac:dyDescent="0.35">
      <c r="B159">
        <f t="shared" si="10"/>
        <v>153</v>
      </c>
      <c r="C159" s="235">
        <f t="shared" si="9"/>
        <v>3</v>
      </c>
      <c r="D159" s="238">
        <f t="shared" si="11"/>
        <v>50830</v>
      </c>
      <c r="E159" s="197"/>
      <c r="F159" s="197"/>
      <c r="G159" s="197"/>
      <c r="H159" s="197"/>
      <c r="I159" s="197"/>
      <c r="J159" s="197">
        <f>SUMIF(Credit!$A$12:$A$371,'Графики (2)'!D159,Credit!$D$12:$D$371)</f>
        <v>0</v>
      </c>
      <c r="K159">
        <f>SUMIF(Credit!$A$12:$A$371,'Графики (2)'!D159,Credit!$C$12:$C$371)</f>
        <v>0</v>
      </c>
    </row>
    <row r="160" spans="2:11" x14ac:dyDescent="0.35">
      <c r="B160">
        <f t="shared" si="10"/>
        <v>154</v>
      </c>
      <c r="C160" s="235">
        <f t="shared" si="9"/>
        <v>4</v>
      </c>
      <c r="D160" s="238">
        <f t="shared" si="11"/>
        <v>50861</v>
      </c>
      <c r="E160" s="197"/>
      <c r="F160" s="197"/>
      <c r="G160" s="197"/>
      <c r="H160" s="197"/>
      <c r="I160" s="197"/>
      <c r="J160" s="197">
        <f>SUMIF(Credit!$A$12:$A$371,'Графики (2)'!D160,Credit!$D$12:$D$371)</f>
        <v>0</v>
      </c>
      <c r="K160">
        <f>SUMIF(Credit!$A$12:$A$371,'Графики (2)'!D160,Credit!$C$12:$C$371)</f>
        <v>0</v>
      </c>
    </row>
    <row r="161" spans="2:11" x14ac:dyDescent="0.35">
      <c r="B161">
        <f t="shared" si="10"/>
        <v>155</v>
      </c>
      <c r="C161" s="235">
        <f t="shared" si="9"/>
        <v>5</v>
      </c>
      <c r="D161" s="238">
        <f t="shared" si="11"/>
        <v>50891</v>
      </c>
      <c r="E161" s="197"/>
      <c r="F161" s="197"/>
      <c r="G161" s="197"/>
      <c r="H161" s="197"/>
      <c r="I161" s="197"/>
      <c r="J161" s="197">
        <f>SUMIF(Credit!$A$12:$A$371,'Графики (2)'!D161,Credit!$D$12:$D$371)</f>
        <v>0</v>
      </c>
      <c r="K161">
        <f>SUMIF(Credit!$A$12:$A$371,'Графики (2)'!D161,Credit!$C$12:$C$371)</f>
        <v>0</v>
      </c>
    </row>
    <row r="162" spans="2:11" x14ac:dyDescent="0.35">
      <c r="B162">
        <f t="shared" si="10"/>
        <v>156</v>
      </c>
      <c r="C162" s="235">
        <f t="shared" si="9"/>
        <v>6</v>
      </c>
      <c r="D162" s="238">
        <f t="shared" si="11"/>
        <v>50922</v>
      </c>
      <c r="E162" s="197"/>
      <c r="F162" s="197"/>
      <c r="G162" s="197"/>
      <c r="H162" s="197"/>
      <c r="I162" s="197"/>
      <c r="J162" s="197">
        <f>SUMIF(Credit!$A$12:$A$371,'Графики (2)'!D162,Credit!$D$12:$D$371)</f>
        <v>0</v>
      </c>
      <c r="K162">
        <f>SUMIF(Credit!$A$12:$A$371,'Графики (2)'!D162,Credit!$C$12:$C$371)</f>
        <v>0</v>
      </c>
    </row>
    <row r="163" spans="2:11" x14ac:dyDescent="0.35">
      <c r="B163">
        <f t="shared" si="10"/>
        <v>157</v>
      </c>
      <c r="C163" s="235">
        <f t="shared" si="9"/>
        <v>7</v>
      </c>
      <c r="D163" s="238">
        <f t="shared" si="11"/>
        <v>50952</v>
      </c>
      <c r="E163" s="197"/>
      <c r="F163" s="197"/>
      <c r="G163" s="197"/>
      <c r="H163" s="197"/>
      <c r="I163" s="197"/>
      <c r="J163" s="197">
        <f>SUMIF(Credit!$A$12:$A$371,'Графики (2)'!D163,Credit!$D$12:$D$371)</f>
        <v>0</v>
      </c>
      <c r="K163">
        <f>SUMIF(Credit!$A$12:$A$371,'Графики (2)'!D163,Credit!$C$12:$C$371)</f>
        <v>0</v>
      </c>
    </row>
    <row r="164" spans="2:11" x14ac:dyDescent="0.35">
      <c r="B164">
        <f t="shared" si="10"/>
        <v>158</v>
      </c>
      <c r="C164" s="235">
        <f t="shared" si="9"/>
        <v>8</v>
      </c>
      <c r="D164" s="238">
        <f t="shared" si="11"/>
        <v>50983</v>
      </c>
      <c r="E164" s="197"/>
      <c r="F164" s="197"/>
      <c r="G164" s="197"/>
      <c r="H164" s="197"/>
      <c r="I164" s="197"/>
      <c r="J164" s="197">
        <f>SUMIF(Credit!$A$12:$A$371,'Графики (2)'!D164,Credit!$D$12:$D$371)</f>
        <v>0</v>
      </c>
      <c r="K164">
        <f>SUMIF(Credit!$A$12:$A$371,'Графики (2)'!D164,Credit!$C$12:$C$371)</f>
        <v>0</v>
      </c>
    </row>
    <row r="165" spans="2:11" x14ac:dyDescent="0.35">
      <c r="B165">
        <f t="shared" si="10"/>
        <v>159</v>
      </c>
      <c r="C165" s="235">
        <f t="shared" si="9"/>
        <v>9</v>
      </c>
      <c r="D165" s="238">
        <f t="shared" si="11"/>
        <v>51014</v>
      </c>
      <c r="E165" s="197"/>
      <c r="F165" s="197"/>
      <c r="G165" s="197"/>
      <c r="H165" s="197"/>
      <c r="I165" s="197"/>
      <c r="J165" s="197">
        <f>SUMIF(Credit!$A$12:$A$371,'Графики (2)'!D165,Credit!$D$12:$D$371)</f>
        <v>0</v>
      </c>
      <c r="K165">
        <f>SUMIF(Credit!$A$12:$A$371,'Графики (2)'!D165,Credit!$C$12:$C$371)</f>
        <v>0</v>
      </c>
    </row>
    <row r="166" spans="2:11" x14ac:dyDescent="0.35">
      <c r="B166">
        <f t="shared" si="10"/>
        <v>160</v>
      </c>
      <c r="C166" s="235">
        <f t="shared" si="9"/>
        <v>10</v>
      </c>
      <c r="D166" s="238">
        <f t="shared" si="11"/>
        <v>51044</v>
      </c>
      <c r="E166" s="197"/>
      <c r="F166" s="197"/>
      <c r="G166" s="197"/>
      <c r="H166" s="197"/>
      <c r="I166" s="197"/>
      <c r="J166" s="197">
        <f>SUMIF(Credit!$A$12:$A$371,'Графики (2)'!D166,Credit!$D$12:$D$371)</f>
        <v>0</v>
      </c>
      <c r="K166">
        <f>SUMIF(Credit!$A$12:$A$371,'Графики (2)'!D166,Credit!$C$12:$C$371)</f>
        <v>0</v>
      </c>
    </row>
    <row r="167" spans="2:11" x14ac:dyDescent="0.35">
      <c r="B167">
        <f t="shared" si="10"/>
        <v>161</v>
      </c>
      <c r="C167" s="235">
        <f t="shared" si="9"/>
        <v>11</v>
      </c>
      <c r="D167" s="238">
        <f t="shared" si="11"/>
        <v>51075</v>
      </c>
      <c r="E167" s="197"/>
      <c r="F167" s="197"/>
      <c r="G167" s="197"/>
      <c r="H167" s="197"/>
      <c r="I167" s="197"/>
      <c r="J167" s="197">
        <f>SUMIF(Credit!$A$12:$A$371,'Графики (2)'!D167,Credit!$D$12:$D$371)</f>
        <v>0</v>
      </c>
      <c r="K167">
        <f>SUMIF(Credit!$A$12:$A$371,'Графики (2)'!D167,Credit!$C$12:$C$371)</f>
        <v>0</v>
      </c>
    </row>
    <row r="168" spans="2:11" x14ac:dyDescent="0.35">
      <c r="B168">
        <f t="shared" si="10"/>
        <v>162</v>
      </c>
      <c r="C168" s="235">
        <f t="shared" si="9"/>
        <v>12</v>
      </c>
      <c r="D168" s="238">
        <f t="shared" si="11"/>
        <v>51105</v>
      </c>
      <c r="E168" s="197"/>
      <c r="F168" s="197"/>
      <c r="G168" s="197"/>
      <c r="H168" s="197"/>
      <c r="I168" s="197"/>
      <c r="J168" s="197">
        <f>SUMIF(Credit!$A$12:$A$371,'Графики (2)'!D168,Credit!$D$12:$D$371)</f>
        <v>0</v>
      </c>
      <c r="K168">
        <f>SUMIF(Credit!$A$12:$A$371,'Графики (2)'!D168,Credit!$C$12:$C$371)</f>
        <v>0</v>
      </c>
    </row>
    <row r="169" spans="2:11" x14ac:dyDescent="0.35">
      <c r="B169">
        <f t="shared" si="10"/>
        <v>163</v>
      </c>
      <c r="C169" s="235">
        <f t="shared" si="9"/>
        <v>1</v>
      </c>
      <c r="D169" s="238">
        <f t="shared" si="11"/>
        <v>51136</v>
      </c>
      <c r="E169" s="197"/>
      <c r="F169" s="197"/>
      <c r="G169" s="197"/>
      <c r="H169" s="197"/>
      <c r="I169" s="197"/>
      <c r="J169" s="197">
        <f>SUMIF(Credit!$A$12:$A$371,'Графики (2)'!D169,Credit!$D$12:$D$371)</f>
        <v>0</v>
      </c>
      <c r="K169">
        <f>SUMIF(Credit!$A$12:$A$371,'Графики (2)'!D169,Credit!$C$12:$C$371)</f>
        <v>0</v>
      </c>
    </row>
    <row r="170" spans="2:11" x14ac:dyDescent="0.35">
      <c r="B170">
        <f t="shared" si="10"/>
        <v>164</v>
      </c>
      <c r="C170" s="235">
        <f t="shared" si="9"/>
        <v>2</v>
      </c>
      <c r="D170" s="238">
        <f t="shared" si="11"/>
        <v>51167</v>
      </c>
      <c r="E170" s="197"/>
      <c r="F170" s="197"/>
      <c r="G170" s="197"/>
      <c r="H170" s="197"/>
      <c r="I170" s="197"/>
      <c r="J170" s="197">
        <f>SUMIF(Credit!$A$12:$A$371,'Графики (2)'!D170,Credit!$D$12:$D$371)</f>
        <v>0</v>
      </c>
      <c r="K170">
        <f>SUMIF(Credit!$A$12:$A$371,'Графики (2)'!D170,Credit!$C$12:$C$371)</f>
        <v>0</v>
      </c>
    </row>
    <row r="171" spans="2:11" x14ac:dyDescent="0.35">
      <c r="B171">
        <f t="shared" si="10"/>
        <v>165</v>
      </c>
      <c r="C171" s="235">
        <f t="shared" si="9"/>
        <v>3</v>
      </c>
      <c r="D171" s="238">
        <f t="shared" si="11"/>
        <v>51196</v>
      </c>
      <c r="E171" s="197"/>
      <c r="F171" s="197"/>
      <c r="G171" s="197"/>
      <c r="H171" s="197"/>
      <c r="I171" s="197"/>
      <c r="J171" s="197">
        <f>SUMIF(Credit!$A$12:$A$371,'Графики (2)'!D171,Credit!$D$12:$D$371)</f>
        <v>0</v>
      </c>
      <c r="K171">
        <f>SUMIF(Credit!$A$12:$A$371,'Графики (2)'!D171,Credit!$C$12:$C$371)</f>
        <v>0</v>
      </c>
    </row>
    <row r="172" spans="2:11" x14ac:dyDescent="0.35">
      <c r="B172">
        <f t="shared" si="10"/>
        <v>166</v>
      </c>
      <c r="C172" s="235">
        <f t="shared" si="9"/>
        <v>4</v>
      </c>
      <c r="D172" s="238">
        <f t="shared" si="11"/>
        <v>51227</v>
      </c>
      <c r="E172" s="197"/>
      <c r="F172" s="197"/>
      <c r="G172" s="197"/>
      <c r="H172" s="197"/>
      <c r="I172" s="197"/>
      <c r="J172" s="197">
        <f>SUMIF(Credit!$A$12:$A$371,'Графики (2)'!D172,Credit!$D$12:$D$371)</f>
        <v>0</v>
      </c>
      <c r="K172">
        <f>SUMIF(Credit!$A$12:$A$371,'Графики (2)'!D172,Credit!$C$12:$C$371)</f>
        <v>0</v>
      </c>
    </row>
    <row r="173" spans="2:11" x14ac:dyDescent="0.35">
      <c r="B173">
        <f t="shared" si="10"/>
        <v>167</v>
      </c>
      <c r="C173" s="235">
        <f t="shared" si="9"/>
        <v>5</v>
      </c>
      <c r="D173" s="238">
        <f t="shared" si="11"/>
        <v>51257</v>
      </c>
      <c r="E173" s="197"/>
      <c r="F173" s="197"/>
      <c r="G173" s="197"/>
      <c r="H173" s="197"/>
      <c r="I173" s="197"/>
      <c r="J173" s="197">
        <f>SUMIF(Credit!$A$12:$A$371,'Графики (2)'!D173,Credit!$D$12:$D$371)</f>
        <v>0</v>
      </c>
      <c r="K173">
        <f>SUMIF(Credit!$A$12:$A$371,'Графики (2)'!D173,Credit!$C$12:$C$371)</f>
        <v>0</v>
      </c>
    </row>
    <row r="174" spans="2:11" x14ac:dyDescent="0.35">
      <c r="B174">
        <f t="shared" si="10"/>
        <v>168</v>
      </c>
      <c r="C174" s="235">
        <f t="shared" si="9"/>
        <v>6</v>
      </c>
      <c r="D174" s="238">
        <f t="shared" si="11"/>
        <v>51288</v>
      </c>
      <c r="E174" s="197"/>
      <c r="F174" s="197"/>
      <c r="G174" s="197"/>
      <c r="H174" s="197"/>
      <c r="I174" s="197"/>
      <c r="J174" s="197">
        <f>SUMIF(Credit!$A$12:$A$371,'Графики (2)'!D174,Credit!$D$12:$D$371)</f>
        <v>0</v>
      </c>
      <c r="K174">
        <f>SUMIF(Credit!$A$12:$A$371,'Графики (2)'!D174,Credit!$C$12:$C$371)</f>
        <v>0</v>
      </c>
    </row>
    <row r="175" spans="2:11" x14ac:dyDescent="0.35">
      <c r="B175">
        <f t="shared" si="10"/>
        <v>169</v>
      </c>
      <c r="C175" s="235">
        <f t="shared" si="9"/>
        <v>7</v>
      </c>
      <c r="D175" s="238">
        <f t="shared" si="11"/>
        <v>51318</v>
      </c>
      <c r="E175" s="197"/>
      <c r="F175" s="197"/>
      <c r="G175" s="197"/>
      <c r="H175" s="197"/>
      <c r="I175" s="197"/>
      <c r="J175" s="197">
        <f>SUMIF(Credit!$A$12:$A$371,'Графики (2)'!D175,Credit!$D$12:$D$371)</f>
        <v>0</v>
      </c>
      <c r="K175">
        <f>SUMIF(Credit!$A$12:$A$371,'Графики (2)'!D175,Credit!$C$12:$C$371)</f>
        <v>0</v>
      </c>
    </row>
    <row r="176" spans="2:11" x14ac:dyDescent="0.35">
      <c r="B176">
        <f t="shared" si="10"/>
        <v>170</v>
      </c>
      <c r="C176" s="235">
        <f t="shared" si="9"/>
        <v>8</v>
      </c>
      <c r="D176" s="238">
        <f t="shared" si="11"/>
        <v>51349</v>
      </c>
      <c r="E176" s="197"/>
      <c r="F176" s="197"/>
      <c r="G176" s="197"/>
      <c r="H176" s="197"/>
      <c r="I176" s="197"/>
      <c r="J176" s="197">
        <f>SUMIF(Credit!$A$12:$A$371,'Графики (2)'!D176,Credit!$D$12:$D$371)</f>
        <v>0</v>
      </c>
      <c r="K176">
        <f>SUMIF(Credit!$A$12:$A$371,'Графики (2)'!D176,Credit!$C$12:$C$371)</f>
        <v>0</v>
      </c>
    </row>
    <row r="177" spans="2:11" x14ac:dyDescent="0.35">
      <c r="B177">
        <f t="shared" si="10"/>
        <v>171</v>
      </c>
      <c r="C177" s="235">
        <f t="shared" si="9"/>
        <v>9</v>
      </c>
      <c r="D177" s="238">
        <f t="shared" si="11"/>
        <v>51380</v>
      </c>
      <c r="E177" s="197"/>
      <c r="F177" s="197"/>
      <c r="G177" s="197"/>
      <c r="H177" s="197"/>
      <c r="I177" s="197"/>
      <c r="J177" s="197">
        <f>SUMIF(Credit!$A$12:$A$371,'Графики (2)'!D177,Credit!$D$12:$D$371)</f>
        <v>0</v>
      </c>
      <c r="K177">
        <f>SUMIF(Credit!$A$12:$A$371,'Графики (2)'!D177,Credit!$C$12:$C$371)</f>
        <v>0</v>
      </c>
    </row>
    <row r="178" spans="2:11" x14ac:dyDescent="0.35">
      <c r="B178">
        <f t="shared" si="10"/>
        <v>172</v>
      </c>
      <c r="C178" s="235">
        <f t="shared" si="9"/>
        <v>10</v>
      </c>
      <c r="D178" s="238">
        <f t="shared" si="11"/>
        <v>51410</v>
      </c>
      <c r="E178" s="197"/>
      <c r="F178" s="197"/>
      <c r="G178" s="197"/>
      <c r="H178" s="197"/>
      <c r="I178" s="197"/>
      <c r="J178" s="197">
        <f>SUMIF(Credit!$A$12:$A$371,'Графики (2)'!D178,Credit!$D$12:$D$371)</f>
        <v>0</v>
      </c>
      <c r="K178">
        <f>SUMIF(Credit!$A$12:$A$371,'Графики (2)'!D178,Credit!$C$12:$C$371)</f>
        <v>0</v>
      </c>
    </row>
    <row r="179" spans="2:11" x14ac:dyDescent="0.35">
      <c r="B179">
        <f t="shared" si="10"/>
        <v>173</v>
      </c>
      <c r="C179" s="235">
        <f t="shared" si="9"/>
        <v>11</v>
      </c>
      <c r="D179" s="238">
        <f t="shared" si="11"/>
        <v>51441</v>
      </c>
      <c r="E179" s="197"/>
      <c r="F179" s="197"/>
      <c r="G179" s="197"/>
      <c r="H179" s="197"/>
      <c r="I179" s="197"/>
      <c r="J179" s="197">
        <f>SUMIF(Credit!$A$12:$A$371,'Графики (2)'!D179,Credit!$D$12:$D$371)</f>
        <v>0</v>
      </c>
      <c r="K179">
        <f>SUMIF(Credit!$A$12:$A$371,'Графики (2)'!D179,Credit!$C$12:$C$371)</f>
        <v>0</v>
      </c>
    </row>
    <row r="180" spans="2:11" x14ac:dyDescent="0.35">
      <c r="B180">
        <f t="shared" si="10"/>
        <v>174</v>
      </c>
      <c r="C180" s="235">
        <f t="shared" si="9"/>
        <v>12</v>
      </c>
      <c r="D180" s="238">
        <f t="shared" si="11"/>
        <v>51471</v>
      </c>
      <c r="E180" s="197"/>
      <c r="F180" s="197"/>
      <c r="G180" s="197"/>
      <c r="H180" s="197"/>
      <c r="I180" s="197"/>
      <c r="J180" s="197">
        <f>SUMIF(Credit!$A$12:$A$371,'Графики (2)'!D180,Credit!$D$12:$D$371)</f>
        <v>0</v>
      </c>
      <c r="K180">
        <f>SUMIF(Credit!$A$12:$A$371,'Графики (2)'!D180,Credit!$C$12:$C$371)</f>
        <v>0</v>
      </c>
    </row>
    <row r="181" spans="2:11" x14ac:dyDescent="0.35">
      <c r="B181">
        <f t="shared" si="10"/>
        <v>175</v>
      </c>
      <c r="C181" s="235">
        <f t="shared" si="9"/>
        <v>1</v>
      </c>
      <c r="D181" s="238">
        <f t="shared" si="11"/>
        <v>51502</v>
      </c>
      <c r="E181" s="197"/>
      <c r="F181" s="197"/>
      <c r="G181" s="197"/>
      <c r="H181" s="197"/>
      <c r="I181" s="197"/>
      <c r="J181" s="197">
        <f>SUMIF(Credit!$A$12:$A$371,'Графики (2)'!D181,Credit!$D$12:$D$371)</f>
        <v>0</v>
      </c>
      <c r="K181">
        <f>SUMIF(Credit!$A$12:$A$371,'Графики (2)'!D181,Credit!$C$12:$C$371)</f>
        <v>0</v>
      </c>
    </row>
    <row r="182" spans="2:11" x14ac:dyDescent="0.35">
      <c r="B182">
        <f t="shared" si="10"/>
        <v>176</v>
      </c>
      <c r="C182" s="235">
        <f t="shared" si="9"/>
        <v>2</v>
      </c>
      <c r="D182" s="238">
        <f t="shared" si="11"/>
        <v>51533</v>
      </c>
      <c r="E182" s="197"/>
      <c r="F182" s="197"/>
      <c r="G182" s="197"/>
      <c r="H182" s="197"/>
      <c r="I182" s="197"/>
      <c r="J182" s="197">
        <f>SUMIF(Credit!$A$12:$A$371,'Графики (2)'!D182,Credit!$D$12:$D$371)</f>
        <v>0</v>
      </c>
      <c r="K182">
        <f>SUMIF(Credit!$A$12:$A$371,'Графики (2)'!D182,Credit!$C$12:$C$371)</f>
        <v>0</v>
      </c>
    </row>
    <row r="183" spans="2:11" x14ac:dyDescent="0.35">
      <c r="B183">
        <f t="shared" si="10"/>
        <v>177</v>
      </c>
      <c r="C183" s="235">
        <f t="shared" si="9"/>
        <v>3</v>
      </c>
      <c r="D183" s="238">
        <f t="shared" si="11"/>
        <v>51561</v>
      </c>
      <c r="E183" s="197"/>
      <c r="F183" s="197"/>
      <c r="G183" s="197"/>
      <c r="H183" s="197"/>
      <c r="I183" s="197"/>
      <c r="J183" s="197">
        <f>SUMIF(Credit!$A$12:$A$371,'Графики (2)'!D183,Credit!$D$12:$D$371)</f>
        <v>0</v>
      </c>
      <c r="K183">
        <f>SUMIF(Credit!$A$12:$A$371,'Графики (2)'!D183,Credit!$C$12:$C$371)</f>
        <v>0</v>
      </c>
    </row>
    <row r="184" spans="2:11" x14ac:dyDescent="0.35">
      <c r="B184">
        <f t="shared" si="10"/>
        <v>178</v>
      </c>
      <c r="C184" s="235">
        <f t="shared" si="9"/>
        <v>4</v>
      </c>
      <c r="D184" s="238">
        <f t="shared" si="11"/>
        <v>51592</v>
      </c>
      <c r="E184" s="197"/>
      <c r="F184" s="197"/>
      <c r="G184" s="197"/>
      <c r="H184" s="197"/>
      <c r="I184" s="197"/>
      <c r="J184" s="197">
        <f>SUMIF(Credit!$A$12:$A$371,'Графики (2)'!D184,Credit!$D$12:$D$371)</f>
        <v>0</v>
      </c>
      <c r="K184">
        <f>SUMIF(Credit!$A$12:$A$371,'Графики (2)'!D184,Credit!$C$12:$C$371)</f>
        <v>0</v>
      </c>
    </row>
    <row r="185" spans="2:11" x14ac:dyDescent="0.35">
      <c r="B185">
        <f t="shared" si="10"/>
        <v>179</v>
      </c>
      <c r="C185" s="235">
        <f t="shared" si="9"/>
        <v>5</v>
      </c>
      <c r="D185" s="238">
        <f t="shared" si="11"/>
        <v>51622</v>
      </c>
      <c r="E185" s="197"/>
      <c r="F185" s="197"/>
      <c r="G185" s="197"/>
      <c r="H185" s="197"/>
      <c r="I185" s="197"/>
      <c r="J185" s="197">
        <f>SUMIF(Credit!$A$12:$A$371,'Графики (2)'!D185,Credit!$D$12:$D$371)</f>
        <v>0</v>
      </c>
      <c r="K185">
        <f>SUMIF(Credit!$A$12:$A$371,'Графики (2)'!D185,Credit!$C$12:$C$371)</f>
        <v>0</v>
      </c>
    </row>
    <row r="186" spans="2:11" x14ac:dyDescent="0.35">
      <c r="B186">
        <f t="shared" si="10"/>
        <v>180</v>
      </c>
      <c r="C186" s="235">
        <f t="shared" si="9"/>
        <v>6</v>
      </c>
      <c r="D186" s="238">
        <f t="shared" si="11"/>
        <v>51653</v>
      </c>
      <c r="E186" s="197"/>
      <c r="F186" s="197"/>
      <c r="G186" s="197"/>
      <c r="H186" s="197"/>
      <c r="I186" s="197"/>
      <c r="J186" s="197">
        <f>SUMIF(Credit!$A$12:$A$371,'Графики (2)'!D186,Credit!$D$12:$D$371)</f>
        <v>0</v>
      </c>
      <c r="K186">
        <f>SUMIF(Credit!$A$12:$A$371,'Графики (2)'!D186,Credit!$C$12:$C$371)</f>
        <v>0</v>
      </c>
    </row>
    <row r="187" spans="2:11" x14ac:dyDescent="0.35">
      <c r="B187">
        <f t="shared" si="10"/>
        <v>181</v>
      </c>
      <c r="C187" s="235">
        <f t="shared" si="9"/>
        <v>7</v>
      </c>
      <c r="D187" s="238">
        <f t="shared" si="11"/>
        <v>51683</v>
      </c>
      <c r="E187" s="197"/>
      <c r="F187" s="197"/>
      <c r="G187" s="197"/>
      <c r="H187" s="197"/>
      <c r="I187" s="197"/>
      <c r="J187" s="197">
        <f>SUMIF(Credit!$A$12:$A$371,'Графики (2)'!D187,Credit!$D$12:$D$371)</f>
        <v>0</v>
      </c>
      <c r="K187">
        <f>SUMIF(Credit!$A$12:$A$371,'Графики (2)'!D187,Credit!$C$12:$C$371)</f>
        <v>0</v>
      </c>
    </row>
    <row r="188" spans="2:11" x14ac:dyDescent="0.35">
      <c r="B188">
        <f t="shared" si="10"/>
        <v>182</v>
      </c>
      <c r="C188" s="235">
        <f t="shared" si="9"/>
        <v>8</v>
      </c>
      <c r="D188" s="238">
        <f t="shared" si="11"/>
        <v>51714</v>
      </c>
      <c r="E188" s="197"/>
      <c r="F188" s="197"/>
      <c r="G188" s="197"/>
      <c r="H188" s="197"/>
      <c r="I188" s="197"/>
      <c r="J188" s="197">
        <f>SUMIF(Credit!$A$12:$A$371,'Графики (2)'!D188,Credit!$D$12:$D$371)</f>
        <v>0</v>
      </c>
      <c r="K188">
        <f>SUMIF(Credit!$A$12:$A$371,'Графики (2)'!D188,Credit!$C$12:$C$371)</f>
        <v>0</v>
      </c>
    </row>
    <row r="189" spans="2:11" x14ac:dyDescent="0.35">
      <c r="B189">
        <f t="shared" si="10"/>
        <v>183</v>
      </c>
      <c r="C189" s="235">
        <f t="shared" si="9"/>
        <v>9</v>
      </c>
      <c r="D189" s="238">
        <f t="shared" si="11"/>
        <v>51745</v>
      </c>
      <c r="E189" s="197"/>
      <c r="F189" s="197"/>
      <c r="G189" s="197"/>
      <c r="H189" s="197"/>
      <c r="I189" s="197"/>
      <c r="J189" s="197">
        <f>SUMIF(Credit!$A$12:$A$371,'Графики (2)'!D189,Credit!$D$12:$D$371)</f>
        <v>0</v>
      </c>
      <c r="K189">
        <f>SUMIF(Credit!$A$12:$A$371,'Графики (2)'!D189,Credit!$C$12:$C$371)</f>
        <v>0</v>
      </c>
    </row>
    <row r="190" spans="2:11" x14ac:dyDescent="0.35">
      <c r="B190">
        <f t="shared" si="10"/>
        <v>184</v>
      </c>
      <c r="C190" s="235">
        <f t="shared" si="9"/>
        <v>10</v>
      </c>
      <c r="D190" s="238">
        <f t="shared" si="11"/>
        <v>51775</v>
      </c>
      <c r="E190" s="197"/>
      <c r="F190" s="197"/>
      <c r="G190" s="197"/>
      <c r="H190" s="197"/>
      <c r="I190" s="197"/>
      <c r="J190" s="197">
        <f>SUMIF(Credit!$A$12:$A$371,'Графики (2)'!D190,Credit!$D$12:$D$371)</f>
        <v>0</v>
      </c>
      <c r="K190">
        <f>SUMIF(Credit!$A$12:$A$371,'Графики (2)'!D190,Credit!$C$12:$C$371)</f>
        <v>0</v>
      </c>
    </row>
    <row r="191" spans="2:11" x14ac:dyDescent="0.35">
      <c r="B191">
        <f t="shared" si="10"/>
        <v>185</v>
      </c>
      <c r="C191" s="235">
        <f t="shared" si="9"/>
        <v>11</v>
      </c>
      <c r="D191" s="238">
        <f t="shared" si="11"/>
        <v>51806</v>
      </c>
      <c r="E191" s="197"/>
      <c r="F191" s="197"/>
      <c r="G191" s="197"/>
      <c r="H191" s="197"/>
      <c r="I191" s="197"/>
      <c r="J191" s="197">
        <f>SUMIF(Credit!$A$12:$A$371,'Графики (2)'!D191,Credit!$D$12:$D$371)</f>
        <v>0</v>
      </c>
      <c r="K191">
        <f>SUMIF(Credit!$A$12:$A$371,'Графики (2)'!D191,Credit!$C$12:$C$371)</f>
        <v>0</v>
      </c>
    </row>
    <row r="192" spans="2:11" x14ac:dyDescent="0.35">
      <c r="B192">
        <f t="shared" si="10"/>
        <v>186</v>
      </c>
      <c r="C192" s="235">
        <f t="shared" si="9"/>
        <v>12</v>
      </c>
      <c r="D192" s="238">
        <f t="shared" si="11"/>
        <v>51836</v>
      </c>
      <c r="E192" s="197"/>
      <c r="F192" s="197"/>
      <c r="G192" s="197"/>
      <c r="H192" s="197"/>
      <c r="I192" s="197"/>
      <c r="J192" s="197">
        <f>SUMIF(Credit!$A$12:$A$371,'Графики (2)'!D192,Credit!$D$12:$D$371)</f>
        <v>0</v>
      </c>
      <c r="K192">
        <f>SUMIF(Credit!$A$12:$A$371,'Графики (2)'!D192,Credit!$C$12:$C$371)</f>
        <v>0</v>
      </c>
    </row>
    <row r="193" spans="2:11" x14ac:dyDescent="0.35">
      <c r="B193">
        <f t="shared" si="10"/>
        <v>187</v>
      </c>
      <c r="C193" s="235">
        <f t="shared" si="9"/>
        <v>1</v>
      </c>
      <c r="D193" s="238">
        <f t="shared" si="11"/>
        <v>51867</v>
      </c>
      <c r="E193" s="197"/>
      <c r="F193" s="197"/>
      <c r="G193" s="197"/>
      <c r="H193" s="197"/>
      <c r="I193" s="197"/>
      <c r="J193" s="197">
        <f>SUMIF(Credit!$A$12:$A$371,'Графики (2)'!D193,Credit!$D$12:$D$371)</f>
        <v>0</v>
      </c>
      <c r="K193">
        <f>SUMIF(Credit!$A$12:$A$371,'Графики (2)'!D193,Credit!$C$12:$C$371)</f>
        <v>0</v>
      </c>
    </row>
    <row r="194" spans="2:11" x14ac:dyDescent="0.35">
      <c r="B194">
        <f t="shared" si="10"/>
        <v>188</v>
      </c>
      <c r="C194" s="235">
        <f t="shared" si="9"/>
        <v>2</v>
      </c>
      <c r="D194" s="238">
        <f t="shared" si="11"/>
        <v>51898</v>
      </c>
      <c r="E194" s="197"/>
      <c r="F194" s="197"/>
      <c r="G194" s="197"/>
      <c r="H194" s="197"/>
      <c r="I194" s="197"/>
      <c r="J194" s="197">
        <f>SUMIF(Credit!$A$12:$A$371,'Графики (2)'!D194,Credit!$D$12:$D$371)</f>
        <v>0</v>
      </c>
      <c r="K194">
        <f>SUMIF(Credit!$A$12:$A$371,'Графики (2)'!D194,Credit!$C$12:$C$371)</f>
        <v>0</v>
      </c>
    </row>
    <row r="195" spans="2:11" x14ac:dyDescent="0.35">
      <c r="B195">
        <f t="shared" si="10"/>
        <v>189</v>
      </c>
      <c r="C195" s="235">
        <f t="shared" si="9"/>
        <v>3</v>
      </c>
      <c r="D195" s="238">
        <f t="shared" si="11"/>
        <v>51926</v>
      </c>
      <c r="E195" s="197"/>
      <c r="F195" s="197"/>
      <c r="G195" s="197"/>
      <c r="H195" s="197"/>
      <c r="I195" s="197"/>
      <c r="J195" s="197">
        <f>SUMIF(Credit!$A$12:$A$371,'Графики (2)'!D195,Credit!$D$12:$D$371)</f>
        <v>0</v>
      </c>
      <c r="K195">
        <f>SUMIF(Credit!$A$12:$A$371,'Графики (2)'!D195,Credit!$C$12:$C$371)</f>
        <v>0</v>
      </c>
    </row>
    <row r="196" spans="2:11" x14ac:dyDescent="0.35">
      <c r="B196">
        <f t="shared" si="10"/>
        <v>190</v>
      </c>
      <c r="C196" s="235">
        <f t="shared" si="9"/>
        <v>4</v>
      </c>
      <c r="D196" s="238">
        <f t="shared" si="11"/>
        <v>51957</v>
      </c>
      <c r="E196" s="197"/>
      <c r="F196" s="197"/>
      <c r="G196" s="197"/>
      <c r="H196" s="197"/>
      <c r="I196" s="197"/>
      <c r="J196" s="197">
        <f>SUMIF(Credit!$A$12:$A$371,'Графики (2)'!D196,Credit!$D$12:$D$371)</f>
        <v>0</v>
      </c>
      <c r="K196">
        <f>SUMIF(Credit!$A$12:$A$371,'Графики (2)'!D196,Credit!$C$12:$C$371)</f>
        <v>0</v>
      </c>
    </row>
    <row r="197" spans="2:11" x14ac:dyDescent="0.35">
      <c r="B197">
        <f t="shared" si="10"/>
        <v>191</v>
      </c>
      <c r="C197" s="235">
        <f t="shared" si="9"/>
        <v>5</v>
      </c>
      <c r="D197" s="238">
        <f t="shared" si="11"/>
        <v>51987</v>
      </c>
      <c r="E197" s="197"/>
      <c r="F197" s="197"/>
      <c r="G197" s="197"/>
      <c r="H197" s="197"/>
      <c r="I197" s="197"/>
      <c r="J197" s="197">
        <f>SUMIF(Credit!$A$12:$A$371,'Графики (2)'!D197,Credit!$D$12:$D$371)</f>
        <v>0</v>
      </c>
      <c r="K197">
        <f>SUMIF(Credit!$A$12:$A$371,'Графики (2)'!D197,Credit!$C$12:$C$371)</f>
        <v>0</v>
      </c>
    </row>
    <row r="198" spans="2:11" x14ac:dyDescent="0.35">
      <c r="B198">
        <f t="shared" si="10"/>
        <v>192</v>
      </c>
      <c r="C198" s="235">
        <f t="shared" si="9"/>
        <v>6</v>
      </c>
      <c r="D198" s="238">
        <f t="shared" si="11"/>
        <v>52018</v>
      </c>
      <c r="E198" s="197"/>
      <c r="F198" s="197"/>
      <c r="G198" s="197"/>
      <c r="H198" s="197"/>
      <c r="I198" s="197"/>
      <c r="J198" s="197">
        <f>SUMIF(Credit!$A$12:$A$371,'Графики (2)'!D198,Credit!$D$12:$D$371)</f>
        <v>0</v>
      </c>
      <c r="K198">
        <f>SUMIF(Credit!$A$12:$A$371,'Графики (2)'!D198,Credit!$C$12:$C$371)</f>
        <v>0</v>
      </c>
    </row>
    <row r="199" spans="2:11" x14ac:dyDescent="0.35">
      <c r="B199">
        <f t="shared" si="10"/>
        <v>193</v>
      </c>
      <c r="C199" s="235">
        <f t="shared" ref="C199:C262" si="12">MONTH(D199)</f>
        <v>7</v>
      </c>
      <c r="D199" s="238">
        <f t="shared" si="11"/>
        <v>52048</v>
      </c>
      <c r="E199" s="197"/>
      <c r="F199" s="197"/>
      <c r="G199" s="197"/>
      <c r="H199" s="197"/>
      <c r="I199" s="197"/>
      <c r="J199" s="197">
        <f>SUMIF(Credit!$A$12:$A$371,'Графики (2)'!D199,Credit!$D$12:$D$371)</f>
        <v>0</v>
      </c>
      <c r="K199">
        <f>SUMIF(Credit!$A$12:$A$371,'Графики (2)'!D199,Credit!$C$12:$C$371)</f>
        <v>0</v>
      </c>
    </row>
    <row r="200" spans="2:11" x14ac:dyDescent="0.35">
      <c r="B200">
        <f t="shared" ref="B200:B263" si="13">B199+1</f>
        <v>194</v>
      </c>
      <c r="C200" s="235">
        <f t="shared" si="12"/>
        <v>8</v>
      </c>
      <c r="D200" s="238">
        <f t="shared" ref="D200:D263" si="14">EDATE(D199,1)</f>
        <v>52079</v>
      </c>
      <c r="E200" s="197"/>
      <c r="F200" s="197"/>
      <c r="G200" s="197"/>
      <c r="H200" s="197"/>
      <c r="I200" s="197"/>
      <c r="J200" s="197">
        <f>SUMIF(Credit!$A$12:$A$371,'Графики (2)'!D200,Credit!$D$12:$D$371)</f>
        <v>0</v>
      </c>
      <c r="K200">
        <f>SUMIF(Credit!$A$12:$A$371,'Графики (2)'!D200,Credit!$C$12:$C$371)</f>
        <v>0</v>
      </c>
    </row>
    <row r="201" spans="2:11" x14ac:dyDescent="0.35">
      <c r="B201">
        <f t="shared" si="13"/>
        <v>195</v>
      </c>
      <c r="C201" s="235">
        <f t="shared" si="12"/>
        <v>9</v>
      </c>
      <c r="D201" s="238">
        <f t="shared" si="14"/>
        <v>52110</v>
      </c>
      <c r="E201" s="197"/>
      <c r="F201" s="197"/>
      <c r="G201" s="197"/>
      <c r="H201" s="197"/>
      <c r="I201" s="197"/>
      <c r="J201" s="197">
        <f>SUMIF(Credit!$A$12:$A$371,'Графики (2)'!D201,Credit!$D$12:$D$371)</f>
        <v>0</v>
      </c>
      <c r="K201">
        <f>SUMIF(Credit!$A$12:$A$371,'Графики (2)'!D201,Credit!$C$12:$C$371)</f>
        <v>0</v>
      </c>
    </row>
    <row r="202" spans="2:11" x14ac:dyDescent="0.35">
      <c r="B202">
        <f t="shared" si="13"/>
        <v>196</v>
      </c>
      <c r="C202" s="235">
        <f t="shared" si="12"/>
        <v>10</v>
      </c>
      <c r="D202" s="238">
        <f t="shared" si="14"/>
        <v>52140</v>
      </c>
      <c r="E202" s="197"/>
      <c r="F202" s="197"/>
      <c r="G202" s="197"/>
      <c r="H202" s="197"/>
      <c r="I202" s="197"/>
      <c r="J202" s="197">
        <f>SUMIF(Credit!$A$12:$A$371,'Графики (2)'!D202,Credit!$D$12:$D$371)</f>
        <v>0</v>
      </c>
      <c r="K202">
        <f>SUMIF(Credit!$A$12:$A$371,'Графики (2)'!D202,Credit!$C$12:$C$371)</f>
        <v>0</v>
      </c>
    </row>
    <row r="203" spans="2:11" x14ac:dyDescent="0.35">
      <c r="B203">
        <f t="shared" si="13"/>
        <v>197</v>
      </c>
      <c r="C203" s="235">
        <f t="shared" si="12"/>
        <v>11</v>
      </c>
      <c r="D203" s="238">
        <f t="shared" si="14"/>
        <v>52171</v>
      </c>
      <c r="E203" s="197"/>
      <c r="F203" s="197"/>
      <c r="G203" s="197"/>
      <c r="H203" s="197"/>
      <c r="I203" s="197"/>
      <c r="J203" s="197">
        <f>SUMIF(Credit!$A$12:$A$371,'Графики (2)'!D203,Credit!$D$12:$D$371)</f>
        <v>0</v>
      </c>
      <c r="K203">
        <f>SUMIF(Credit!$A$12:$A$371,'Графики (2)'!D203,Credit!$C$12:$C$371)</f>
        <v>0</v>
      </c>
    </row>
    <row r="204" spans="2:11" x14ac:dyDescent="0.35">
      <c r="B204">
        <f t="shared" si="13"/>
        <v>198</v>
      </c>
      <c r="C204" s="235">
        <f t="shared" si="12"/>
        <v>12</v>
      </c>
      <c r="D204" s="238">
        <f t="shared" si="14"/>
        <v>52201</v>
      </c>
      <c r="E204" s="197"/>
      <c r="F204" s="197"/>
      <c r="G204" s="197"/>
      <c r="H204" s="197"/>
      <c r="I204" s="197"/>
      <c r="J204" s="197">
        <f>SUMIF(Credit!$A$12:$A$371,'Графики (2)'!D204,Credit!$D$12:$D$371)</f>
        <v>0</v>
      </c>
      <c r="K204">
        <f>SUMIF(Credit!$A$12:$A$371,'Графики (2)'!D204,Credit!$C$12:$C$371)</f>
        <v>0</v>
      </c>
    </row>
    <row r="205" spans="2:11" x14ac:dyDescent="0.35">
      <c r="B205">
        <f t="shared" si="13"/>
        <v>199</v>
      </c>
      <c r="C205" s="235">
        <f t="shared" si="12"/>
        <v>1</v>
      </c>
      <c r="D205" s="238">
        <f t="shared" si="14"/>
        <v>52232</v>
      </c>
      <c r="E205" s="197"/>
      <c r="F205" s="197"/>
      <c r="G205" s="197"/>
      <c r="H205" s="197"/>
      <c r="I205" s="197"/>
      <c r="J205" s="197">
        <f>SUMIF(Credit!$A$12:$A$371,'Графики (2)'!D205,Credit!$D$12:$D$371)</f>
        <v>0</v>
      </c>
      <c r="K205">
        <f>SUMIF(Credit!$A$12:$A$371,'Графики (2)'!D205,Credit!$C$12:$C$371)</f>
        <v>0</v>
      </c>
    </row>
    <row r="206" spans="2:11" x14ac:dyDescent="0.35">
      <c r="B206">
        <f t="shared" si="13"/>
        <v>200</v>
      </c>
      <c r="C206" s="235">
        <f t="shared" si="12"/>
        <v>2</v>
      </c>
      <c r="D206" s="238">
        <f t="shared" si="14"/>
        <v>52263</v>
      </c>
      <c r="E206" s="197"/>
      <c r="F206" s="197"/>
      <c r="G206" s="197"/>
      <c r="H206" s="197"/>
      <c r="I206" s="197"/>
      <c r="J206" s="197">
        <f>SUMIF(Credit!$A$12:$A$371,'Графики (2)'!D206,Credit!$D$12:$D$371)</f>
        <v>0</v>
      </c>
      <c r="K206">
        <f>SUMIF(Credit!$A$12:$A$371,'Графики (2)'!D206,Credit!$C$12:$C$371)</f>
        <v>0</v>
      </c>
    </row>
    <row r="207" spans="2:11" x14ac:dyDescent="0.35">
      <c r="B207">
        <f t="shared" si="13"/>
        <v>201</v>
      </c>
      <c r="C207" s="235">
        <f t="shared" si="12"/>
        <v>3</v>
      </c>
      <c r="D207" s="238">
        <f t="shared" si="14"/>
        <v>52291</v>
      </c>
      <c r="E207" s="197"/>
      <c r="F207" s="197"/>
      <c r="G207" s="197"/>
      <c r="H207" s="197"/>
      <c r="I207" s="197"/>
      <c r="J207" s="197">
        <f>SUMIF(Credit!$A$12:$A$371,'Графики (2)'!D207,Credit!$D$12:$D$371)</f>
        <v>0</v>
      </c>
      <c r="K207">
        <f>SUMIF(Credit!$A$12:$A$371,'Графики (2)'!D207,Credit!$C$12:$C$371)</f>
        <v>0</v>
      </c>
    </row>
    <row r="208" spans="2:11" x14ac:dyDescent="0.35">
      <c r="B208">
        <f t="shared" si="13"/>
        <v>202</v>
      </c>
      <c r="C208" s="235">
        <f t="shared" si="12"/>
        <v>4</v>
      </c>
      <c r="D208" s="238">
        <f t="shared" si="14"/>
        <v>52322</v>
      </c>
      <c r="E208" s="197"/>
      <c r="F208" s="197"/>
      <c r="G208" s="197"/>
      <c r="H208" s="197"/>
      <c r="I208" s="197"/>
      <c r="J208" s="197">
        <f>SUMIF(Credit!$A$12:$A$371,'Графики (2)'!D208,Credit!$D$12:$D$371)</f>
        <v>0</v>
      </c>
      <c r="K208">
        <f>SUMIF(Credit!$A$12:$A$371,'Графики (2)'!D208,Credit!$C$12:$C$371)</f>
        <v>0</v>
      </c>
    </row>
    <row r="209" spans="2:11" x14ac:dyDescent="0.35">
      <c r="B209">
        <f t="shared" si="13"/>
        <v>203</v>
      </c>
      <c r="C209" s="235">
        <f t="shared" si="12"/>
        <v>5</v>
      </c>
      <c r="D209" s="238">
        <f t="shared" si="14"/>
        <v>52352</v>
      </c>
      <c r="E209" s="197"/>
      <c r="F209" s="197"/>
      <c r="G209" s="197"/>
      <c r="H209" s="197"/>
      <c r="I209" s="197"/>
      <c r="J209" s="197">
        <f>SUMIF(Credit!$A$12:$A$371,'Графики (2)'!D209,Credit!$D$12:$D$371)</f>
        <v>0</v>
      </c>
      <c r="K209">
        <f>SUMIF(Credit!$A$12:$A$371,'Графики (2)'!D209,Credit!$C$12:$C$371)</f>
        <v>0</v>
      </c>
    </row>
    <row r="210" spans="2:11" x14ac:dyDescent="0.35">
      <c r="B210">
        <f t="shared" si="13"/>
        <v>204</v>
      </c>
      <c r="C210" s="235">
        <f t="shared" si="12"/>
        <v>6</v>
      </c>
      <c r="D210" s="238">
        <f t="shared" si="14"/>
        <v>52383</v>
      </c>
      <c r="E210" s="197"/>
      <c r="F210" s="197"/>
      <c r="G210" s="197"/>
      <c r="H210" s="197"/>
      <c r="I210" s="197"/>
      <c r="J210" s="197">
        <f>SUMIF(Credit!$A$12:$A$371,'Графики (2)'!D210,Credit!$D$12:$D$371)</f>
        <v>0</v>
      </c>
      <c r="K210">
        <f>SUMIF(Credit!$A$12:$A$371,'Графики (2)'!D210,Credit!$C$12:$C$371)</f>
        <v>0</v>
      </c>
    </row>
    <row r="211" spans="2:11" x14ac:dyDescent="0.35">
      <c r="B211">
        <f t="shared" si="13"/>
        <v>205</v>
      </c>
      <c r="C211" s="235">
        <f t="shared" si="12"/>
        <v>7</v>
      </c>
      <c r="D211" s="238">
        <f t="shared" si="14"/>
        <v>52413</v>
      </c>
      <c r="E211" s="197"/>
      <c r="F211" s="197"/>
      <c r="G211" s="197"/>
      <c r="H211" s="197"/>
      <c r="I211" s="197"/>
      <c r="J211" s="197">
        <f>SUMIF(Credit!$A$12:$A$371,'Графики (2)'!D211,Credit!$D$12:$D$371)</f>
        <v>0</v>
      </c>
      <c r="K211">
        <f>SUMIF(Credit!$A$12:$A$371,'Графики (2)'!D211,Credit!$C$12:$C$371)</f>
        <v>0</v>
      </c>
    </row>
    <row r="212" spans="2:11" x14ac:dyDescent="0.35">
      <c r="B212">
        <f t="shared" si="13"/>
        <v>206</v>
      </c>
      <c r="C212" s="235">
        <f t="shared" si="12"/>
        <v>8</v>
      </c>
      <c r="D212" s="238">
        <f t="shared" si="14"/>
        <v>52444</v>
      </c>
      <c r="E212" s="197"/>
      <c r="F212" s="197"/>
      <c r="G212" s="197"/>
      <c r="H212" s="197"/>
      <c r="I212" s="197"/>
      <c r="J212" s="197">
        <f>SUMIF(Credit!$A$12:$A$371,'Графики (2)'!D212,Credit!$D$12:$D$371)</f>
        <v>0</v>
      </c>
      <c r="K212">
        <f>SUMIF(Credit!$A$12:$A$371,'Графики (2)'!D212,Credit!$C$12:$C$371)</f>
        <v>0</v>
      </c>
    </row>
    <row r="213" spans="2:11" x14ac:dyDescent="0.35">
      <c r="B213">
        <f t="shared" si="13"/>
        <v>207</v>
      </c>
      <c r="C213" s="235">
        <f t="shared" si="12"/>
        <v>9</v>
      </c>
      <c r="D213" s="238">
        <f t="shared" si="14"/>
        <v>52475</v>
      </c>
      <c r="E213" s="197"/>
      <c r="F213" s="197"/>
      <c r="G213" s="197"/>
      <c r="H213" s="197"/>
      <c r="I213" s="197"/>
      <c r="J213" s="197">
        <f>SUMIF(Credit!$A$12:$A$371,'Графики (2)'!D213,Credit!$D$12:$D$371)</f>
        <v>0</v>
      </c>
      <c r="K213">
        <f>SUMIF(Credit!$A$12:$A$371,'Графики (2)'!D213,Credit!$C$12:$C$371)</f>
        <v>0</v>
      </c>
    </row>
    <row r="214" spans="2:11" x14ac:dyDescent="0.35">
      <c r="B214">
        <f t="shared" si="13"/>
        <v>208</v>
      </c>
      <c r="C214" s="235">
        <f t="shared" si="12"/>
        <v>10</v>
      </c>
      <c r="D214" s="238">
        <f t="shared" si="14"/>
        <v>52505</v>
      </c>
      <c r="E214" s="197"/>
      <c r="F214" s="197"/>
      <c r="G214" s="197"/>
      <c r="H214" s="197"/>
      <c r="I214" s="197"/>
      <c r="J214" s="197">
        <f>SUMIF(Credit!$A$12:$A$371,'Графики (2)'!D214,Credit!$D$12:$D$371)</f>
        <v>0</v>
      </c>
      <c r="K214">
        <f>SUMIF(Credit!$A$12:$A$371,'Графики (2)'!D214,Credit!$C$12:$C$371)</f>
        <v>0</v>
      </c>
    </row>
    <row r="215" spans="2:11" x14ac:dyDescent="0.35">
      <c r="B215">
        <f t="shared" si="13"/>
        <v>209</v>
      </c>
      <c r="C215" s="235">
        <f t="shared" si="12"/>
        <v>11</v>
      </c>
      <c r="D215" s="238">
        <f t="shared" si="14"/>
        <v>52536</v>
      </c>
      <c r="E215" s="197"/>
      <c r="F215" s="197"/>
      <c r="G215" s="197"/>
      <c r="H215" s="197"/>
      <c r="I215" s="197"/>
      <c r="J215" s="197">
        <f>SUMIF(Credit!$A$12:$A$371,'Графики (2)'!D215,Credit!$D$12:$D$371)</f>
        <v>0</v>
      </c>
      <c r="K215">
        <f>SUMIF(Credit!$A$12:$A$371,'Графики (2)'!D215,Credit!$C$12:$C$371)</f>
        <v>0</v>
      </c>
    </row>
    <row r="216" spans="2:11" x14ac:dyDescent="0.35">
      <c r="B216">
        <f t="shared" si="13"/>
        <v>210</v>
      </c>
      <c r="C216" s="235">
        <f t="shared" si="12"/>
        <v>12</v>
      </c>
      <c r="D216" s="238">
        <f t="shared" si="14"/>
        <v>52566</v>
      </c>
      <c r="E216" s="197"/>
      <c r="F216" s="197"/>
      <c r="G216" s="197"/>
      <c r="H216" s="197"/>
      <c r="I216" s="197"/>
      <c r="J216" s="197">
        <f>SUMIF(Credit!$A$12:$A$371,'Графики (2)'!D216,Credit!$D$12:$D$371)</f>
        <v>0</v>
      </c>
      <c r="K216">
        <f>SUMIF(Credit!$A$12:$A$371,'Графики (2)'!D216,Credit!$C$12:$C$371)</f>
        <v>0</v>
      </c>
    </row>
    <row r="217" spans="2:11" x14ac:dyDescent="0.35">
      <c r="B217">
        <f t="shared" si="13"/>
        <v>211</v>
      </c>
      <c r="C217" s="235">
        <f t="shared" si="12"/>
        <v>1</v>
      </c>
      <c r="D217" s="238">
        <f t="shared" si="14"/>
        <v>52597</v>
      </c>
      <c r="E217" s="197"/>
      <c r="F217" s="197"/>
      <c r="G217" s="197"/>
      <c r="H217" s="197"/>
      <c r="I217" s="197"/>
      <c r="J217" s="197">
        <f>SUMIF(Credit!$A$12:$A$371,'Графики (2)'!D217,Credit!$D$12:$D$371)</f>
        <v>0</v>
      </c>
      <c r="K217">
        <f>SUMIF(Credit!$A$12:$A$371,'Графики (2)'!D217,Credit!$C$12:$C$371)</f>
        <v>0</v>
      </c>
    </row>
    <row r="218" spans="2:11" x14ac:dyDescent="0.35">
      <c r="B218">
        <f t="shared" si="13"/>
        <v>212</v>
      </c>
      <c r="C218" s="235">
        <f t="shared" si="12"/>
        <v>2</v>
      </c>
      <c r="D218" s="238">
        <f t="shared" si="14"/>
        <v>52628</v>
      </c>
      <c r="E218" s="197"/>
      <c r="F218" s="197"/>
      <c r="G218" s="197"/>
      <c r="H218" s="197"/>
      <c r="I218" s="197"/>
      <c r="J218" s="197">
        <f>SUMIF(Credit!$A$12:$A$371,'Графики (2)'!D218,Credit!$D$12:$D$371)</f>
        <v>0</v>
      </c>
      <c r="K218">
        <f>SUMIF(Credit!$A$12:$A$371,'Графики (2)'!D218,Credit!$C$12:$C$371)</f>
        <v>0</v>
      </c>
    </row>
    <row r="219" spans="2:11" x14ac:dyDescent="0.35">
      <c r="B219">
        <f t="shared" si="13"/>
        <v>213</v>
      </c>
      <c r="C219" s="235">
        <f t="shared" si="12"/>
        <v>3</v>
      </c>
      <c r="D219" s="238">
        <f t="shared" si="14"/>
        <v>52657</v>
      </c>
      <c r="E219" s="197"/>
      <c r="F219" s="197"/>
      <c r="G219" s="197"/>
      <c r="H219" s="197"/>
      <c r="I219" s="197"/>
      <c r="J219" s="197">
        <f>SUMIF(Credit!$A$12:$A$371,'Графики (2)'!D219,Credit!$D$12:$D$371)</f>
        <v>0</v>
      </c>
      <c r="K219">
        <f>SUMIF(Credit!$A$12:$A$371,'Графики (2)'!D219,Credit!$C$12:$C$371)</f>
        <v>0</v>
      </c>
    </row>
    <row r="220" spans="2:11" x14ac:dyDescent="0.35">
      <c r="B220">
        <f t="shared" si="13"/>
        <v>214</v>
      </c>
      <c r="C220" s="235">
        <f t="shared" si="12"/>
        <v>4</v>
      </c>
      <c r="D220" s="238">
        <f t="shared" si="14"/>
        <v>52688</v>
      </c>
      <c r="E220" s="197"/>
      <c r="F220" s="197"/>
      <c r="G220" s="197"/>
      <c r="H220" s="197"/>
      <c r="I220" s="197"/>
      <c r="J220" s="197">
        <f>SUMIF(Credit!$A$12:$A$371,'Графики (2)'!D220,Credit!$D$12:$D$371)</f>
        <v>0</v>
      </c>
      <c r="K220">
        <f>SUMIF(Credit!$A$12:$A$371,'Графики (2)'!D220,Credit!$C$12:$C$371)</f>
        <v>0</v>
      </c>
    </row>
    <row r="221" spans="2:11" x14ac:dyDescent="0.35">
      <c r="B221">
        <f t="shared" si="13"/>
        <v>215</v>
      </c>
      <c r="C221" s="235">
        <f t="shared" si="12"/>
        <v>5</v>
      </c>
      <c r="D221" s="238">
        <f t="shared" si="14"/>
        <v>52718</v>
      </c>
      <c r="E221" s="197"/>
      <c r="F221" s="197"/>
      <c r="G221" s="197"/>
      <c r="H221" s="197"/>
      <c r="I221" s="197"/>
      <c r="J221" s="197">
        <f>SUMIF(Credit!$A$12:$A$371,'Графики (2)'!D221,Credit!$D$12:$D$371)</f>
        <v>0</v>
      </c>
      <c r="K221">
        <f>SUMIF(Credit!$A$12:$A$371,'Графики (2)'!D221,Credit!$C$12:$C$371)</f>
        <v>0</v>
      </c>
    </row>
    <row r="222" spans="2:11" x14ac:dyDescent="0.35">
      <c r="B222">
        <f t="shared" si="13"/>
        <v>216</v>
      </c>
      <c r="C222" s="235">
        <f t="shared" si="12"/>
        <v>6</v>
      </c>
      <c r="D222" s="238">
        <f t="shared" si="14"/>
        <v>52749</v>
      </c>
      <c r="E222" s="197"/>
      <c r="F222" s="197"/>
      <c r="G222" s="197"/>
      <c r="H222" s="197"/>
      <c r="I222" s="197"/>
      <c r="J222" s="197">
        <f>SUMIF(Credit!$A$12:$A$371,'Графики (2)'!D222,Credit!$D$12:$D$371)</f>
        <v>0</v>
      </c>
      <c r="K222">
        <f>SUMIF(Credit!$A$12:$A$371,'Графики (2)'!D222,Credit!$C$12:$C$371)</f>
        <v>0</v>
      </c>
    </row>
    <row r="223" spans="2:11" x14ac:dyDescent="0.35">
      <c r="B223">
        <f t="shared" si="13"/>
        <v>217</v>
      </c>
      <c r="C223" s="235">
        <f t="shared" si="12"/>
        <v>7</v>
      </c>
      <c r="D223" s="238">
        <f t="shared" si="14"/>
        <v>52779</v>
      </c>
      <c r="E223" s="197"/>
      <c r="F223" s="197"/>
      <c r="G223" s="197"/>
      <c r="H223" s="197"/>
      <c r="I223" s="197"/>
      <c r="J223" s="197">
        <f>SUMIF(Credit!$A$12:$A$371,'Графики (2)'!D223,Credit!$D$12:$D$371)</f>
        <v>0</v>
      </c>
      <c r="K223">
        <f>SUMIF(Credit!$A$12:$A$371,'Графики (2)'!D223,Credit!$C$12:$C$371)</f>
        <v>0</v>
      </c>
    </row>
    <row r="224" spans="2:11" x14ac:dyDescent="0.35">
      <c r="B224">
        <f t="shared" si="13"/>
        <v>218</v>
      </c>
      <c r="C224" s="235">
        <f t="shared" si="12"/>
        <v>8</v>
      </c>
      <c r="D224" s="238">
        <f t="shared" si="14"/>
        <v>52810</v>
      </c>
      <c r="E224" s="197"/>
      <c r="F224" s="197"/>
      <c r="G224" s="197"/>
      <c r="H224" s="197"/>
      <c r="I224" s="197"/>
      <c r="J224" s="197">
        <f>SUMIF(Credit!$A$12:$A$371,'Графики (2)'!D224,Credit!$D$12:$D$371)</f>
        <v>0</v>
      </c>
      <c r="K224">
        <f>SUMIF(Credit!$A$12:$A$371,'Графики (2)'!D224,Credit!$C$12:$C$371)</f>
        <v>0</v>
      </c>
    </row>
    <row r="225" spans="2:11" x14ac:dyDescent="0.35">
      <c r="B225">
        <f t="shared" si="13"/>
        <v>219</v>
      </c>
      <c r="C225" s="235">
        <f t="shared" si="12"/>
        <v>9</v>
      </c>
      <c r="D225" s="238">
        <f t="shared" si="14"/>
        <v>52841</v>
      </c>
      <c r="E225" s="197"/>
      <c r="F225" s="197"/>
      <c r="G225" s="197"/>
      <c r="H225" s="197"/>
      <c r="I225" s="197"/>
      <c r="J225" s="197">
        <f>SUMIF(Credit!$A$12:$A$371,'Графики (2)'!D225,Credit!$D$12:$D$371)</f>
        <v>0</v>
      </c>
      <c r="K225">
        <f>SUMIF(Credit!$A$12:$A$371,'Графики (2)'!D225,Credit!$C$12:$C$371)</f>
        <v>0</v>
      </c>
    </row>
    <row r="226" spans="2:11" x14ac:dyDescent="0.35">
      <c r="B226">
        <f t="shared" si="13"/>
        <v>220</v>
      </c>
      <c r="C226" s="235">
        <f t="shared" si="12"/>
        <v>10</v>
      </c>
      <c r="D226" s="238">
        <f t="shared" si="14"/>
        <v>52871</v>
      </c>
      <c r="E226" s="197"/>
      <c r="F226" s="197"/>
      <c r="G226" s="197"/>
      <c r="H226" s="197"/>
      <c r="I226" s="197"/>
      <c r="J226" s="197">
        <f>SUMIF(Credit!$A$12:$A$371,'Графики (2)'!D226,Credit!$D$12:$D$371)</f>
        <v>0</v>
      </c>
      <c r="K226">
        <f>SUMIF(Credit!$A$12:$A$371,'Графики (2)'!D226,Credit!$C$12:$C$371)</f>
        <v>0</v>
      </c>
    </row>
    <row r="227" spans="2:11" x14ac:dyDescent="0.35">
      <c r="B227">
        <f t="shared" si="13"/>
        <v>221</v>
      </c>
      <c r="C227" s="235">
        <f t="shared" si="12"/>
        <v>11</v>
      </c>
      <c r="D227" s="238">
        <f t="shared" si="14"/>
        <v>52902</v>
      </c>
      <c r="E227" s="197"/>
      <c r="F227" s="197"/>
      <c r="G227" s="197"/>
      <c r="H227" s="197"/>
      <c r="I227" s="197"/>
      <c r="J227" s="197">
        <f>SUMIF(Credit!$A$12:$A$371,'Графики (2)'!D227,Credit!$D$12:$D$371)</f>
        <v>0</v>
      </c>
      <c r="K227">
        <f>SUMIF(Credit!$A$12:$A$371,'Графики (2)'!D227,Credit!$C$12:$C$371)</f>
        <v>0</v>
      </c>
    </row>
    <row r="228" spans="2:11" x14ac:dyDescent="0.35">
      <c r="B228">
        <f t="shared" si="13"/>
        <v>222</v>
      </c>
      <c r="C228" s="235">
        <f t="shared" si="12"/>
        <v>12</v>
      </c>
      <c r="D228" s="238">
        <f t="shared" si="14"/>
        <v>52932</v>
      </c>
      <c r="E228" s="197"/>
      <c r="F228" s="197"/>
      <c r="G228" s="197"/>
      <c r="H228" s="197"/>
      <c r="I228" s="197"/>
      <c r="J228" s="197">
        <f>SUMIF(Credit!$A$12:$A$371,'Графики (2)'!D228,Credit!$D$12:$D$371)</f>
        <v>0</v>
      </c>
      <c r="K228">
        <f>SUMIF(Credit!$A$12:$A$371,'Графики (2)'!D228,Credit!$C$12:$C$371)</f>
        <v>0</v>
      </c>
    </row>
    <row r="229" spans="2:11" x14ac:dyDescent="0.35">
      <c r="B229">
        <f t="shared" si="13"/>
        <v>223</v>
      </c>
      <c r="C229" s="235">
        <f t="shared" si="12"/>
        <v>1</v>
      </c>
      <c r="D229" s="238">
        <f t="shared" si="14"/>
        <v>52963</v>
      </c>
      <c r="E229" s="197"/>
      <c r="F229" s="197"/>
      <c r="G229" s="197"/>
      <c r="H229" s="197"/>
      <c r="I229" s="197"/>
      <c r="J229" s="197">
        <f>SUMIF(Credit!$A$12:$A$371,'Графики (2)'!D229,Credit!$D$12:$D$371)</f>
        <v>0</v>
      </c>
      <c r="K229">
        <f>SUMIF(Credit!$A$12:$A$371,'Графики (2)'!D229,Credit!$C$12:$C$371)</f>
        <v>0</v>
      </c>
    </row>
    <row r="230" spans="2:11" x14ac:dyDescent="0.35">
      <c r="B230">
        <f t="shared" si="13"/>
        <v>224</v>
      </c>
      <c r="C230" s="235">
        <f t="shared" si="12"/>
        <v>2</v>
      </c>
      <c r="D230" s="238">
        <f t="shared" si="14"/>
        <v>52994</v>
      </c>
      <c r="E230" s="197"/>
      <c r="F230" s="197"/>
      <c r="G230" s="197"/>
      <c r="H230" s="197"/>
      <c r="I230" s="197"/>
      <c r="J230" s="197">
        <f>SUMIF(Credit!$A$12:$A$371,'Графики (2)'!D230,Credit!$D$12:$D$371)</f>
        <v>0</v>
      </c>
      <c r="K230">
        <f>SUMIF(Credit!$A$12:$A$371,'Графики (2)'!D230,Credit!$C$12:$C$371)</f>
        <v>0</v>
      </c>
    </row>
    <row r="231" spans="2:11" x14ac:dyDescent="0.35">
      <c r="B231">
        <f t="shared" si="13"/>
        <v>225</v>
      </c>
      <c r="C231" s="235">
        <f t="shared" si="12"/>
        <v>3</v>
      </c>
      <c r="D231" s="238">
        <f t="shared" si="14"/>
        <v>53022</v>
      </c>
      <c r="E231" s="197"/>
      <c r="F231" s="197"/>
      <c r="G231" s="197"/>
      <c r="H231" s="197"/>
      <c r="I231" s="197"/>
      <c r="J231" s="197">
        <f>SUMIF(Credit!$A$12:$A$371,'Графики (2)'!D231,Credit!$D$12:$D$371)</f>
        <v>0</v>
      </c>
      <c r="K231">
        <f>SUMIF(Credit!$A$12:$A$371,'Графики (2)'!D231,Credit!$C$12:$C$371)</f>
        <v>0</v>
      </c>
    </row>
    <row r="232" spans="2:11" x14ac:dyDescent="0.35">
      <c r="B232">
        <f t="shared" si="13"/>
        <v>226</v>
      </c>
      <c r="C232" s="235">
        <f t="shared" si="12"/>
        <v>4</v>
      </c>
      <c r="D232" s="238">
        <f t="shared" si="14"/>
        <v>53053</v>
      </c>
      <c r="E232" s="197"/>
      <c r="F232" s="197"/>
      <c r="G232" s="197"/>
      <c r="H232" s="197"/>
      <c r="I232" s="197"/>
      <c r="J232" s="197">
        <f>SUMIF(Credit!$A$12:$A$371,'Графики (2)'!D232,Credit!$D$12:$D$371)</f>
        <v>0</v>
      </c>
      <c r="K232">
        <f>SUMIF(Credit!$A$12:$A$371,'Графики (2)'!D232,Credit!$C$12:$C$371)</f>
        <v>0</v>
      </c>
    </row>
    <row r="233" spans="2:11" x14ac:dyDescent="0.35">
      <c r="B233">
        <f t="shared" si="13"/>
        <v>227</v>
      </c>
      <c r="C233" s="235">
        <f t="shared" si="12"/>
        <v>5</v>
      </c>
      <c r="D233" s="238">
        <f t="shared" si="14"/>
        <v>53083</v>
      </c>
      <c r="E233" s="197"/>
      <c r="F233" s="197"/>
      <c r="G233" s="197"/>
      <c r="H233" s="197"/>
      <c r="I233" s="197"/>
      <c r="J233" s="197">
        <f>SUMIF(Credit!$A$12:$A$371,'Графики (2)'!D233,Credit!$D$12:$D$371)</f>
        <v>0</v>
      </c>
      <c r="K233">
        <f>SUMIF(Credit!$A$12:$A$371,'Графики (2)'!D233,Credit!$C$12:$C$371)</f>
        <v>0</v>
      </c>
    </row>
    <row r="234" spans="2:11" x14ac:dyDescent="0.35">
      <c r="B234">
        <f t="shared" si="13"/>
        <v>228</v>
      </c>
      <c r="C234" s="235">
        <f t="shared" si="12"/>
        <v>6</v>
      </c>
      <c r="D234" s="238">
        <f t="shared" si="14"/>
        <v>53114</v>
      </c>
      <c r="E234" s="197"/>
      <c r="F234" s="197"/>
      <c r="G234" s="197"/>
      <c r="H234" s="197"/>
      <c r="I234" s="197"/>
      <c r="J234" s="197">
        <f>SUMIF(Credit!$A$12:$A$371,'Графики (2)'!D234,Credit!$D$12:$D$371)</f>
        <v>0</v>
      </c>
      <c r="K234">
        <f>SUMIF(Credit!$A$12:$A$371,'Графики (2)'!D234,Credit!$C$12:$C$371)</f>
        <v>0</v>
      </c>
    </row>
    <row r="235" spans="2:11" x14ac:dyDescent="0.35">
      <c r="B235">
        <f t="shared" si="13"/>
        <v>229</v>
      </c>
      <c r="C235" s="235">
        <f t="shared" si="12"/>
        <v>7</v>
      </c>
      <c r="D235" s="238">
        <f t="shared" si="14"/>
        <v>53144</v>
      </c>
      <c r="E235" s="197"/>
      <c r="F235" s="197"/>
      <c r="G235" s="197"/>
      <c r="H235" s="197"/>
      <c r="I235" s="197"/>
      <c r="J235" s="197">
        <f>SUMIF(Credit!$A$12:$A$371,'Графики (2)'!D235,Credit!$D$12:$D$371)</f>
        <v>0</v>
      </c>
      <c r="K235">
        <f>SUMIF(Credit!$A$12:$A$371,'Графики (2)'!D235,Credit!$C$12:$C$371)</f>
        <v>0</v>
      </c>
    </row>
    <row r="236" spans="2:11" x14ac:dyDescent="0.35">
      <c r="B236">
        <f t="shared" si="13"/>
        <v>230</v>
      </c>
      <c r="C236" s="235">
        <f t="shared" si="12"/>
        <v>8</v>
      </c>
      <c r="D236" s="238">
        <f t="shared" si="14"/>
        <v>53175</v>
      </c>
      <c r="E236" s="197"/>
      <c r="F236" s="197"/>
      <c r="G236" s="197"/>
      <c r="H236" s="197"/>
      <c r="I236" s="197"/>
      <c r="J236" s="197">
        <f>SUMIF(Credit!$A$12:$A$371,'Графики (2)'!D236,Credit!$D$12:$D$371)</f>
        <v>0</v>
      </c>
      <c r="K236">
        <f>SUMIF(Credit!$A$12:$A$371,'Графики (2)'!D236,Credit!$C$12:$C$371)</f>
        <v>0</v>
      </c>
    </row>
    <row r="237" spans="2:11" x14ac:dyDescent="0.35">
      <c r="B237">
        <f t="shared" si="13"/>
        <v>231</v>
      </c>
      <c r="C237" s="235">
        <f t="shared" si="12"/>
        <v>9</v>
      </c>
      <c r="D237" s="238">
        <f t="shared" si="14"/>
        <v>53206</v>
      </c>
      <c r="E237" s="197"/>
      <c r="F237" s="197"/>
      <c r="G237" s="197"/>
      <c r="H237" s="197"/>
      <c r="I237" s="197"/>
      <c r="J237" s="197">
        <f>SUMIF(Credit!$A$12:$A$371,'Графики (2)'!D237,Credit!$D$12:$D$371)</f>
        <v>0</v>
      </c>
      <c r="K237">
        <f>SUMIF(Credit!$A$12:$A$371,'Графики (2)'!D237,Credit!$C$12:$C$371)</f>
        <v>0</v>
      </c>
    </row>
    <row r="238" spans="2:11" x14ac:dyDescent="0.35">
      <c r="B238">
        <f t="shared" si="13"/>
        <v>232</v>
      </c>
      <c r="C238" s="235">
        <f t="shared" si="12"/>
        <v>10</v>
      </c>
      <c r="D238" s="238">
        <f t="shared" si="14"/>
        <v>53236</v>
      </c>
      <c r="E238" s="197"/>
      <c r="F238" s="197"/>
      <c r="G238" s="197"/>
      <c r="H238" s="197"/>
      <c r="I238" s="197"/>
      <c r="J238" s="197">
        <f>SUMIF(Credit!$A$12:$A$371,'Графики (2)'!D238,Credit!$D$12:$D$371)</f>
        <v>0</v>
      </c>
      <c r="K238">
        <f>SUMIF(Credit!$A$12:$A$371,'Графики (2)'!D238,Credit!$C$12:$C$371)</f>
        <v>0</v>
      </c>
    </row>
    <row r="239" spans="2:11" x14ac:dyDescent="0.35">
      <c r="B239">
        <f t="shared" si="13"/>
        <v>233</v>
      </c>
      <c r="C239" s="235">
        <f t="shared" si="12"/>
        <v>11</v>
      </c>
      <c r="D239" s="238">
        <f t="shared" si="14"/>
        <v>53267</v>
      </c>
      <c r="E239" s="197"/>
      <c r="F239" s="197"/>
      <c r="G239" s="197"/>
      <c r="H239" s="197"/>
      <c r="I239" s="197"/>
      <c r="J239" s="197">
        <f>SUMIF(Credit!$A$12:$A$371,'Графики (2)'!D239,Credit!$D$12:$D$371)</f>
        <v>0</v>
      </c>
      <c r="K239">
        <f>SUMIF(Credit!$A$12:$A$371,'Графики (2)'!D239,Credit!$C$12:$C$371)</f>
        <v>0</v>
      </c>
    </row>
    <row r="240" spans="2:11" x14ac:dyDescent="0.35">
      <c r="B240">
        <f t="shared" si="13"/>
        <v>234</v>
      </c>
      <c r="C240" s="235">
        <f t="shared" si="12"/>
        <v>12</v>
      </c>
      <c r="D240" s="238">
        <f t="shared" si="14"/>
        <v>53297</v>
      </c>
      <c r="E240" s="197"/>
      <c r="F240" s="197"/>
      <c r="G240" s="197"/>
      <c r="H240" s="197"/>
      <c r="I240" s="197"/>
      <c r="J240" s="197">
        <f>SUMIF(Credit!$A$12:$A$371,'Графики (2)'!D240,Credit!$D$12:$D$371)</f>
        <v>0</v>
      </c>
      <c r="K240">
        <f>SUMIF(Credit!$A$12:$A$371,'Графики (2)'!D240,Credit!$C$12:$C$371)</f>
        <v>0</v>
      </c>
    </row>
    <row r="241" spans="2:11" x14ac:dyDescent="0.35">
      <c r="B241">
        <f t="shared" si="13"/>
        <v>235</v>
      </c>
      <c r="C241" s="235">
        <f t="shared" si="12"/>
        <v>1</v>
      </c>
      <c r="D241" s="238">
        <f t="shared" si="14"/>
        <v>53328</v>
      </c>
      <c r="E241" s="197"/>
      <c r="F241" s="197"/>
      <c r="G241" s="197"/>
      <c r="H241" s="197"/>
      <c r="I241" s="197"/>
      <c r="J241" s="197">
        <f>SUMIF(Credit!$A$12:$A$371,'Графики (2)'!D241,Credit!$D$12:$D$371)</f>
        <v>0</v>
      </c>
      <c r="K241">
        <f>SUMIF(Credit!$A$12:$A$371,'Графики (2)'!D241,Credit!$C$12:$C$371)</f>
        <v>0</v>
      </c>
    </row>
    <row r="242" spans="2:11" x14ac:dyDescent="0.35">
      <c r="B242">
        <f t="shared" si="13"/>
        <v>236</v>
      </c>
      <c r="C242" s="235">
        <f t="shared" si="12"/>
        <v>2</v>
      </c>
      <c r="D242" s="238">
        <f t="shared" si="14"/>
        <v>53359</v>
      </c>
      <c r="E242" s="197"/>
      <c r="F242" s="197"/>
      <c r="G242" s="197"/>
      <c r="H242" s="197"/>
      <c r="I242" s="197"/>
      <c r="J242" s="197">
        <f>SUMIF(Credit!$A$12:$A$371,'Графики (2)'!D242,Credit!$D$12:$D$371)</f>
        <v>0</v>
      </c>
      <c r="K242">
        <f>SUMIF(Credit!$A$12:$A$371,'Графики (2)'!D242,Credit!$C$12:$C$371)</f>
        <v>0</v>
      </c>
    </row>
    <row r="243" spans="2:11" x14ac:dyDescent="0.35">
      <c r="B243">
        <f t="shared" si="13"/>
        <v>237</v>
      </c>
      <c r="C243" s="235">
        <f t="shared" si="12"/>
        <v>3</v>
      </c>
      <c r="D243" s="238">
        <f t="shared" si="14"/>
        <v>53387</v>
      </c>
      <c r="E243" s="197"/>
      <c r="F243" s="197"/>
      <c r="G243" s="197"/>
      <c r="H243" s="197"/>
      <c r="I243" s="197"/>
      <c r="J243" s="197">
        <f>SUMIF(Credit!$A$12:$A$371,'Графики (2)'!D243,Credit!$D$12:$D$371)</f>
        <v>0</v>
      </c>
      <c r="K243">
        <f>SUMIF(Credit!$A$12:$A$371,'Графики (2)'!D243,Credit!$C$12:$C$371)</f>
        <v>0</v>
      </c>
    </row>
    <row r="244" spans="2:11" x14ac:dyDescent="0.35">
      <c r="B244">
        <f t="shared" si="13"/>
        <v>238</v>
      </c>
      <c r="C244" s="235">
        <f t="shared" si="12"/>
        <v>4</v>
      </c>
      <c r="D244" s="238">
        <f t="shared" si="14"/>
        <v>53418</v>
      </c>
      <c r="E244" s="197"/>
      <c r="F244" s="197"/>
      <c r="G244" s="197"/>
      <c r="H244" s="197"/>
      <c r="I244" s="197"/>
      <c r="J244" s="197">
        <f>SUMIF(Credit!$A$12:$A$371,'Графики (2)'!D244,Credit!$D$12:$D$371)</f>
        <v>0</v>
      </c>
      <c r="K244">
        <f>SUMIF(Credit!$A$12:$A$371,'Графики (2)'!D244,Credit!$C$12:$C$371)</f>
        <v>0</v>
      </c>
    </row>
    <row r="245" spans="2:11" x14ac:dyDescent="0.35">
      <c r="B245">
        <f t="shared" si="13"/>
        <v>239</v>
      </c>
      <c r="C245" s="235">
        <f t="shared" si="12"/>
        <v>5</v>
      </c>
      <c r="D245" s="238">
        <f t="shared" si="14"/>
        <v>53448</v>
      </c>
      <c r="E245" s="197"/>
      <c r="F245" s="197"/>
      <c r="G245" s="197"/>
      <c r="H245" s="197"/>
      <c r="I245" s="197"/>
      <c r="J245" s="197">
        <f>SUMIF(Credit!$A$12:$A$371,'Графики (2)'!D245,Credit!$D$12:$D$371)</f>
        <v>0</v>
      </c>
      <c r="K245">
        <f>SUMIF(Credit!$A$12:$A$371,'Графики (2)'!D245,Credit!$C$12:$C$371)</f>
        <v>0</v>
      </c>
    </row>
    <row r="246" spans="2:11" x14ac:dyDescent="0.35">
      <c r="B246">
        <f t="shared" si="13"/>
        <v>240</v>
      </c>
      <c r="C246" s="235">
        <f t="shared" si="12"/>
        <v>6</v>
      </c>
      <c r="D246" s="238">
        <f t="shared" si="14"/>
        <v>53479</v>
      </c>
      <c r="E246" s="197"/>
      <c r="F246" s="197"/>
      <c r="G246" s="197"/>
      <c r="H246" s="197"/>
      <c r="I246" s="197"/>
      <c r="J246" s="197">
        <f>SUMIF(Credit!$A$12:$A$371,'Графики (2)'!D246,Credit!$D$12:$D$371)</f>
        <v>0</v>
      </c>
      <c r="K246">
        <f>SUMIF(Credit!$A$12:$A$371,'Графики (2)'!D246,Credit!$C$12:$C$371)</f>
        <v>0</v>
      </c>
    </row>
    <row r="247" spans="2:11" x14ac:dyDescent="0.35">
      <c r="B247">
        <f t="shared" si="13"/>
        <v>241</v>
      </c>
      <c r="C247" s="235">
        <f t="shared" si="12"/>
        <v>7</v>
      </c>
      <c r="D247" s="238">
        <f t="shared" si="14"/>
        <v>53509</v>
      </c>
      <c r="E247" s="197"/>
      <c r="F247" s="197"/>
      <c r="G247" s="197"/>
      <c r="H247" s="197"/>
      <c r="I247" s="197"/>
      <c r="J247" s="197">
        <f>SUMIF(Credit!$A$12:$A$371,'Графики (2)'!D247,Credit!$D$12:$D$371)</f>
        <v>0</v>
      </c>
      <c r="K247">
        <f>SUMIF(Credit!$A$12:$A$371,'Графики (2)'!D247,Credit!$C$12:$C$371)</f>
        <v>0</v>
      </c>
    </row>
    <row r="248" spans="2:11" x14ac:dyDescent="0.35">
      <c r="B248">
        <f t="shared" si="13"/>
        <v>242</v>
      </c>
      <c r="C248" s="235">
        <f t="shared" si="12"/>
        <v>8</v>
      </c>
      <c r="D248" s="238">
        <f t="shared" si="14"/>
        <v>53540</v>
      </c>
      <c r="E248" s="197"/>
      <c r="F248" s="197"/>
      <c r="G248" s="197"/>
      <c r="H248" s="197"/>
      <c r="I248" s="197"/>
      <c r="J248" s="197">
        <f>SUMIF(Credit!$A$12:$A$371,'Графики (2)'!D248,Credit!$D$12:$D$371)</f>
        <v>0</v>
      </c>
      <c r="K248">
        <f>SUMIF(Credit!$A$12:$A$371,'Графики (2)'!D248,Credit!$C$12:$C$371)</f>
        <v>0</v>
      </c>
    </row>
    <row r="249" spans="2:11" x14ac:dyDescent="0.35">
      <c r="B249">
        <f t="shared" si="13"/>
        <v>243</v>
      </c>
      <c r="C249" s="235">
        <f t="shared" si="12"/>
        <v>9</v>
      </c>
      <c r="D249" s="238">
        <f t="shared" si="14"/>
        <v>53571</v>
      </c>
      <c r="E249" s="197"/>
      <c r="F249" s="197"/>
      <c r="G249" s="197"/>
      <c r="H249" s="197"/>
      <c r="I249" s="197"/>
      <c r="J249" s="197">
        <f>SUMIF(Credit!$A$12:$A$371,'Графики (2)'!D249,Credit!$D$12:$D$371)</f>
        <v>0</v>
      </c>
      <c r="K249">
        <f>SUMIF(Credit!$A$12:$A$371,'Графики (2)'!D249,Credit!$C$12:$C$371)</f>
        <v>0</v>
      </c>
    </row>
    <row r="250" spans="2:11" x14ac:dyDescent="0.35">
      <c r="B250">
        <f t="shared" si="13"/>
        <v>244</v>
      </c>
      <c r="C250" s="235">
        <f t="shared" si="12"/>
        <v>10</v>
      </c>
      <c r="D250" s="238">
        <f t="shared" si="14"/>
        <v>53601</v>
      </c>
      <c r="E250" s="197"/>
      <c r="F250" s="197"/>
      <c r="G250" s="197"/>
      <c r="H250" s="197"/>
      <c r="I250" s="197"/>
      <c r="J250" s="197">
        <f>SUMIF(Credit!$A$12:$A$371,'Графики (2)'!D250,Credit!$D$12:$D$371)</f>
        <v>0</v>
      </c>
      <c r="K250">
        <f>SUMIF(Credit!$A$12:$A$371,'Графики (2)'!D250,Credit!$C$12:$C$371)</f>
        <v>0</v>
      </c>
    </row>
    <row r="251" spans="2:11" x14ac:dyDescent="0.35">
      <c r="B251">
        <f t="shared" si="13"/>
        <v>245</v>
      </c>
      <c r="C251" s="235">
        <f t="shared" si="12"/>
        <v>11</v>
      </c>
      <c r="D251" s="238">
        <f t="shared" si="14"/>
        <v>53632</v>
      </c>
      <c r="E251" s="197"/>
      <c r="F251" s="197"/>
      <c r="G251" s="197"/>
      <c r="H251" s="197"/>
      <c r="I251" s="197"/>
      <c r="J251" s="197">
        <f>SUMIF(Credit!$A$12:$A$371,'Графики (2)'!D251,Credit!$D$12:$D$371)</f>
        <v>0</v>
      </c>
      <c r="K251">
        <f>SUMIF(Credit!$A$12:$A$371,'Графики (2)'!D251,Credit!$C$12:$C$371)</f>
        <v>0</v>
      </c>
    </row>
    <row r="252" spans="2:11" x14ac:dyDescent="0.35">
      <c r="B252">
        <f t="shared" si="13"/>
        <v>246</v>
      </c>
      <c r="C252" s="235">
        <f t="shared" si="12"/>
        <v>12</v>
      </c>
      <c r="D252" s="238">
        <f t="shared" si="14"/>
        <v>53662</v>
      </c>
      <c r="E252" s="197"/>
      <c r="F252" s="197"/>
      <c r="G252" s="197"/>
      <c r="H252" s="197"/>
      <c r="I252" s="197"/>
      <c r="J252" s="197">
        <f>SUMIF(Credit!$A$12:$A$371,'Графики (2)'!D252,Credit!$D$12:$D$371)</f>
        <v>0</v>
      </c>
      <c r="K252">
        <f>SUMIF(Credit!$A$12:$A$371,'Графики (2)'!D252,Credit!$C$12:$C$371)</f>
        <v>0</v>
      </c>
    </row>
    <row r="253" spans="2:11" x14ac:dyDescent="0.35">
      <c r="B253">
        <f t="shared" si="13"/>
        <v>247</v>
      </c>
      <c r="C253" s="235">
        <f t="shared" si="12"/>
        <v>1</v>
      </c>
      <c r="D253" s="238">
        <f t="shared" si="14"/>
        <v>53693</v>
      </c>
      <c r="E253" s="197"/>
      <c r="F253" s="197"/>
      <c r="G253" s="197"/>
      <c r="H253" s="197"/>
      <c r="I253" s="197"/>
      <c r="J253" s="197">
        <f>SUMIF(Credit!$A$12:$A$371,'Графики (2)'!D253,Credit!$D$12:$D$371)</f>
        <v>0</v>
      </c>
      <c r="K253">
        <f>SUMIF(Credit!$A$12:$A$371,'Графики (2)'!D253,Credit!$C$12:$C$371)</f>
        <v>0</v>
      </c>
    </row>
    <row r="254" spans="2:11" x14ac:dyDescent="0.35">
      <c r="B254">
        <f t="shared" si="13"/>
        <v>248</v>
      </c>
      <c r="C254" s="235">
        <f t="shared" si="12"/>
        <v>2</v>
      </c>
      <c r="D254" s="238">
        <f t="shared" si="14"/>
        <v>53724</v>
      </c>
      <c r="E254" s="197"/>
      <c r="F254" s="197"/>
      <c r="G254" s="197"/>
      <c r="H254" s="197"/>
      <c r="I254" s="197"/>
      <c r="J254" s="197">
        <f>SUMIF(Credit!$A$12:$A$371,'Графики (2)'!D254,Credit!$D$12:$D$371)</f>
        <v>0</v>
      </c>
      <c r="K254">
        <f>SUMIF(Credit!$A$12:$A$371,'Графики (2)'!D254,Credit!$C$12:$C$371)</f>
        <v>0</v>
      </c>
    </row>
    <row r="255" spans="2:11" x14ac:dyDescent="0.35">
      <c r="B255">
        <f t="shared" si="13"/>
        <v>249</v>
      </c>
      <c r="C255" s="235">
        <f t="shared" si="12"/>
        <v>3</v>
      </c>
      <c r="D255" s="238">
        <f t="shared" si="14"/>
        <v>53752</v>
      </c>
      <c r="E255" s="197"/>
      <c r="F255" s="197"/>
      <c r="G255" s="197"/>
      <c r="H255" s="197"/>
      <c r="I255" s="197"/>
      <c r="J255" s="197">
        <f>SUMIF(Credit!$A$12:$A$371,'Графики (2)'!D255,Credit!$D$12:$D$371)</f>
        <v>0</v>
      </c>
      <c r="K255">
        <f>SUMIF(Credit!$A$12:$A$371,'Графики (2)'!D255,Credit!$C$12:$C$371)</f>
        <v>0</v>
      </c>
    </row>
    <row r="256" spans="2:11" x14ac:dyDescent="0.35">
      <c r="B256">
        <f t="shared" si="13"/>
        <v>250</v>
      </c>
      <c r="C256" s="235">
        <f t="shared" si="12"/>
        <v>4</v>
      </c>
      <c r="D256" s="238">
        <f t="shared" si="14"/>
        <v>53783</v>
      </c>
      <c r="E256" s="197"/>
      <c r="F256" s="197"/>
      <c r="G256" s="197"/>
      <c r="H256" s="197"/>
      <c r="I256" s="197"/>
      <c r="J256" s="197">
        <f>SUMIF(Credit!$A$12:$A$371,'Графики (2)'!D256,Credit!$D$12:$D$371)</f>
        <v>0</v>
      </c>
      <c r="K256">
        <f>SUMIF(Credit!$A$12:$A$371,'Графики (2)'!D256,Credit!$C$12:$C$371)</f>
        <v>0</v>
      </c>
    </row>
    <row r="257" spans="2:11" x14ac:dyDescent="0.35">
      <c r="B257">
        <f t="shared" si="13"/>
        <v>251</v>
      </c>
      <c r="C257" s="235">
        <f t="shared" si="12"/>
        <v>5</v>
      </c>
      <c r="D257" s="238">
        <f t="shared" si="14"/>
        <v>53813</v>
      </c>
      <c r="E257" s="197"/>
      <c r="F257" s="197"/>
      <c r="G257" s="197"/>
      <c r="H257" s="197"/>
      <c r="I257" s="197"/>
      <c r="J257" s="197">
        <f>SUMIF(Credit!$A$12:$A$371,'Графики (2)'!D257,Credit!$D$12:$D$371)</f>
        <v>0</v>
      </c>
      <c r="K257">
        <f>SUMIF(Credit!$A$12:$A$371,'Графики (2)'!D257,Credit!$C$12:$C$371)</f>
        <v>0</v>
      </c>
    </row>
    <row r="258" spans="2:11" x14ac:dyDescent="0.35">
      <c r="B258">
        <f t="shared" si="13"/>
        <v>252</v>
      </c>
      <c r="C258" s="235">
        <f t="shared" si="12"/>
        <v>6</v>
      </c>
      <c r="D258" s="238">
        <f t="shared" si="14"/>
        <v>53844</v>
      </c>
      <c r="E258" s="197"/>
      <c r="F258" s="197"/>
      <c r="G258" s="197"/>
      <c r="H258" s="197"/>
      <c r="I258" s="197"/>
      <c r="J258" s="197">
        <f>SUMIF(Credit!$A$12:$A$371,'Графики (2)'!D258,Credit!$D$12:$D$371)</f>
        <v>0</v>
      </c>
      <c r="K258">
        <f>SUMIF(Credit!$A$12:$A$371,'Графики (2)'!D258,Credit!$C$12:$C$371)</f>
        <v>0</v>
      </c>
    </row>
    <row r="259" spans="2:11" x14ac:dyDescent="0.35">
      <c r="B259">
        <f t="shared" si="13"/>
        <v>253</v>
      </c>
      <c r="C259" s="235">
        <f t="shared" si="12"/>
        <v>7</v>
      </c>
      <c r="D259" s="238">
        <f t="shared" si="14"/>
        <v>53874</v>
      </c>
      <c r="E259" s="197"/>
      <c r="F259" s="197"/>
      <c r="G259" s="197"/>
      <c r="H259" s="197"/>
      <c r="I259" s="197"/>
      <c r="J259" s="197">
        <f>SUMIF(Credit!$A$12:$A$371,'Графики (2)'!D259,Credit!$D$12:$D$371)</f>
        <v>0</v>
      </c>
      <c r="K259">
        <f>SUMIF(Credit!$A$12:$A$371,'Графики (2)'!D259,Credit!$C$12:$C$371)</f>
        <v>0</v>
      </c>
    </row>
    <row r="260" spans="2:11" x14ac:dyDescent="0.35">
      <c r="B260">
        <f t="shared" si="13"/>
        <v>254</v>
      </c>
      <c r="C260" s="235">
        <f t="shared" si="12"/>
        <v>8</v>
      </c>
      <c r="D260" s="238">
        <f t="shared" si="14"/>
        <v>53905</v>
      </c>
      <c r="E260" s="197"/>
      <c r="F260" s="197"/>
      <c r="G260" s="197"/>
      <c r="H260" s="197"/>
      <c r="I260" s="197"/>
      <c r="J260" s="197">
        <f>SUMIF(Credit!$A$12:$A$371,'Графики (2)'!D260,Credit!$D$12:$D$371)</f>
        <v>0</v>
      </c>
      <c r="K260">
        <f>SUMIF(Credit!$A$12:$A$371,'Графики (2)'!D260,Credit!$C$12:$C$371)</f>
        <v>0</v>
      </c>
    </row>
    <row r="261" spans="2:11" x14ac:dyDescent="0.35">
      <c r="B261">
        <f t="shared" si="13"/>
        <v>255</v>
      </c>
      <c r="C261" s="235">
        <f t="shared" si="12"/>
        <v>9</v>
      </c>
      <c r="D261" s="238">
        <f t="shared" si="14"/>
        <v>53936</v>
      </c>
      <c r="E261" s="197"/>
      <c r="F261" s="197"/>
      <c r="G261" s="197"/>
      <c r="H261" s="197"/>
      <c r="I261" s="197"/>
      <c r="J261" s="197">
        <f>SUMIF(Credit!$A$12:$A$371,'Графики (2)'!D261,Credit!$D$12:$D$371)</f>
        <v>0</v>
      </c>
      <c r="K261">
        <f>SUMIF(Credit!$A$12:$A$371,'Графики (2)'!D261,Credit!$C$12:$C$371)</f>
        <v>0</v>
      </c>
    </row>
    <row r="262" spans="2:11" x14ac:dyDescent="0.35">
      <c r="B262">
        <f t="shared" si="13"/>
        <v>256</v>
      </c>
      <c r="C262" s="235">
        <f t="shared" si="12"/>
        <v>10</v>
      </c>
      <c r="D262" s="238">
        <f t="shared" si="14"/>
        <v>53966</v>
      </c>
      <c r="E262" s="197"/>
      <c r="F262" s="197"/>
      <c r="G262" s="197"/>
      <c r="H262" s="197"/>
      <c r="I262" s="197"/>
      <c r="J262" s="197">
        <f>SUMIF(Credit!$A$12:$A$371,'Графики (2)'!D262,Credit!$D$12:$D$371)</f>
        <v>0</v>
      </c>
      <c r="K262">
        <f>SUMIF(Credit!$A$12:$A$371,'Графики (2)'!D262,Credit!$C$12:$C$371)</f>
        <v>0</v>
      </c>
    </row>
    <row r="263" spans="2:11" x14ac:dyDescent="0.35">
      <c r="B263">
        <f t="shared" si="13"/>
        <v>257</v>
      </c>
      <c r="C263" s="235">
        <f t="shared" ref="C263:C306" si="15">MONTH(D263)</f>
        <v>11</v>
      </c>
      <c r="D263" s="238">
        <f t="shared" si="14"/>
        <v>53997</v>
      </c>
      <c r="E263" s="197"/>
      <c r="F263" s="197"/>
      <c r="G263" s="197"/>
      <c r="H263" s="197"/>
      <c r="I263" s="197"/>
      <c r="J263" s="197">
        <f>SUMIF(Credit!$A$12:$A$371,'Графики (2)'!D263,Credit!$D$12:$D$371)</f>
        <v>0</v>
      </c>
      <c r="K263">
        <f>SUMIF(Credit!$A$12:$A$371,'Графики (2)'!D263,Credit!$C$12:$C$371)</f>
        <v>0</v>
      </c>
    </row>
    <row r="264" spans="2:11" x14ac:dyDescent="0.35">
      <c r="B264">
        <f t="shared" ref="B264:B306" si="16">B263+1</f>
        <v>258</v>
      </c>
      <c r="C264" s="235">
        <f t="shared" si="15"/>
        <v>12</v>
      </c>
      <c r="D264" s="238">
        <f t="shared" ref="D264:D306" si="17">EDATE(D263,1)</f>
        <v>54027</v>
      </c>
      <c r="E264" s="197"/>
      <c r="F264" s="197"/>
      <c r="G264" s="197"/>
      <c r="H264" s="197"/>
      <c r="I264" s="197"/>
      <c r="J264" s="197">
        <f>SUMIF(Credit!$A$12:$A$371,'Графики (2)'!D264,Credit!$D$12:$D$371)</f>
        <v>0</v>
      </c>
      <c r="K264">
        <f>SUMIF(Credit!$A$12:$A$371,'Графики (2)'!D264,Credit!$C$12:$C$371)</f>
        <v>0</v>
      </c>
    </row>
    <row r="265" spans="2:11" x14ac:dyDescent="0.35">
      <c r="B265">
        <f t="shared" si="16"/>
        <v>259</v>
      </c>
      <c r="C265" s="235">
        <f t="shared" si="15"/>
        <v>1</v>
      </c>
      <c r="D265" s="238">
        <f t="shared" si="17"/>
        <v>54058</v>
      </c>
      <c r="E265" s="197"/>
      <c r="F265" s="197"/>
      <c r="G265" s="197"/>
      <c r="H265" s="197"/>
      <c r="I265" s="197"/>
      <c r="J265" s="197">
        <f>SUMIF(Credit!$A$12:$A$371,'Графики (2)'!D265,Credit!$D$12:$D$371)</f>
        <v>0</v>
      </c>
      <c r="K265">
        <f>SUMIF(Credit!$A$12:$A$371,'Графики (2)'!D265,Credit!$C$12:$C$371)</f>
        <v>0</v>
      </c>
    </row>
    <row r="266" spans="2:11" x14ac:dyDescent="0.35">
      <c r="B266">
        <f t="shared" si="16"/>
        <v>260</v>
      </c>
      <c r="C266" s="235">
        <f t="shared" si="15"/>
        <v>2</v>
      </c>
      <c r="D266" s="238">
        <f t="shared" si="17"/>
        <v>54089</v>
      </c>
      <c r="E266" s="197"/>
      <c r="F266" s="197"/>
      <c r="G266" s="197"/>
      <c r="H266" s="197"/>
      <c r="I266" s="197"/>
      <c r="J266" s="197">
        <f>SUMIF(Credit!$A$12:$A$371,'Графики (2)'!D266,Credit!$D$12:$D$371)</f>
        <v>0</v>
      </c>
      <c r="K266">
        <f>SUMIF(Credit!$A$12:$A$371,'Графики (2)'!D266,Credit!$C$12:$C$371)</f>
        <v>0</v>
      </c>
    </row>
    <row r="267" spans="2:11" x14ac:dyDescent="0.35">
      <c r="B267">
        <f t="shared" si="16"/>
        <v>261</v>
      </c>
      <c r="C267" s="235">
        <f t="shared" si="15"/>
        <v>3</v>
      </c>
      <c r="D267" s="238">
        <f t="shared" si="17"/>
        <v>54118</v>
      </c>
      <c r="E267" s="197"/>
      <c r="F267" s="197"/>
      <c r="G267" s="197"/>
      <c r="H267" s="197"/>
      <c r="I267" s="197"/>
      <c r="J267" s="197">
        <f>SUMIF(Credit!$A$12:$A$371,'Графики (2)'!D267,Credit!$D$12:$D$371)</f>
        <v>0</v>
      </c>
      <c r="K267">
        <f>SUMIF(Credit!$A$12:$A$371,'Графики (2)'!D267,Credit!$C$12:$C$371)</f>
        <v>0</v>
      </c>
    </row>
    <row r="268" spans="2:11" x14ac:dyDescent="0.35">
      <c r="B268">
        <f t="shared" si="16"/>
        <v>262</v>
      </c>
      <c r="C268" s="235">
        <f t="shared" si="15"/>
        <v>4</v>
      </c>
      <c r="D268" s="238">
        <f t="shared" si="17"/>
        <v>54149</v>
      </c>
      <c r="E268" s="197"/>
      <c r="F268" s="197"/>
      <c r="G268" s="197"/>
      <c r="H268" s="197"/>
      <c r="I268" s="197"/>
      <c r="J268" s="197">
        <f>SUMIF(Credit!$A$12:$A$371,'Графики (2)'!D268,Credit!$D$12:$D$371)</f>
        <v>0</v>
      </c>
      <c r="K268">
        <f>SUMIF(Credit!$A$12:$A$371,'Графики (2)'!D268,Credit!$C$12:$C$371)</f>
        <v>0</v>
      </c>
    </row>
    <row r="269" spans="2:11" x14ac:dyDescent="0.35">
      <c r="B269">
        <f t="shared" si="16"/>
        <v>263</v>
      </c>
      <c r="C269" s="235">
        <f t="shared" si="15"/>
        <v>5</v>
      </c>
      <c r="D269" s="238">
        <f t="shared" si="17"/>
        <v>54179</v>
      </c>
      <c r="E269" s="197"/>
      <c r="F269" s="197"/>
      <c r="G269" s="197"/>
      <c r="H269" s="197"/>
      <c r="I269" s="197"/>
      <c r="J269" s="197">
        <f>SUMIF(Credit!$A$12:$A$371,'Графики (2)'!D269,Credit!$D$12:$D$371)</f>
        <v>0</v>
      </c>
      <c r="K269">
        <f>SUMIF(Credit!$A$12:$A$371,'Графики (2)'!D269,Credit!$C$12:$C$371)</f>
        <v>0</v>
      </c>
    </row>
    <row r="270" spans="2:11" x14ac:dyDescent="0.35">
      <c r="B270">
        <f t="shared" si="16"/>
        <v>264</v>
      </c>
      <c r="C270" s="235">
        <f t="shared" si="15"/>
        <v>6</v>
      </c>
      <c r="D270" s="238">
        <f t="shared" si="17"/>
        <v>54210</v>
      </c>
      <c r="E270" s="197"/>
      <c r="F270" s="197"/>
      <c r="G270" s="197"/>
      <c r="H270" s="197"/>
      <c r="I270" s="197"/>
      <c r="J270" s="197">
        <f>SUMIF(Credit!$A$12:$A$371,'Графики (2)'!D270,Credit!$D$12:$D$371)</f>
        <v>0</v>
      </c>
      <c r="K270">
        <f>SUMIF(Credit!$A$12:$A$371,'Графики (2)'!D270,Credit!$C$12:$C$371)</f>
        <v>0</v>
      </c>
    </row>
    <row r="271" spans="2:11" x14ac:dyDescent="0.35">
      <c r="B271">
        <f t="shared" si="16"/>
        <v>265</v>
      </c>
      <c r="C271" s="235">
        <f t="shared" si="15"/>
        <v>7</v>
      </c>
      <c r="D271" s="238">
        <f t="shared" si="17"/>
        <v>54240</v>
      </c>
      <c r="E271" s="197"/>
      <c r="F271" s="197"/>
      <c r="G271" s="197"/>
      <c r="H271" s="197"/>
      <c r="I271" s="197"/>
      <c r="J271" s="197">
        <f>SUMIF(Credit!$A$12:$A$371,'Графики (2)'!D271,Credit!$D$12:$D$371)</f>
        <v>0</v>
      </c>
      <c r="K271">
        <f>SUMIF(Credit!$A$12:$A$371,'Графики (2)'!D271,Credit!$C$12:$C$371)</f>
        <v>0</v>
      </c>
    </row>
    <row r="272" spans="2:11" x14ac:dyDescent="0.35">
      <c r="B272">
        <f t="shared" si="16"/>
        <v>266</v>
      </c>
      <c r="C272" s="235">
        <f t="shared" si="15"/>
        <v>8</v>
      </c>
      <c r="D272" s="238">
        <f t="shared" si="17"/>
        <v>54271</v>
      </c>
      <c r="E272" s="197"/>
      <c r="F272" s="197"/>
      <c r="G272" s="197"/>
      <c r="H272" s="197"/>
      <c r="I272" s="197"/>
      <c r="J272" s="197">
        <f>SUMIF(Credit!$A$12:$A$371,'Графики (2)'!D272,Credit!$D$12:$D$371)</f>
        <v>0</v>
      </c>
      <c r="K272">
        <f>SUMIF(Credit!$A$12:$A$371,'Графики (2)'!D272,Credit!$C$12:$C$371)</f>
        <v>0</v>
      </c>
    </row>
    <row r="273" spans="2:11" x14ac:dyDescent="0.35">
      <c r="B273">
        <f t="shared" si="16"/>
        <v>267</v>
      </c>
      <c r="C273" s="235">
        <f t="shared" si="15"/>
        <v>9</v>
      </c>
      <c r="D273" s="238">
        <f t="shared" si="17"/>
        <v>54302</v>
      </c>
      <c r="E273" s="197"/>
      <c r="F273" s="197"/>
      <c r="G273" s="197"/>
      <c r="H273" s="197"/>
      <c r="I273" s="197"/>
      <c r="J273" s="197">
        <f>SUMIF(Credit!$A$12:$A$371,'Графики (2)'!D273,Credit!$D$12:$D$371)</f>
        <v>0</v>
      </c>
      <c r="K273">
        <f>SUMIF(Credit!$A$12:$A$371,'Графики (2)'!D273,Credit!$C$12:$C$371)</f>
        <v>0</v>
      </c>
    </row>
    <row r="274" spans="2:11" x14ac:dyDescent="0.35">
      <c r="B274">
        <f t="shared" si="16"/>
        <v>268</v>
      </c>
      <c r="C274" s="235">
        <f t="shared" si="15"/>
        <v>10</v>
      </c>
      <c r="D274" s="238">
        <f t="shared" si="17"/>
        <v>54332</v>
      </c>
      <c r="E274" s="197"/>
      <c r="F274" s="197"/>
      <c r="G274" s="197"/>
      <c r="H274" s="197"/>
      <c r="I274" s="197"/>
      <c r="J274" s="197">
        <f>SUMIF(Credit!$A$12:$A$371,'Графики (2)'!D274,Credit!$D$12:$D$371)</f>
        <v>0</v>
      </c>
      <c r="K274">
        <f>SUMIF(Credit!$A$12:$A$371,'Графики (2)'!D274,Credit!$C$12:$C$371)</f>
        <v>0</v>
      </c>
    </row>
    <row r="275" spans="2:11" x14ac:dyDescent="0.35">
      <c r="B275">
        <f t="shared" si="16"/>
        <v>269</v>
      </c>
      <c r="C275" s="235">
        <f t="shared" si="15"/>
        <v>11</v>
      </c>
      <c r="D275" s="238">
        <f t="shared" si="17"/>
        <v>54363</v>
      </c>
      <c r="E275" s="197"/>
      <c r="F275" s="197"/>
      <c r="G275" s="197"/>
      <c r="H275" s="197"/>
      <c r="I275" s="197"/>
      <c r="J275" s="197">
        <f>SUMIF(Credit!$A$12:$A$371,'Графики (2)'!D275,Credit!$D$12:$D$371)</f>
        <v>0</v>
      </c>
      <c r="K275">
        <f>SUMIF(Credit!$A$12:$A$371,'Графики (2)'!D275,Credit!$C$12:$C$371)</f>
        <v>0</v>
      </c>
    </row>
    <row r="276" spans="2:11" x14ac:dyDescent="0.35">
      <c r="B276">
        <f t="shared" si="16"/>
        <v>270</v>
      </c>
      <c r="C276" s="235">
        <f t="shared" si="15"/>
        <v>12</v>
      </c>
      <c r="D276" s="238">
        <f t="shared" si="17"/>
        <v>54393</v>
      </c>
      <c r="E276" s="197"/>
      <c r="F276" s="197"/>
      <c r="G276" s="197"/>
      <c r="H276" s="197"/>
      <c r="I276" s="197"/>
      <c r="J276" s="197">
        <f>SUMIF(Credit!$A$12:$A$371,'Графики (2)'!D276,Credit!$D$12:$D$371)</f>
        <v>0</v>
      </c>
      <c r="K276">
        <f>SUMIF(Credit!$A$12:$A$371,'Графики (2)'!D276,Credit!$C$12:$C$371)</f>
        <v>0</v>
      </c>
    </row>
    <row r="277" spans="2:11" x14ac:dyDescent="0.35">
      <c r="B277">
        <f t="shared" si="16"/>
        <v>271</v>
      </c>
      <c r="C277" s="235">
        <f t="shared" si="15"/>
        <v>1</v>
      </c>
      <c r="D277" s="238">
        <f t="shared" si="17"/>
        <v>54424</v>
      </c>
      <c r="E277" s="197"/>
      <c r="F277" s="197"/>
      <c r="G277" s="197"/>
      <c r="H277" s="197"/>
      <c r="I277" s="197"/>
      <c r="J277" s="197">
        <f>SUMIF(Credit!$A$12:$A$371,'Графики (2)'!D277,Credit!$D$12:$D$371)</f>
        <v>0</v>
      </c>
      <c r="K277">
        <f>SUMIF(Credit!$A$12:$A$371,'Графики (2)'!D277,Credit!$C$12:$C$371)</f>
        <v>0</v>
      </c>
    </row>
    <row r="278" spans="2:11" x14ac:dyDescent="0.35">
      <c r="B278">
        <f t="shared" si="16"/>
        <v>272</v>
      </c>
      <c r="C278" s="235">
        <f t="shared" si="15"/>
        <v>2</v>
      </c>
      <c r="D278" s="238">
        <f t="shared" si="17"/>
        <v>54455</v>
      </c>
      <c r="E278" s="197"/>
      <c r="F278" s="197"/>
      <c r="G278" s="197"/>
      <c r="H278" s="197"/>
      <c r="I278" s="197"/>
      <c r="J278" s="197">
        <f>SUMIF(Credit!$A$12:$A$371,'Графики (2)'!D278,Credit!$D$12:$D$371)</f>
        <v>0</v>
      </c>
      <c r="K278">
        <f>SUMIF(Credit!$A$12:$A$371,'Графики (2)'!D278,Credit!$C$12:$C$371)</f>
        <v>0</v>
      </c>
    </row>
    <row r="279" spans="2:11" x14ac:dyDescent="0.35">
      <c r="B279">
        <f t="shared" si="16"/>
        <v>273</v>
      </c>
      <c r="C279" s="235">
        <f t="shared" si="15"/>
        <v>3</v>
      </c>
      <c r="D279" s="238">
        <f t="shared" si="17"/>
        <v>54483</v>
      </c>
      <c r="E279" s="197"/>
      <c r="F279" s="197"/>
      <c r="G279" s="197"/>
      <c r="H279" s="197"/>
      <c r="I279" s="197"/>
      <c r="J279" s="197">
        <f>SUMIF(Credit!$A$12:$A$371,'Графики (2)'!D279,Credit!$D$12:$D$371)</f>
        <v>0</v>
      </c>
      <c r="K279">
        <f>SUMIF(Credit!$A$12:$A$371,'Графики (2)'!D279,Credit!$C$12:$C$371)</f>
        <v>0</v>
      </c>
    </row>
    <row r="280" spans="2:11" x14ac:dyDescent="0.35">
      <c r="B280">
        <f t="shared" si="16"/>
        <v>274</v>
      </c>
      <c r="C280" s="235">
        <f t="shared" si="15"/>
        <v>4</v>
      </c>
      <c r="D280" s="238">
        <f t="shared" si="17"/>
        <v>54514</v>
      </c>
      <c r="E280" s="197"/>
      <c r="F280" s="197"/>
      <c r="G280" s="197"/>
      <c r="H280" s="197"/>
      <c r="I280" s="197"/>
      <c r="J280" s="197">
        <f>SUMIF(Credit!$A$12:$A$371,'Графики (2)'!D280,Credit!$D$12:$D$371)</f>
        <v>0</v>
      </c>
      <c r="K280">
        <f>SUMIF(Credit!$A$12:$A$371,'Графики (2)'!D280,Credit!$C$12:$C$371)</f>
        <v>0</v>
      </c>
    </row>
    <row r="281" spans="2:11" x14ac:dyDescent="0.35">
      <c r="B281">
        <f t="shared" si="16"/>
        <v>275</v>
      </c>
      <c r="C281" s="235">
        <f t="shared" si="15"/>
        <v>5</v>
      </c>
      <c r="D281" s="238">
        <f t="shared" si="17"/>
        <v>54544</v>
      </c>
      <c r="E281" s="197"/>
      <c r="F281" s="197"/>
      <c r="G281" s="197"/>
      <c r="H281" s="197"/>
      <c r="I281" s="197"/>
      <c r="J281" s="197">
        <f>SUMIF(Credit!$A$12:$A$371,'Графики (2)'!D281,Credit!$D$12:$D$371)</f>
        <v>0</v>
      </c>
      <c r="K281">
        <f>SUMIF(Credit!$A$12:$A$371,'Графики (2)'!D281,Credit!$C$12:$C$371)</f>
        <v>0</v>
      </c>
    </row>
    <row r="282" spans="2:11" x14ac:dyDescent="0.35">
      <c r="B282">
        <f t="shared" si="16"/>
        <v>276</v>
      </c>
      <c r="C282" s="235">
        <f t="shared" si="15"/>
        <v>6</v>
      </c>
      <c r="D282" s="238">
        <f t="shared" si="17"/>
        <v>54575</v>
      </c>
      <c r="E282" s="197"/>
      <c r="F282" s="197"/>
      <c r="G282" s="197"/>
      <c r="H282" s="197"/>
      <c r="I282" s="197"/>
      <c r="J282" s="197">
        <f>SUMIF(Credit!$A$12:$A$371,'Графики (2)'!D282,Credit!$D$12:$D$371)</f>
        <v>0</v>
      </c>
      <c r="K282">
        <f>SUMIF(Credit!$A$12:$A$371,'Графики (2)'!D282,Credit!$C$12:$C$371)</f>
        <v>0</v>
      </c>
    </row>
    <row r="283" spans="2:11" x14ac:dyDescent="0.35">
      <c r="B283">
        <f t="shared" si="16"/>
        <v>277</v>
      </c>
      <c r="C283" s="235">
        <f t="shared" si="15"/>
        <v>7</v>
      </c>
      <c r="D283" s="238">
        <f t="shared" si="17"/>
        <v>54605</v>
      </c>
      <c r="E283" s="197"/>
      <c r="F283" s="197"/>
      <c r="G283" s="197"/>
      <c r="H283" s="197"/>
      <c r="I283" s="197"/>
      <c r="J283" s="197">
        <f>SUMIF(Credit!$A$12:$A$371,'Графики (2)'!D283,Credit!$D$12:$D$371)</f>
        <v>0</v>
      </c>
      <c r="K283">
        <f>SUMIF(Credit!$A$12:$A$371,'Графики (2)'!D283,Credit!$C$12:$C$371)</f>
        <v>0</v>
      </c>
    </row>
    <row r="284" spans="2:11" x14ac:dyDescent="0.35">
      <c r="B284">
        <f t="shared" si="16"/>
        <v>278</v>
      </c>
      <c r="C284" s="235">
        <f t="shared" si="15"/>
        <v>8</v>
      </c>
      <c r="D284" s="238">
        <f t="shared" si="17"/>
        <v>54636</v>
      </c>
      <c r="E284" s="197"/>
      <c r="F284" s="197"/>
      <c r="G284" s="197"/>
      <c r="H284" s="197"/>
      <c r="I284" s="197"/>
      <c r="J284" s="197">
        <f>SUMIF(Credit!$A$12:$A$371,'Графики (2)'!D284,Credit!$D$12:$D$371)</f>
        <v>0</v>
      </c>
      <c r="K284">
        <f>SUMIF(Credit!$A$12:$A$371,'Графики (2)'!D284,Credit!$C$12:$C$371)</f>
        <v>0</v>
      </c>
    </row>
    <row r="285" spans="2:11" x14ac:dyDescent="0.35">
      <c r="B285">
        <f t="shared" si="16"/>
        <v>279</v>
      </c>
      <c r="C285" s="235">
        <f t="shared" si="15"/>
        <v>9</v>
      </c>
      <c r="D285" s="238">
        <f t="shared" si="17"/>
        <v>54667</v>
      </c>
      <c r="E285" s="197"/>
      <c r="F285" s="197"/>
      <c r="G285" s="197"/>
      <c r="H285" s="197"/>
      <c r="I285" s="197"/>
      <c r="J285" s="197">
        <f>SUMIF(Credit!$A$12:$A$371,'Графики (2)'!D285,Credit!$D$12:$D$371)</f>
        <v>0</v>
      </c>
      <c r="K285">
        <f>SUMIF(Credit!$A$12:$A$371,'Графики (2)'!D285,Credit!$C$12:$C$371)</f>
        <v>0</v>
      </c>
    </row>
    <row r="286" spans="2:11" x14ac:dyDescent="0.35">
      <c r="B286">
        <f t="shared" si="16"/>
        <v>280</v>
      </c>
      <c r="C286" s="235">
        <f t="shared" si="15"/>
        <v>10</v>
      </c>
      <c r="D286" s="238">
        <f t="shared" si="17"/>
        <v>54697</v>
      </c>
      <c r="E286" s="197"/>
      <c r="F286" s="197"/>
      <c r="G286" s="197"/>
      <c r="H286" s="197"/>
      <c r="I286" s="197"/>
      <c r="J286" s="197">
        <f>SUMIF(Credit!$A$12:$A$371,'Графики (2)'!D286,Credit!$D$12:$D$371)</f>
        <v>0</v>
      </c>
      <c r="K286">
        <f>SUMIF(Credit!$A$12:$A$371,'Графики (2)'!D286,Credit!$C$12:$C$371)</f>
        <v>0</v>
      </c>
    </row>
    <row r="287" spans="2:11" x14ac:dyDescent="0.35">
      <c r="B287">
        <f t="shared" si="16"/>
        <v>281</v>
      </c>
      <c r="C287" s="235">
        <f t="shared" si="15"/>
        <v>11</v>
      </c>
      <c r="D287" s="238">
        <f t="shared" si="17"/>
        <v>54728</v>
      </c>
      <c r="E287" s="197"/>
      <c r="F287" s="197"/>
      <c r="G287" s="197"/>
      <c r="H287" s="197"/>
      <c r="I287" s="197"/>
      <c r="J287" s="197">
        <f>SUMIF(Credit!$A$12:$A$371,'Графики (2)'!D287,Credit!$D$12:$D$371)</f>
        <v>0</v>
      </c>
      <c r="K287">
        <f>SUMIF(Credit!$A$12:$A$371,'Графики (2)'!D287,Credit!$C$12:$C$371)</f>
        <v>0</v>
      </c>
    </row>
    <row r="288" spans="2:11" x14ac:dyDescent="0.35">
      <c r="B288">
        <f t="shared" si="16"/>
        <v>282</v>
      </c>
      <c r="C288" s="235">
        <f t="shared" si="15"/>
        <v>12</v>
      </c>
      <c r="D288" s="238">
        <f t="shared" si="17"/>
        <v>54758</v>
      </c>
      <c r="E288" s="197"/>
      <c r="F288" s="197"/>
      <c r="G288" s="197"/>
      <c r="H288" s="197"/>
      <c r="I288" s="197"/>
      <c r="J288" s="197">
        <f>SUMIF(Credit!$A$12:$A$371,'Графики (2)'!D288,Credit!$D$12:$D$371)</f>
        <v>0</v>
      </c>
      <c r="K288">
        <f>SUMIF(Credit!$A$12:$A$371,'Графики (2)'!D288,Credit!$C$12:$C$371)</f>
        <v>0</v>
      </c>
    </row>
    <row r="289" spans="2:11" x14ac:dyDescent="0.35">
      <c r="B289">
        <f t="shared" si="16"/>
        <v>283</v>
      </c>
      <c r="C289" s="235">
        <f t="shared" si="15"/>
        <v>1</v>
      </c>
      <c r="D289" s="238">
        <f t="shared" si="17"/>
        <v>54789</v>
      </c>
      <c r="E289" s="197"/>
      <c r="F289" s="197"/>
      <c r="G289" s="197"/>
      <c r="H289" s="197"/>
      <c r="I289" s="197"/>
      <c r="J289" s="197">
        <f>SUMIF(Credit!$A$12:$A$371,'Графики (2)'!D289,Credit!$D$12:$D$371)</f>
        <v>0</v>
      </c>
      <c r="K289">
        <f>SUMIF(Credit!$A$12:$A$371,'Графики (2)'!D289,Credit!$C$12:$C$371)</f>
        <v>0</v>
      </c>
    </row>
    <row r="290" spans="2:11" x14ac:dyDescent="0.35">
      <c r="B290">
        <f t="shared" si="16"/>
        <v>284</v>
      </c>
      <c r="C290" s="235">
        <f t="shared" si="15"/>
        <v>2</v>
      </c>
      <c r="D290" s="238">
        <f t="shared" si="17"/>
        <v>54820</v>
      </c>
      <c r="E290" s="197"/>
      <c r="F290" s="197"/>
      <c r="G290" s="197"/>
      <c r="H290" s="197"/>
      <c r="I290" s="197"/>
      <c r="J290" s="197">
        <f>SUMIF(Credit!$A$12:$A$371,'Графики (2)'!D290,Credit!$D$12:$D$371)</f>
        <v>0</v>
      </c>
      <c r="K290">
        <f>SUMIF(Credit!$A$12:$A$371,'Графики (2)'!D290,Credit!$C$12:$C$371)</f>
        <v>0</v>
      </c>
    </row>
    <row r="291" spans="2:11" x14ac:dyDescent="0.35">
      <c r="B291">
        <f t="shared" si="16"/>
        <v>285</v>
      </c>
      <c r="C291" s="235">
        <f t="shared" si="15"/>
        <v>3</v>
      </c>
      <c r="D291" s="238">
        <f t="shared" si="17"/>
        <v>54848</v>
      </c>
      <c r="E291" s="197"/>
      <c r="F291" s="197"/>
      <c r="G291" s="197"/>
      <c r="H291" s="197"/>
      <c r="I291" s="197"/>
      <c r="J291" s="197">
        <f>SUMIF(Credit!$A$12:$A$371,'Графики (2)'!D291,Credit!$D$12:$D$371)</f>
        <v>0</v>
      </c>
      <c r="K291">
        <f>SUMIF(Credit!$A$12:$A$371,'Графики (2)'!D291,Credit!$C$12:$C$371)</f>
        <v>0</v>
      </c>
    </row>
    <row r="292" spans="2:11" x14ac:dyDescent="0.35">
      <c r="B292">
        <f t="shared" si="16"/>
        <v>286</v>
      </c>
      <c r="C292" s="235">
        <f t="shared" si="15"/>
        <v>4</v>
      </c>
      <c r="D292" s="238">
        <f t="shared" si="17"/>
        <v>54879</v>
      </c>
      <c r="E292" s="197"/>
      <c r="F292" s="197"/>
      <c r="G292" s="197"/>
      <c r="H292" s="197"/>
      <c r="I292" s="197"/>
      <c r="J292" s="197">
        <f>SUMIF(Credit!$A$12:$A$371,'Графики (2)'!D292,Credit!$D$12:$D$371)</f>
        <v>0</v>
      </c>
      <c r="K292">
        <f>SUMIF(Credit!$A$12:$A$371,'Графики (2)'!D292,Credit!$C$12:$C$371)</f>
        <v>0</v>
      </c>
    </row>
    <row r="293" spans="2:11" x14ac:dyDescent="0.35">
      <c r="B293">
        <f t="shared" si="16"/>
        <v>287</v>
      </c>
      <c r="C293" s="235">
        <f t="shared" si="15"/>
        <v>5</v>
      </c>
      <c r="D293" s="238">
        <f t="shared" si="17"/>
        <v>54909</v>
      </c>
      <c r="E293" s="197"/>
      <c r="F293" s="197"/>
      <c r="G293" s="197"/>
      <c r="H293" s="197"/>
      <c r="I293" s="197"/>
      <c r="J293" s="197">
        <f>SUMIF(Credit!$A$12:$A$371,'Графики (2)'!D293,Credit!$D$12:$D$371)</f>
        <v>0</v>
      </c>
      <c r="K293">
        <f>SUMIF(Credit!$A$12:$A$371,'Графики (2)'!D293,Credit!$C$12:$C$371)</f>
        <v>0</v>
      </c>
    </row>
    <row r="294" spans="2:11" x14ac:dyDescent="0.35">
      <c r="B294">
        <f t="shared" si="16"/>
        <v>288</v>
      </c>
      <c r="C294" s="235">
        <f t="shared" si="15"/>
        <v>6</v>
      </c>
      <c r="D294" s="238">
        <f t="shared" si="17"/>
        <v>54940</v>
      </c>
      <c r="E294" s="197"/>
      <c r="F294" s="197"/>
      <c r="G294" s="197"/>
      <c r="H294" s="197"/>
      <c r="I294" s="197"/>
      <c r="J294" s="197">
        <f>SUMIF(Credit!$A$12:$A$371,'Графики (2)'!D294,Credit!$D$12:$D$371)</f>
        <v>0</v>
      </c>
      <c r="K294">
        <f>SUMIF(Credit!$A$12:$A$371,'Графики (2)'!D294,Credit!$C$12:$C$371)</f>
        <v>0</v>
      </c>
    </row>
    <row r="295" spans="2:11" x14ac:dyDescent="0.35">
      <c r="B295">
        <f t="shared" si="16"/>
        <v>289</v>
      </c>
      <c r="C295" s="235">
        <f t="shared" si="15"/>
        <v>7</v>
      </c>
      <c r="D295" s="238">
        <f t="shared" si="17"/>
        <v>54970</v>
      </c>
      <c r="E295" s="197"/>
      <c r="F295" s="197"/>
      <c r="G295" s="197"/>
      <c r="H295" s="197"/>
      <c r="I295" s="197"/>
      <c r="J295" s="197">
        <f>SUMIF(Credit!$A$12:$A$371,'Графики (2)'!D295,Credit!$D$12:$D$371)</f>
        <v>0</v>
      </c>
      <c r="K295">
        <f>SUMIF(Credit!$A$12:$A$371,'Графики (2)'!D295,Credit!$C$12:$C$371)</f>
        <v>0</v>
      </c>
    </row>
    <row r="296" spans="2:11" x14ac:dyDescent="0.35">
      <c r="B296">
        <f t="shared" si="16"/>
        <v>290</v>
      </c>
      <c r="C296" s="235">
        <f t="shared" si="15"/>
        <v>8</v>
      </c>
      <c r="D296" s="238">
        <f t="shared" si="17"/>
        <v>55001</v>
      </c>
      <c r="E296" s="197"/>
      <c r="F296" s="197"/>
      <c r="G296" s="197"/>
      <c r="H296" s="197"/>
      <c r="I296" s="197"/>
      <c r="J296" s="197">
        <f>SUMIF(Credit!$A$12:$A$371,'Графики (2)'!D296,Credit!$D$12:$D$371)</f>
        <v>0</v>
      </c>
      <c r="K296">
        <f>SUMIF(Credit!$A$12:$A$371,'Графики (2)'!D296,Credit!$C$12:$C$371)</f>
        <v>0</v>
      </c>
    </row>
    <row r="297" spans="2:11" x14ac:dyDescent="0.35">
      <c r="B297">
        <f t="shared" si="16"/>
        <v>291</v>
      </c>
      <c r="C297" s="235">
        <f t="shared" si="15"/>
        <v>9</v>
      </c>
      <c r="D297" s="238">
        <f t="shared" si="17"/>
        <v>55032</v>
      </c>
      <c r="E297" s="197"/>
      <c r="F297" s="197"/>
      <c r="G297" s="197"/>
      <c r="H297" s="197"/>
      <c r="I297" s="197"/>
      <c r="J297" s="197">
        <f>SUMIF(Credit!$A$12:$A$371,'Графики (2)'!D297,Credit!$D$12:$D$371)</f>
        <v>0</v>
      </c>
      <c r="K297">
        <f>SUMIF(Credit!$A$12:$A$371,'Графики (2)'!D297,Credit!$C$12:$C$371)</f>
        <v>0</v>
      </c>
    </row>
    <row r="298" spans="2:11" x14ac:dyDescent="0.35">
      <c r="B298">
        <f t="shared" si="16"/>
        <v>292</v>
      </c>
      <c r="C298" s="235">
        <f t="shared" si="15"/>
        <v>10</v>
      </c>
      <c r="D298" s="238">
        <f t="shared" si="17"/>
        <v>55062</v>
      </c>
      <c r="E298" s="197"/>
      <c r="F298" s="197"/>
      <c r="G298" s="197"/>
      <c r="H298" s="197"/>
      <c r="I298" s="197"/>
      <c r="J298" s="197">
        <f>SUMIF(Credit!$A$12:$A$371,'Графики (2)'!D298,Credit!$D$12:$D$371)</f>
        <v>0</v>
      </c>
      <c r="K298">
        <f>SUMIF(Credit!$A$12:$A$371,'Графики (2)'!D298,Credit!$C$12:$C$371)</f>
        <v>0</v>
      </c>
    </row>
    <row r="299" spans="2:11" x14ac:dyDescent="0.35">
      <c r="B299">
        <f t="shared" si="16"/>
        <v>293</v>
      </c>
      <c r="C299" s="235">
        <f t="shared" si="15"/>
        <v>11</v>
      </c>
      <c r="D299" s="238">
        <f t="shared" si="17"/>
        <v>55093</v>
      </c>
      <c r="E299" s="197"/>
      <c r="F299" s="197"/>
      <c r="G299" s="197"/>
      <c r="H299" s="197"/>
      <c r="I299" s="197"/>
      <c r="J299" s="197">
        <f>SUMIF(Credit!$A$12:$A$371,'Графики (2)'!D299,Credit!$D$12:$D$371)</f>
        <v>0</v>
      </c>
      <c r="K299">
        <f>SUMIF(Credit!$A$12:$A$371,'Графики (2)'!D299,Credit!$C$12:$C$371)</f>
        <v>0</v>
      </c>
    </row>
    <row r="300" spans="2:11" x14ac:dyDescent="0.35">
      <c r="B300">
        <f t="shared" si="16"/>
        <v>294</v>
      </c>
      <c r="C300" s="235">
        <f t="shared" si="15"/>
        <v>12</v>
      </c>
      <c r="D300" s="238">
        <f t="shared" si="17"/>
        <v>55123</v>
      </c>
      <c r="E300" s="197"/>
      <c r="F300" s="197"/>
      <c r="G300" s="197"/>
      <c r="H300" s="197"/>
      <c r="I300" s="197"/>
      <c r="J300" s="197">
        <f>SUMIF(Credit!$A$12:$A$371,'Графики (2)'!D300,Credit!$D$12:$D$371)</f>
        <v>0</v>
      </c>
      <c r="K300">
        <f>SUMIF(Credit!$A$12:$A$371,'Графики (2)'!D300,Credit!$C$12:$C$371)</f>
        <v>0</v>
      </c>
    </row>
    <row r="301" spans="2:11" x14ac:dyDescent="0.35">
      <c r="B301">
        <f t="shared" si="16"/>
        <v>295</v>
      </c>
      <c r="C301" s="235">
        <f t="shared" si="15"/>
        <v>1</v>
      </c>
      <c r="D301" s="238">
        <f t="shared" si="17"/>
        <v>55154</v>
      </c>
      <c r="E301" s="197"/>
      <c r="F301" s="197"/>
      <c r="G301" s="197"/>
      <c r="H301" s="197"/>
      <c r="I301" s="197"/>
      <c r="J301" s="197">
        <f>SUMIF(Credit!$A$12:$A$371,'Графики (2)'!D301,Credit!$D$12:$D$371)</f>
        <v>0</v>
      </c>
      <c r="K301">
        <f>SUMIF(Credit!$A$12:$A$371,'Графики (2)'!D301,Credit!$C$12:$C$371)</f>
        <v>0</v>
      </c>
    </row>
    <row r="302" spans="2:11" x14ac:dyDescent="0.35">
      <c r="B302">
        <f t="shared" si="16"/>
        <v>296</v>
      </c>
      <c r="C302" s="235">
        <f t="shared" si="15"/>
        <v>2</v>
      </c>
      <c r="D302" s="238">
        <f t="shared" si="17"/>
        <v>55185</v>
      </c>
      <c r="E302" s="197"/>
      <c r="F302" s="197"/>
      <c r="G302" s="197"/>
      <c r="H302" s="197"/>
      <c r="I302" s="197"/>
      <c r="J302" s="197">
        <f>SUMIF(Credit!$A$12:$A$371,'Графики (2)'!D302,Credit!$D$12:$D$371)</f>
        <v>0</v>
      </c>
      <c r="K302">
        <f>SUMIF(Credit!$A$12:$A$371,'Графики (2)'!D302,Credit!$C$12:$C$371)</f>
        <v>0</v>
      </c>
    </row>
    <row r="303" spans="2:11" x14ac:dyDescent="0.35">
      <c r="B303">
        <f t="shared" si="16"/>
        <v>297</v>
      </c>
      <c r="C303" s="235">
        <f t="shared" si="15"/>
        <v>3</v>
      </c>
      <c r="D303" s="238">
        <f t="shared" si="17"/>
        <v>55213</v>
      </c>
      <c r="E303" s="197"/>
      <c r="F303" s="197"/>
      <c r="G303" s="197"/>
      <c r="H303" s="197"/>
      <c r="I303" s="197"/>
      <c r="J303" s="197">
        <f>SUMIF(Credit!$A$12:$A$371,'Графики (2)'!D303,Credit!$D$12:$D$371)</f>
        <v>0</v>
      </c>
      <c r="K303">
        <f>SUMIF(Credit!$A$12:$A$371,'Графики (2)'!D303,Credit!$C$12:$C$371)</f>
        <v>0</v>
      </c>
    </row>
    <row r="304" spans="2:11" x14ac:dyDescent="0.35">
      <c r="B304">
        <f t="shared" si="16"/>
        <v>298</v>
      </c>
      <c r="C304" s="235">
        <f t="shared" si="15"/>
        <v>4</v>
      </c>
      <c r="D304" s="238">
        <f t="shared" si="17"/>
        <v>55244</v>
      </c>
      <c r="E304" s="197"/>
      <c r="F304" s="197"/>
      <c r="G304" s="197"/>
      <c r="H304" s="197"/>
      <c r="I304" s="197"/>
      <c r="J304" s="197">
        <f>SUMIF(Credit!$A$12:$A$371,'Графики (2)'!D304,Credit!$D$12:$D$371)</f>
        <v>0</v>
      </c>
      <c r="K304">
        <f>SUMIF(Credit!$A$12:$A$371,'Графики (2)'!D304,Credit!$C$12:$C$371)</f>
        <v>0</v>
      </c>
    </row>
    <row r="305" spans="2:11" x14ac:dyDescent="0.35">
      <c r="B305">
        <f t="shared" si="16"/>
        <v>299</v>
      </c>
      <c r="C305" s="235">
        <f t="shared" si="15"/>
        <v>5</v>
      </c>
      <c r="D305" s="238">
        <f t="shared" si="17"/>
        <v>55274</v>
      </c>
      <c r="E305" s="197"/>
      <c r="F305" s="197"/>
      <c r="G305" s="197"/>
      <c r="H305" s="197"/>
      <c r="I305" s="197"/>
      <c r="J305" s="197">
        <f>SUMIF(Credit!$A$12:$A$371,'Графики (2)'!D305,Credit!$D$12:$D$371)</f>
        <v>0</v>
      </c>
      <c r="K305">
        <f>SUMIF(Credit!$A$12:$A$371,'Графики (2)'!D305,Credit!$C$12:$C$371)</f>
        <v>0</v>
      </c>
    </row>
    <row r="306" spans="2:11" x14ac:dyDescent="0.35">
      <c r="B306">
        <f t="shared" si="16"/>
        <v>300</v>
      </c>
      <c r="C306" s="235">
        <f t="shared" si="15"/>
        <v>6</v>
      </c>
      <c r="D306" s="238">
        <f t="shared" si="17"/>
        <v>55305</v>
      </c>
      <c r="E306" s="197"/>
      <c r="F306" s="197"/>
      <c r="G306" s="197"/>
      <c r="H306" s="197"/>
      <c r="I306" s="197"/>
      <c r="J306" s="197">
        <f>SUMIF(Credit!$A$12:$A$371,'Графики (2)'!D306,Credit!$D$12:$D$371)</f>
        <v>0</v>
      </c>
      <c r="K306">
        <f>SUMIF(Credit!$A$12:$A$371,'Графики (2)'!D306,Credit!$C$12:$C$371)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C420-78D8-4A74-9809-B8FB157BB2BD}">
  <dimension ref="B1:ET40"/>
  <sheetViews>
    <sheetView zoomScale="120" zoomScaleNormal="120" workbookViewId="0">
      <pane xSplit="6" ySplit="13" topLeftCell="G14" activePane="bottomRight" state="frozen"/>
      <selection pane="topRight" activeCell="G1" sqref="G1"/>
      <selection pane="bottomLeft" activeCell="A9" sqref="A9"/>
      <selection pane="bottomRight"/>
    </sheetView>
  </sheetViews>
  <sheetFormatPr defaultRowHeight="14.5" x14ac:dyDescent="0.35"/>
  <cols>
    <col min="2" max="2" width="15.453125" bestFit="1" customWidth="1"/>
    <col min="3" max="3" width="24.36328125" customWidth="1"/>
    <col min="4" max="4" width="15.90625" bestFit="1" customWidth="1"/>
    <col min="5" max="6" width="15.90625" customWidth="1"/>
    <col min="7" max="37" width="14.90625" customWidth="1"/>
    <col min="38" max="43" width="11.6328125" customWidth="1"/>
    <col min="44" max="54" width="17.08984375" customWidth="1"/>
    <col min="55" max="74" width="14.54296875" customWidth="1"/>
    <col min="75" max="75" width="13.08984375" customWidth="1"/>
    <col min="76" max="89" width="11.453125" bestFit="1" customWidth="1"/>
  </cols>
  <sheetData>
    <row r="1" spans="2:15" x14ac:dyDescent="0.35">
      <c r="L1" t="s">
        <v>172</v>
      </c>
    </row>
    <row r="2" spans="2:15" x14ac:dyDescent="0.35">
      <c r="C2" t="s">
        <v>173</v>
      </c>
      <c r="D2" s="197">
        <f>'Dashboard все'!C25</f>
        <v>6901</v>
      </c>
      <c r="E2" s="197"/>
      <c r="F2" s="197"/>
      <c r="G2" s="197"/>
      <c r="L2" s="298" t="s">
        <v>194</v>
      </c>
      <c r="M2" s="200">
        <v>3.0000000000000001E-3</v>
      </c>
      <c r="N2">
        <v>4</v>
      </c>
      <c r="O2" s="199">
        <f t="shared" ref="O2:O7" si="0">M2*N2</f>
        <v>1.2E-2</v>
      </c>
    </row>
    <row r="3" spans="2:15" x14ac:dyDescent="0.35">
      <c r="C3" t="s">
        <v>175</v>
      </c>
      <c r="D3" s="197">
        <f>'Dashboard все'!C26</f>
        <v>6901</v>
      </c>
      <c r="E3" s="197"/>
      <c r="F3" s="197"/>
      <c r="G3" s="197"/>
      <c r="L3" s="298">
        <v>5</v>
      </c>
      <c r="M3" s="200">
        <v>4.0000000000000001E-3</v>
      </c>
      <c r="N3">
        <v>1</v>
      </c>
      <c r="O3" s="199">
        <f t="shared" si="0"/>
        <v>4.0000000000000001E-3</v>
      </c>
    </row>
    <row r="4" spans="2:15" x14ac:dyDescent="0.35">
      <c r="C4" t="s">
        <v>177</v>
      </c>
      <c r="D4" s="197">
        <v>1</v>
      </c>
      <c r="E4" s="197"/>
      <c r="F4" s="197"/>
      <c r="G4" s="197"/>
      <c r="L4" s="298" t="s">
        <v>195</v>
      </c>
      <c r="M4" s="200">
        <v>1.55E-2</v>
      </c>
      <c r="N4">
        <f>10-6+1</f>
        <v>5</v>
      </c>
      <c r="O4" s="199">
        <f t="shared" si="0"/>
        <v>7.7499999999999999E-2</v>
      </c>
    </row>
    <row r="5" spans="2:15" x14ac:dyDescent="0.35">
      <c r="C5" t="s">
        <v>196</v>
      </c>
      <c r="D5" s="197">
        <f>'PnL (2)'!B40+'PnL (2)'!B52</f>
        <v>60484095277.872696</v>
      </c>
      <c r="E5" s="197"/>
      <c r="F5" s="197"/>
      <c r="G5" s="197"/>
      <c r="L5" s="298" t="s">
        <v>197</v>
      </c>
      <c r="M5" s="200">
        <v>1.2E-2</v>
      </c>
      <c r="N5">
        <f>28-11+1</f>
        <v>18</v>
      </c>
      <c r="O5" s="199">
        <f t="shared" si="0"/>
        <v>0.216</v>
      </c>
    </row>
    <row r="6" spans="2:15" x14ac:dyDescent="0.35">
      <c r="C6" t="s">
        <v>198</v>
      </c>
      <c r="D6" s="197">
        <f>D5/D4</f>
        <v>60484095277.872696</v>
      </c>
      <c r="E6" s="197"/>
      <c r="F6" s="197"/>
      <c r="G6" s="197"/>
      <c r="L6" s="298" t="s">
        <v>199</v>
      </c>
      <c r="M6" s="200">
        <v>1.2999999999999999E-2</v>
      </c>
      <c r="N6">
        <f>32-29+1</f>
        <v>4</v>
      </c>
      <c r="O6" s="199">
        <f t="shared" si="0"/>
        <v>5.1999999999999998E-2</v>
      </c>
    </row>
    <row r="7" spans="2:15" x14ac:dyDescent="0.35">
      <c r="D7" s="197"/>
      <c r="E7" s="197"/>
      <c r="F7" s="197"/>
      <c r="G7" s="197"/>
      <c r="L7" s="298" t="s">
        <v>200</v>
      </c>
      <c r="M7" s="200">
        <v>1.35E-2</v>
      </c>
      <c r="N7">
        <f>77-33+1</f>
        <v>45</v>
      </c>
      <c r="O7" s="199">
        <f t="shared" si="0"/>
        <v>0.60750000000000004</v>
      </c>
    </row>
    <row r="8" spans="2:15" x14ac:dyDescent="0.35">
      <c r="D8" s="197"/>
      <c r="E8" s="197"/>
      <c r="F8" s="197"/>
      <c r="G8" s="197"/>
      <c r="L8" s="298"/>
      <c r="M8" s="200"/>
      <c r="O8" s="199"/>
    </row>
    <row r="9" spans="2:15" x14ac:dyDescent="0.35">
      <c r="D9" s="197"/>
      <c r="E9" s="197"/>
      <c r="F9" s="197"/>
      <c r="G9" s="197"/>
      <c r="L9" s="298"/>
      <c r="M9" s="200"/>
      <c r="O9" s="199"/>
    </row>
    <row r="10" spans="2:15" x14ac:dyDescent="0.35">
      <c r="D10" s="197"/>
      <c r="E10" s="197"/>
      <c r="F10" s="197"/>
      <c r="G10" s="197"/>
      <c r="L10" s="298" t="s">
        <v>201</v>
      </c>
      <c r="M10" s="200">
        <f>O10/N10</f>
        <v>4.4285714285714163E-3</v>
      </c>
      <c r="N10">
        <f>84-78+1</f>
        <v>7</v>
      </c>
      <c r="O10" s="200">
        <f>O11-O2-O3-O4-O5-O6-O7-O8-O9</f>
        <v>3.0999999999999917E-2</v>
      </c>
    </row>
    <row r="11" spans="2:15" x14ac:dyDescent="0.35">
      <c r="E11" s="197"/>
      <c r="F11" s="197"/>
      <c r="G11" s="197"/>
      <c r="L11" s="231" t="s">
        <v>103</v>
      </c>
      <c r="M11" s="232">
        <v>0.01</v>
      </c>
      <c r="N11" s="231">
        <f>SUM(N2:N10)</f>
        <v>84</v>
      </c>
      <c r="O11" s="232">
        <v>1</v>
      </c>
    </row>
    <row r="12" spans="2:15" x14ac:dyDescent="0.35">
      <c r="D12" s="197"/>
      <c r="E12" s="197"/>
      <c r="F12" s="197"/>
      <c r="G12" s="197"/>
    </row>
    <row r="13" spans="2:15" x14ac:dyDescent="0.35">
      <c r="D13" s="197"/>
      <c r="E13" s="197"/>
      <c r="F13" s="197"/>
      <c r="G13" s="197"/>
    </row>
    <row r="14" spans="2:15" x14ac:dyDescent="0.35">
      <c r="D14" s="197"/>
      <c r="E14" s="197"/>
      <c r="F14" s="214"/>
      <c r="G14" s="197"/>
    </row>
    <row r="15" spans="2:15" x14ac:dyDescent="0.35">
      <c r="B15" s="197"/>
      <c r="D15" s="197"/>
      <c r="E15" s="197"/>
      <c r="F15" s="197"/>
      <c r="G15" s="197"/>
    </row>
    <row r="16" spans="2:15" x14ac:dyDescent="0.35">
      <c r="C16">
        <f>C15/D6</f>
        <v>0</v>
      </c>
      <c r="I16" s="197"/>
    </row>
    <row r="17" spans="2:150" x14ac:dyDescent="0.35">
      <c r="E17" s="201">
        <f>'DCF (2)'!D6</f>
        <v>46204</v>
      </c>
      <c r="F17" s="201">
        <f>'DCF (2)'!E6</f>
        <v>46235</v>
      </c>
      <c r="G17" s="201">
        <f>'DCF (2)'!F6</f>
        <v>46266</v>
      </c>
      <c r="H17" s="201">
        <f>'DCF (2)'!G6</f>
        <v>46296</v>
      </c>
      <c r="I17" s="201">
        <f>'DCF (2)'!H6</f>
        <v>46327</v>
      </c>
      <c r="J17" s="201">
        <f>'DCF (2)'!I6</f>
        <v>46357</v>
      </c>
      <c r="K17" s="201">
        <f>'DCF (2)'!J6</f>
        <v>46388</v>
      </c>
      <c r="L17" s="201">
        <f>'DCF (2)'!K6</f>
        <v>46419</v>
      </c>
      <c r="M17" s="201">
        <f>'DCF (2)'!L6</f>
        <v>46447</v>
      </c>
      <c r="N17" s="201">
        <f>'DCF (2)'!M6</f>
        <v>46478</v>
      </c>
      <c r="O17" s="201">
        <f>'DCF (2)'!N6</f>
        <v>46508</v>
      </c>
      <c r="P17" s="201">
        <f>'DCF (2)'!O6</f>
        <v>46539</v>
      </c>
      <c r="Q17" s="201">
        <f>'DCF (2)'!P6</f>
        <v>46569</v>
      </c>
      <c r="R17" s="201">
        <f>'DCF (2)'!Q6</f>
        <v>46600</v>
      </c>
      <c r="S17" s="201">
        <f>'DCF (2)'!R6</f>
        <v>46631</v>
      </c>
      <c r="T17" s="201">
        <f>'DCF (2)'!S6</f>
        <v>46661</v>
      </c>
      <c r="U17" s="201">
        <f>'DCF (2)'!T6</f>
        <v>46692</v>
      </c>
      <c r="V17" s="201">
        <f>'DCF (2)'!U6</f>
        <v>46722</v>
      </c>
      <c r="W17" s="201">
        <f>'DCF (2)'!V6</f>
        <v>46753</v>
      </c>
      <c r="X17" s="201">
        <f>'DCF (2)'!W6</f>
        <v>46784</v>
      </c>
      <c r="Y17" s="201">
        <f>'DCF (2)'!X6</f>
        <v>46813</v>
      </c>
      <c r="Z17" s="201">
        <f>'DCF (2)'!Y6</f>
        <v>46844</v>
      </c>
      <c r="AA17" s="201">
        <f>'DCF (2)'!Z6</f>
        <v>46874</v>
      </c>
      <c r="AB17" s="201">
        <f>'DCF (2)'!AA6</f>
        <v>46905</v>
      </c>
      <c r="AC17" s="201">
        <f>'DCF (2)'!AB6</f>
        <v>46935</v>
      </c>
      <c r="AD17" s="201">
        <f>'DCF (2)'!AC6</f>
        <v>46966</v>
      </c>
      <c r="AE17" s="201">
        <f>'DCF (2)'!AD6</f>
        <v>46997</v>
      </c>
      <c r="AF17" s="201">
        <f>'DCF (2)'!AE6</f>
        <v>47027</v>
      </c>
      <c r="AG17" s="201">
        <f>'DCF (2)'!AF6</f>
        <v>47058</v>
      </c>
      <c r="AH17" s="201">
        <f>'DCF (2)'!AG6</f>
        <v>47088</v>
      </c>
      <c r="AI17" s="201">
        <f>'DCF (2)'!AH6</f>
        <v>47119</v>
      </c>
      <c r="AJ17" s="201">
        <f>'DCF (2)'!AI6</f>
        <v>47150</v>
      </c>
      <c r="AK17" s="201">
        <f>'DCF (2)'!AJ6</f>
        <v>47178</v>
      </c>
      <c r="AL17" s="201">
        <f>'DCF (2)'!AK6</f>
        <v>47209</v>
      </c>
      <c r="AM17" s="201">
        <f>'DCF (2)'!AL6</f>
        <v>47239</v>
      </c>
      <c r="AN17" s="201">
        <f>'DCF (2)'!AM6</f>
        <v>47270</v>
      </c>
      <c r="AO17" s="201">
        <f>'DCF (2)'!AN6</f>
        <v>47300</v>
      </c>
      <c r="AP17" s="201">
        <f>'DCF (2)'!AO6</f>
        <v>47331</v>
      </c>
      <c r="AQ17" s="201">
        <f>'DCF (2)'!AP6</f>
        <v>47362</v>
      </c>
      <c r="AR17" s="201">
        <f>'DCF (2)'!AQ6</f>
        <v>47392</v>
      </c>
      <c r="AS17" s="201">
        <f>'DCF (2)'!AR6</f>
        <v>47423</v>
      </c>
      <c r="AT17" s="201">
        <f>'DCF (2)'!AS6</f>
        <v>47453</v>
      </c>
      <c r="AU17" s="201">
        <f>'DCF (2)'!AT6</f>
        <v>47484</v>
      </c>
      <c r="AV17" s="201">
        <f>'DCF (2)'!AU6</f>
        <v>47515</v>
      </c>
      <c r="AW17" s="201">
        <f>'DCF (2)'!AV6</f>
        <v>47543</v>
      </c>
      <c r="AX17" s="201">
        <f>'DCF (2)'!AW6</f>
        <v>47574</v>
      </c>
      <c r="AY17" s="201">
        <f>'DCF (2)'!AX6</f>
        <v>47604</v>
      </c>
      <c r="AZ17" s="201">
        <f>'DCF (2)'!AY6</f>
        <v>47635</v>
      </c>
      <c r="BA17" s="201">
        <f>'DCF (2)'!AZ6</f>
        <v>47665</v>
      </c>
      <c r="BB17" s="201">
        <f>'DCF (2)'!BA6</f>
        <v>47696</v>
      </c>
      <c r="BC17" s="201">
        <f>'DCF (2)'!BB6</f>
        <v>47727</v>
      </c>
      <c r="BD17" s="201">
        <f>'DCF (2)'!BC6</f>
        <v>47757</v>
      </c>
      <c r="BE17" s="201">
        <f>'DCF (2)'!BD6</f>
        <v>47788</v>
      </c>
      <c r="BF17" s="201">
        <f>'DCF (2)'!BE6</f>
        <v>47818</v>
      </c>
      <c r="BG17" s="201">
        <f>'DCF (2)'!BF6</f>
        <v>47849</v>
      </c>
      <c r="BH17" s="201">
        <f>'DCF (2)'!BG6</f>
        <v>47880</v>
      </c>
      <c r="BI17" s="201">
        <f>'DCF (2)'!BH6</f>
        <v>47908</v>
      </c>
      <c r="BJ17" s="201">
        <f>'DCF (2)'!BI6</f>
        <v>47939</v>
      </c>
      <c r="BK17" s="201">
        <f>'DCF (2)'!BJ6</f>
        <v>47969</v>
      </c>
      <c r="BL17" s="201">
        <f>'DCF (2)'!BK6</f>
        <v>48000</v>
      </c>
      <c r="BM17" s="201">
        <f>'DCF (2)'!BL6</f>
        <v>48030</v>
      </c>
      <c r="BN17" s="201">
        <f>'DCF (2)'!BM6</f>
        <v>48061</v>
      </c>
      <c r="BO17" s="201">
        <f>'DCF (2)'!BN6</f>
        <v>48092</v>
      </c>
      <c r="BP17" s="201">
        <f>'DCF (2)'!BO6</f>
        <v>48122</v>
      </c>
      <c r="BQ17" s="201">
        <f>'DCF (2)'!BP6</f>
        <v>48153</v>
      </c>
      <c r="BR17" s="201">
        <f>'DCF (2)'!BQ6</f>
        <v>48183</v>
      </c>
      <c r="BS17" s="201">
        <f>'DCF (2)'!BR6</f>
        <v>48214</v>
      </c>
      <c r="BT17" s="201">
        <f>'DCF (2)'!BS6</f>
        <v>48245</v>
      </c>
      <c r="BU17" s="201">
        <f>'DCF (2)'!BT6</f>
        <v>48274</v>
      </c>
      <c r="BV17" s="201">
        <f>'DCF (2)'!BU6</f>
        <v>48305</v>
      </c>
      <c r="BW17" s="201">
        <f>'DCF (2)'!BV6</f>
        <v>48335</v>
      </c>
      <c r="BX17" s="201">
        <f>'DCF (2)'!BW6</f>
        <v>48366</v>
      </c>
      <c r="BY17" s="201">
        <f>'DCF (2)'!BX6</f>
        <v>48396</v>
      </c>
      <c r="BZ17" s="201">
        <f>'DCF (2)'!BY6</f>
        <v>48427</v>
      </c>
      <c r="CA17" s="201">
        <f>'DCF (2)'!BZ6</f>
        <v>48458</v>
      </c>
      <c r="CB17" s="201">
        <f>'DCF (2)'!CA6</f>
        <v>48488</v>
      </c>
      <c r="CC17" s="201">
        <f>'DCF (2)'!CB6</f>
        <v>48519</v>
      </c>
      <c r="CD17" s="201">
        <f>'DCF (2)'!CC6</f>
        <v>48549</v>
      </c>
      <c r="CE17" s="201">
        <f>'DCF (2)'!CD6</f>
        <v>48580</v>
      </c>
      <c r="CF17" s="201">
        <f>'DCF (2)'!CE6</f>
        <v>48611</v>
      </c>
      <c r="CG17" s="201">
        <f>'DCF (2)'!CF6</f>
        <v>48639</v>
      </c>
      <c r="CH17" s="201">
        <f>'DCF (2)'!CG6</f>
        <v>48670</v>
      </c>
      <c r="CI17" s="201">
        <f>'DCF (2)'!CH6</f>
        <v>48700</v>
      </c>
      <c r="CJ17" s="201">
        <f>'DCF (2)'!CI6</f>
        <v>48731</v>
      </c>
      <c r="CK17" s="201">
        <f>'DCF (2)'!CJ6</f>
        <v>48761</v>
      </c>
      <c r="CL17" s="201">
        <f>'DCF (2)'!CK6</f>
        <v>48792</v>
      </c>
      <c r="CM17" s="201">
        <f>'DCF (2)'!CL6</f>
        <v>48823</v>
      </c>
      <c r="CN17" s="201">
        <f>'DCF (2)'!CM6</f>
        <v>48853</v>
      </c>
      <c r="CO17" s="201">
        <f>'DCF (2)'!CN6</f>
        <v>48884</v>
      </c>
      <c r="CP17" s="201">
        <f>'DCF (2)'!CO6</f>
        <v>48914</v>
      </c>
      <c r="CQ17" s="201">
        <f>'DCF (2)'!CP6</f>
        <v>48945</v>
      </c>
      <c r="CR17" s="201">
        <f>'DCF (2)'!CQ6</f>
        <v>48976</v>
      </c>
      <c r="CS17" s="201">
        <f>'DCF (2)'!CR6</f>
        <v>49004</v>
      </c>
      <c r="CT17" s="201">
        <f>'DCF (2)'!CS6</f>
        <v>49035</v>
      </c>
      <c r="CU17" s="201">
        <f>'DCF (2)'!CT6</f>
        <v>49065</v>
      </c>
      <c r="CV17" s="201">
        <f>'DCF (2)'!CU6</f>
        <v>49096</v>
      </c>
      <c r="CW17" s="201">
        <f>'DCF (2)'!CV6</f>
        <v>49126</v>
      </c>
      <c r="CX17" s="201">
        <f>'DCF (2)'!CW6</f>
        <v>49157</v>
      </c>
      <c r="CY17" s="201">
        <f>'DCF (2)'!CX6</f>
        <v>49188</v>
      </c>
      <c r="CZ17" s="201">
        <f>'DCF (2)'!CY6</f>
        <v>49218</v>
      </c>
      <c r="DA17" s="201">
        <f>'DCF (2)'!CZ6</f>
        <v>49249</v>
      </c>
      <c r="DB17" s="201">
        <f>'DCF (2)'!DA6</f>
        <v>49279</v>
      </c>
      <c r="DC17" s="201">
        <f>'DCF (2)'!DB6</f>
        <v>49310</v>
      </c>
      <c r="DD17" s="201">
        <f>'DCF (2)'!DC6</f>
        <v>49341</v>
      </c>
      <c r="DE17" s="201">
        <f>'DCF (2)'!DD6</f>
        <v>49369</v>
      </c>
      <c r="DF17" s="201">
        <f>'DCF (2)'!DE6</f>
        <v>49400</v>
      </c>
      <c r="DG17" s="201">
        <f>'DCF (2)'!DF6</f>
        <v>49430</v>
      </c>
      <c r="DH17" s="201">
        <f>'DCF (2)'!DG6</f>
        <v>49461</v>
      </c>
      <c r="DI17" s="201">
        <f>'DCF (2)'!DH6</f>
        <v>49491</v>
      </c>
      <c r="DJ17" s="201">
        <f>'DCF (2)'!DI6</f>
        <v>49522</v>
      </c>
      <c r="DK17" s="201">
        <f>'DCF (2)'!DJ6</f>
        <v>49553</v>
      </c>
      <c r="DL17" s="201">
        <f>'DCF (2)'!DK6</f>
        <v>49583</v>
      </c>
      <c r="DM17" s="201">
        <f>'DCF (2)'!DL6</f>
        <v>49614</v>
      </c>
      <c r="DN17" s="201">
        <f>'DCF (2)'!DM6</f>
        <v>49644</v>
      </c>
      <c r="DO17" s="201">
        <f>'DCF (2)'!DN6</f>
        <v>49675</v>
      </c>
      <c r="DP17" s="201">
        <f>'DCF (2)'!DO6</f>
        <v>49706</v>
      </c>
      <c r="DQ17" s="201">
        <f>'DCF (2)'!DP6</f>
        <v>49735</v>
      </c>
      <c r="DR17" s="201">
        <f>'DCF (2)'!DQ6</f>
        <v>49766</v>
      </c>
      <c r="DS17" s="201">
        <f>'DCF (2)'!DR6</f>
        <v>49796</v>
      </c>
      <c r="DT17" s="201">
        <f>'DCF (2)'!DS6</f>
        <v>49827</v>
      </c>
      <c r="DU17" s="201">
        <f>'DCF (2)'!DT6</f>
        <v>49857</v>
      </c>
      <c r="DV17" s="201">
        <f>'DCF (2)'!DU6</f>
        <v>49888</v>
      </c>
      <c r="DW17" s="201">
        <f>'DCF (2)'!DV6</f>
        <v>49919</v>
      </c>
      <c r="DX17" s="201">
        <f>'DCF (2)'!DW6</f>
        <v>49949</v>
      </c>
      <c r="DY17" s="201">
        <f>'DCF (2)'!DX6</f>
        <v>49980</v>
      </c>
      <c r="DZ17" s="201">
        <f>'DCF (2)'!DY6</f>
        <v>50010</v>
      </c>
      <c r="EA17" s="201">
        <f>'DCF (2)'!DZ6</f>
        <v>50041</v>
      </c>
      <c r="EB17" s="201">
        <f>'DCF (2)'!EA6</f>
        <v>50072</v>
      </c>
      <c r="EC17" s="201">
        <f>'DCF (2)'!EB6</f>
        <v>50100</v>
      </c>
      <c r="ED17" s="201">
        <f>'DCF (2)'!EC6</f>
        <v>50131</v>
      </c>
      <c r="EE17" s="201">
        <f>'DCF (2)'!ED6</f>
        <v>50161</v>
      </c>
      <c r="EF17" s="201">
        <f>'DCF (2)'!EE6</f>
        <v>50192</v>
      </c>
      <c r="EG17" s="201">
        <f>'DCF (2)'!EF6</f>
        <v>50222</v>
      </c>
      <c r="EH17" s="201">
        <f>'DCF (2)'!EG6</f>
        <v>50253</v>
      </c>
      <c r="EI17" s="201">
        <f>'DCF (2)'!EH6</f>
        <v>50284</v>
      </c>
      <c r="EJ17" s="201">
        <f>'DCF (2)'!EI6</f>
        <v>50314</v>
      </c>
      <c r="EK17" s="201">
        <f>'DCF (2)'!EJ6</f>
        <v>50345</v>
      </c>
      <c r="EL17" s="201">
        <f>'DCF (2)'!EK6</f>
        <v>50375</v>
      </c>
      <c r="EM17" s="201">
        <f>'DCF (2)'!EL6</f>
        <v>50406</v>
      </c>
      <c r="EN17" s="201">
        <f>'DCF (2)'!EM6</f>
        <v>50437</v>
      </c>
      <c r="EO17" s="201">
        <f>'DCF (2)'!EN6</f>
        <v>50465</v>
      </c>
      <c r="EP17" s="201">
        <f>'DCF (2)'!EO6</f>
        <v>50496</v>
      </c>
      <c r="EQ17" s="201">
        <f>'DCF (2)'!EP6</f>
        <v>50526</v>
      </c>
      <c r="ER17" s="201">
        <f>'DCF (2)'!EQ6</f>
        <v>50557</v>
      </c>
      <c r="ES17" s="201">
        <f>'DCF (2)'!ER6</f>
        <v>50587</v>
      </c>
      <c r="ET17" s="201">
        <f>'DCF (2)'!ES6</f>
        <v>50618</v>
      </c>
    </row>
    <row r="18" spans="2:150" x14ac:dyDescent="0.35">
      <c r="B18" s="197">
        <f>SUM(B19:B38)</f>
        <v>60484095277.872696</v>
      </c>
      <c r="C18" s="197"/>
      <c r="D18" t="s">
        <v>193</v>
      </c>
      <c r="F18" s="198">
        <v>1</v>
      </c>
      <c r="G18" s="198">
        <f t="shared" ref="G18:AL18" si="1">F18+1</f>
        <v>2</v>
      </c>
      <c r="H18" s="198">
        <f t="shared" si="1"/>
        <v>3</v>
      </c>
      <c r="I18" s="198">
        <f t="shared" si="1"/>
        <v>4</v>
      </c>
      <c r="J18" s="198">
        <f t="shared" si="1"/>
        <v>5</v>
      </c>
      <c r="K18" s="198">
        <f t="shared" si="1"/>
        <v>6</v>
      </c>
      <c r="L18" s="198">
        <f t="shared" si="1"/>
        <v>7</v>
      </c>
      <c r="M18" s="198">
        <f t="shared" si="1"/>
        <v>8</v>
      </c>
      <c r="N18" s="198">
        <f t="shared" si="1"/>
        <v>9</v>
      </c>
      <c r="O18" s="198">
        <f t="shared" si="1"/>
        <v>10</v>
      </c>
      <c r="P18" s="198">
        <f t="shared" si="1"/>
        <v>11</v>
      </c>
      <c r="Q18" s="198">
        <f t="shared" si="1"/>
        <v>12</v>
      </c>
      <c r="R18" s="198">
        <f t="shared" si="1"/>
        <v>13</v>
      </c>
      <c r="S18" s="198">
        <f t="shared" si="1"/>
        <v>14</v>
      </c>
      <c r="T18" s="198">
        <f t="shared" si="1"/>
        <v>15</v>
      </c>
      <c r="U18" s="198">
        <f t="shared" si="1"/>
        <v>16</v>
      </c>
      <c r="V18" s="198">
        <f t="shared" si="1"/>
        <v>17</v>
      </c>
      <c r="W18" s="198">
        <f t="shared" si="1"/>
        <v>18</v>
      </c>
      <c r="X18" s="198">
        <f t="shared" si="1"/>
        <v>19</v>
      </c>
      <c r="Y18" s="198">
        <f t="shared" si="1"/>
        <v>20</v>
      </c>
      <c r="Z18" s="198">
        <f t="shared" si="1"/>
        <v>21</v>
      </c>
      <c r="AA18" s="198">
        <f t="shared" si="1"/>
        <v>22</v>
      </c>
      <c r="AB18" s="198">
        <f t="shared" si="1"/>
        <v>23</v>
      </c>
      <c r="AC18" s="198">
        <f t="shared" si="1"/>
        <v>24</v>
      </c>
      <c r="AD18" s="198">
        <f t="shared" si="1"/>
        <v>25</v>
      </c>
      <c r="AE18" s="198">
        <f t="shared" si="1"/>
        <v>26</v>
      </c>
      <c r="AF18" s="198">
        <f t="shared" si="1"/>
        <v>27</v>
      </c>
      <c r="AG18" s="198">
        <f t="shared" si="1"/>
        <v>28</v>
      </c>
      <c r="AH18" s="198">
        <f t="shared" si="1"/>
        <v>29</v>
      </c>
      <c r="AI18" s="198">
        <f t="shared" si="1"/>
        <v>30</v>
      </c>
      <c r="AJ18" s="198">
        <f t="shared" si="1"/>
        <v>31</v>
      </c>
      <c r="AK18" s="198">
        <f t="shared" si="1"/>
        <v>32</v>
      </c>
      <c r="AL18" s="198">
        <f t="shared" si="1"/>
        <v>33</v>
      </c>
      <c r="AM18" s="198">
        <f t="shared" ref="AM18:BR18" si="2">AL18+1</f>
        <v>34</v>
      </c>
      <c r="AN18" s="198">
        <f t="shared" si="2"/>
        <v>35</v>
      </c>
      <c r="AO18" s="198">
        <f t="shared" si="2"/>
        <v>36</v>
      </c>
      <c r="AP18" s="198">
        <f t="shared" si="2"/>
        <v>37</v>
      </c>
      <c r="AQ18" s="198">
        <f t="shared" si="2"/>
        <v>38</v>
      </c>
      <c r="AR18" s="198">
        <f t="shared" si="2"/>
        <v>39</v>
      </c>
      <c r="AS18" s="198">
        <f t="shared" si="2"/>
        <v>40</v>
      </c>
      <c r="AT18" s="198">
        <f t="shared" si="2"/>
        <v>41</v>
      </c>
      <c r="AU18" s="198">
        <f t="shared" si="2"/>
        <v>42</v>
      </c>
      <c r="AV18" s="198">
        <f t="shared" si="2"/>
        <v>43</v>
      </c>
      <c r="AW18" s="198">
        <f t="shared" si="2"/>
        <v>44</v>
      </c>
      <c r="AX18" s="198">
        <f t="shared" si="2"/>
        <v>45</v>
      </c>
      <c r="AY18" s="198">
        <f t="shared" si="2"/>
        <v>46</v>
      </c>
      <c r="AZ18" s="198">
        <f t="shared" si="2"/>
        <v>47</v>
      </c>
      <c r="BA18" s="198">
        <f t="shared" si="2"/>
        <v>48</v>
      </c>
      <c r="BB18" s="198">
        <f t="shared" si="2"/>
        <v>49</v>
      </c>
      <c r="BC18" s="198">
        <f t="shared" si="2"/>
        <v>50</v>
      </c>
      <c r="BD18" s="198">
        <f t="shared" si="2"/>
        <v>51</v>
      </c>
      <c r="BE18" s="198">
        <f t="shared" si="2"/>
        <v>52</v>
      </c>
      <c r="BF18" s="198">
        <f t="shared" si="2"/>
        <v>53</v>
      </c>
      <c r="BG18" s="198">
        <f t="shared" si="2"/>
        <v>54</v>
      </c>
      <c r="BH18" s="198">
        <f t="shared" si="2"/>
        <v>55</v>
      </c>
      <c r="BI18" s="198">
        <f t="shared" si="2"/>
        <v>56</v>
      </c>
      <c r="BJ18" s="198">
        <f t="shared" si="2"/>
        <v>57</v>
      </c>
      <c r="BK18" s="198">
        <f t="shared" si="2"/>
        <v>58</v>
      </c>
      <c r="BL18" s="198">
        <f t="shared" si="2"/>
        <v>59</v>
      </c>
      <c r="BM18" s="198">
        <f t="shared" si="2"/>
        <v>60</v>
      </c>
      <c r="BN18" s="198">
        <f t="shared" si="2"/>
        <v>61</v>
      </c>
      <c r="BO18" s="198">
        <f t="shared" si="2"/>
        <v>62</v>
      </c>
      <c r="BP18" s="198">
        <f t="shared" si="2"/>
        <v>63</v>
      </c>
      <c r="BQ18" s="198">
        <f t="shared" si="2"/>
        <v>64</v>
      </c>
      <c r="BR18" s="198">
        <f t="shared" si="2"/>
        <v>65</v>
      </c>
      <c r="BS18" s="198">
        <f t="shared" ref="BS18:CX18" si="3">BR18+1</f>
        <v>66</v>
      </c>
      <c r="BT18" s="198">
        <f t="shared" si="3"/>
        <v>67</v>
      </c>
      <c r="BU18" s="198">
        <f t="shared" si="3"/>
        <v>68</v>
      </c>
      <c r="BV18" s="198">
        <f t="shared" si="3"/>
        <v>69</v>
      </c>
      <c r="BW18" s="198">
        <f t="shared" si="3"/>
        <v>70</v>
      </c>
      <c r="BX18" s="198">
        <f t="shared" si="3"/>
        <v>71</v>
      </c>
      <c r="BY18" s="198">
        <f t="shared" si="3"/>
        <v>72</v>
      </c>
      <c r="BZ18" s="198">
        <f t="shared" si="3"/>
        <v>73</v>
      </c>
      <c r="CA18" s="198">
        <f t="shared" si="3"/>
        <v>74</v>
      </c>
      <c r="CB18" s="198">
        <f t="shared" si="3"/>
        <v>75</v>
      </c>
      <c r="CC18" s="198">
        <f t="shared" si="3"/>
        <v>76</v>
      </c>
      <c r="CD18" s="198">
        <f t="shared" si="3"/>
        <v>77</v>
      </c>
      <c r="CE18" s="198">
        <f t="shared" si="3"/>
        <v>78</v>
      </c>
      <c r="CF18" s="198">
        <f t="shared" si="3"/>
        <v>79</v>
      </c>
      <c r="CG18" s="198">
        <f t="shared" si="3"/>
        <v>80</v>
      </c>
      <c r="CH18" s="198">
        <f t="shared" si="3"/>
        <v>81</v>
      </c>
      <c r="CI18" s="198">
        <f t="shared" si="3"/>
        <v>82</v>
      </c>
      <c r="CJ18" s="198">
        <f t="shared" si="3"/>
        <v>83</v>
      </c>
      <c r="CK18" s="198">
        <f t="shared" si="3"/>
        <v>84</v>
      </c>
      <c r="CL18" s="198">
        <f t="shared" si="3"/>
        <v>85</v>
      </c>
      <c r="CM18" s="198">
        <f t="shared" si="3"/>
        <v>86</v>
      </c>
      <c r="CN18" s="198">
        <f t="shared" si="3"/>
        <v>87</v>
      </c>
      <c r="CO18" s="198">
        <f t="shared" si="3"/>
        <v>88</v>
      </c>
      <c r="CP18" s="198">
        <f t="shared" si="3"/>
        <v>89</v>
      </c>
      <c r="CQ18" s="198">
        <f t="shared" si="3"/>
        <v>90</v>
      </c>
      <c r="CR18" s="198">
        <f t="shared" si="3"/>
        <v>91</v>
      </c>
      <c r="CS18" s="198">
        <f t="shared" si="3"/>
        <v>92</v>
      </c>
      <c r="CT18" s="198">
        <f t="shared" si="3"/>
        <v>93</v>
      </c>
      <c r="CU18" s="198">
        <f t="shared" si="3"/>
        <v>94</v>
      </c>
      <c r="CV18" s="198">
        <f t="shared" si="3"/>
        <v>95</v>
      </c>
      <c r="CW18" s="198">
        <f t="shared" si="3"/>
        <v>96</v>
      </c>
      <c r="CX18" s="198">
        <f t="shared" si="3"/>
        <v>97</v>
      </c>
      <c r="CY18" s="198">
        <f t="shared" ref="CY18:ED18" si="4">CX18+1</f>
        <v>98</v>
      </c>
      <c r="CZ18" s="198">
        <f t="shared" si="4"/>
        <v>99</v>
      </c>
      <c r="DA18" s="198">
        <f t="shared" si="4"/>
        <v>100</v>
      </c>
      <c r="DB18" s="198">
        <f t="shared" si="4"/>
        <v>101</v>
      </c>
      <c r="DC18" s="198">
        <f t="shared" si="4"/>
        <v>102</v>
      </c>
      <c r="DD18" s="198">
        <f t="shared" si="4"/>
        <v>103</v>
      </c>
      <c r="DE18" s="198">
        <f t="shared" si="4"/>
        <v>104</v>
      </c>
      <c r="DF18" s="198">
        <f t="shared" si="4"/>
        <v>105</v>
      </c>
      <c r="DG18" s="198">
        <f t="shared" si="4"/>
        <v>106</v>
      </c>
      <c r="DH18" s="198">
        <f t="shared" si="4"/>
        <v>107</v>
      </c>
      <c r="DI18" s="198">
        <f t="shared" si="4"/>
        <v>108</v>
      </c>
      <c r="DJ18" s="198">
        <f t="shared" si="4"/>
        <v>109</v>
      </c>
      <c r="DK18" s="198">
        <f t="shared" si="4"/>
        <v>110</v>
      </c>
      <c r="DL18" s="198">
        <f t="shared" si="4"/>
        <v>111</v>
      </c>
      <c r="DM18" s="198">
        <f t="shared" si="4"/>
        <v>112</v>
      </c>
      <c r="DN18" s="198">
        <f t="shared" si="4"/>
        <v>113</v>
      </c>
      <c r="DO18" s="198">
        <f t="shared" si="4"/>
        <v>114</v>
      </c>
      <c r="DP18" s="198">
        <f t="shared" si="4"/>
        <v>115</v>
      </c>
      <c r="DQ18" s="198">
        <f t="shared" si="4"/>
        <v>116</v>
      </c>
      <c r="DR18" s="198">
        <f t="shared" si="4"/>
        <v>117</v>
      </c>
      <c r="DS18" s="198">
        <f t="shared" si="4"/>
        <v>118</v>
      </c>
      <c r="DT18" s="198">
        <f t="shared" si="4"/>
        <v>119</v>
      </c>
      <c r="DU18" s="198">
        <f t="shared" si="4"/>
        <v>120</v>
      </c>
      <c r="DV18" s="198">
        <f t="shared" si="4"/>
        <v>121</v>
      </c>
      <c r="DW18" s="198">
        <f t="shared" si="4"/>
        <v>122</v>
      </c>
      <c r="DX18" s="198">
        <f t="shared" si="4"/>
        <v>123</v>
      </c>
      <c r="DY18" s="198">
        <f t="shared" si="4"/>
        <v>124</v>
      </c>
      <c r="DZ18" s="198">
        <f t="shared" si="4"/>
        <v>125</v>
      </c>
      <c r="EA18" s="198">
        <f t="shared" si="4"/>
        <v>126</v>
      </c>
      <c r="EB18" s="198">
        <f t="shared" si="4"/>
        <v>127</v>
      </c>
      <c r="EC18" s="198">
        <f t="shared" si="4"/>
        <v>128</v>
      </c>
      <c r="ED18" s="198">
        <f t="shared" si="4"/>
        <v>129</v>
      </c>
      <c r="EE18" s="198">
        <f t="shared" ref="EE18:ET18" si="5">ED18+1</f>
        <v>130</v>
      </c>
      <c r="EF18" s="198">
        <f t="shared" si="5"/>
        <v>131</v>
      </c>
      <c r="EG18" s="198">
        <f t="shared" si="5"/>
        <v>132</v>
      </c>
      <c r="EH18" s="198">
        <f t="shared" si="5"/>
        <v>133</v>
      </c>
      <c r="EI18" s="198">
        <f t="shared" si="5"/>
        <v>134</v>
      </c>
      <c r="EJ18" s="198">
        <f t="shared" si="5"/>
        <v>135</v>
      </c>
      <c r="EK18" s="198">
        <f t="shared" si="5"/>
        <v>136</v>
      </c>
      <c r="EL18" s="198">
        <f t="shared" si="5"/>
        <v>137</v>
      </c>
      <c r="EM18" s="198">
        <f t="shared" si="5"/>
        <v>138</v>
      </c>
      <c r="EN18" s="198">
        <f t="shared" si="5"/>
        <v>139</v>
      </c>
      <c r="EO18" s="198">
        <f t="shared" si="5"/>
        <v>140</v>
      </c>
      <c r="EP18" s="198">
        <f t="shared" si="5"/>
        <v>141</v>
      </c>
      <c r="EQ18" s="198">
        <f t="shared" si="5"/>
        <v>142</v>
      </c>
      <c r="ER18" s="198">
        <f t="shared" si="5"/>
        <v>143</v>
      </c>
      <c r="ES18" s="198">
        <f t="shared" si="5"/>
        <v>144</v>
      </c>
      <c r="ET18" s="198">
        <f t="shared" si="5"/>
        <v>145</v>
      </c>
    </row>
    <row r="19" spans="2:150" s="197" customFormat="1" x14ac:dyDescent="0.35">
      <c r="B19" s="197">
        <f>SUM(F19:ET19)</f>
        <v>60484095277.872696</v>
      </c>
      <c r="C19" s="197">
        <f t="shared" ref="C19:C38" si="6">IF(D19&lt;=$D$4,1,0)</f>
        <v>1</v>
      </c>
      <c r="D19" s="197">
        <v>1</v>
      </c>
      <c r="F19" s="197">
        <f>$M$2*$D$6</f>
        <v>181452285.8336181</v>
      </c>
      <c r="G19" s="197">
        <f>$M$2*$D$6</f>
        <v>181452285.8336181</v>
      </c>
      <c r="H19" s="197">
        <f>$M$2*$D$6</f>
        <v>181452285.8336181</v>
      </c>
      <c r="I19" s="197">
        <f>$M$2*$D$6</f>
        <v>181452285.8336181</v>
      </c>
      <c r="J19" s="197">
        <f>$M$3*$D$6</f>
        <v>241936381.11149079</v>
      </c>
      <c r="K19" s="197">
        <f>$M$4*$D$6</f>
        <v>937503476.80702674</v>
      </c>
      <c r="L19" s="197">
        <f>$M$4*$D$6</f>
        <v>937503476.80702674</v>
      </c>
      <c r="M19" s="197">
        <f>$M$4*$D$6</f>
        <v>937503476.80702674</v>
      </c>
      <c r="N19" s="197">
        <f>$M$4*$D$6</f>
        <v>937503476.80702674</v>
      </c>
      <c r="O19" s="197">
        <f>$M$4*$D$6</f>
        <v>937503476.80702674</v>
      </c>
      <c r="P19" s="197">
        <f t="shared" ref="P19:AG19" si="7">$M$5*$D$6</f>
        <v>725809143.33447242</v>
      </c>
      <c r="Q19" s="197">
        <f t="shared" si="7"/>
        <v>725809143.33447242</v>
      </c>
      <c r="R19" s="197">
        <f t="shared" si="7"/>
        <v>725809143.33447242</v>
      </c>
      <c r="S19" s="197">
        <f t="shared" si="7"/>
        <v>725809143.33447242</v>
      </c>
      <c r="T19" s="197">
        <f t="shared" si="7"/>
        <v>725809143.33447242</v>
      </c>
      <c r="U19" s="197">
        <f t="shared" si="7"/>
        <v>725809143.33447242</v>
      </c>
      <c r="V19" s="197">
        <f t="shared" si="7"/>
        <v>725809143.33447242</v>
      </c>
      <c r="W19" s="197">
        <f t="shared" si="7"/>
        <v>725809143.33447242</v>
      </c>
      <c r="X19" s="197">
        <f t="shared" si="7"/>
        <v>725809143.33447242</v>
      </c>
      <c r="Y19" s="197">
        <f t="shared" si="7"/>
        <v>725809143.33447242</v>
      </c>
      <c r="Z19" s="197">
        <f t="shared" si="7"/>
        <v>725809143.33447242</v>
      </c>
      <c r="AA19" s="197">
        <f t="shared" si="7"/>
        <v>725809143.33447242</v>
      </c>
      <c r="AB19" s="197">
        <f t="shared" si="7"/>
        <v>725809143.33447242</v>
      </c>
      <c r="AC19" s="197">
        <f t="shared" si="7"/>
        <v>725809143.33447242</v>
      </c>
      <c r="AD19" s="197">
        <f t="shared" si="7"/>
        <v>725809143.33447242</v>
      </c>
      <c r="AE19" s="197">
        <f t="shared" si="7"/>
        <v>725809143.33447242</v>
      </c>
      <c r="AF19" s="197">
        <f t="shared" si="7"/>
        <v>725809143.33447242</v>
      </c>
      <c r="AG19" s="197">
        <f t="shared" si="7"/>
        <v>725809143.33447242</v>
      </c>
      <c r="AH19" s="197">
        <f>$M$6*$D$6</f>
        <v>786293238.61234498</v>
      </c>
      <c r="AI19" s="197">
        <f>$M$6*$D$6</f>
        <v>786293238.61234498</v>
      </c>
      <c r="AJ19" s="197">
        <f>$M$6*$D$6</f>
        <v>786293238.61234498</v>
      </c>
      <c r="AK19" s="197">
        <f>$M$6*$D$6</f>
        <v>786293238.61234498</v>
      </c>
      <c r="AL19" s="197">
        <f t="shared" ref="AL19:CD19" si="8">$M$7*$D$6</f>
        <v>816535286.25128138</v>
      </c>
      <c r="AM19" s="197">
        <f t="shared" si="8"/>
        <v>816535286.25128138</v>
      </c>
      <c r="AN19" s="197">
        <f t="shared" si="8"/>
        <v>816535286.25128138</v>
      </c>
      <c r="AO19" s="197">
        <f t="shared" si="8"/>
        <v>816535286.25128138</v>
      </c>
      <c r="AP19" s="197">
        <f t="shared" si="8"/>
        <v>816535286.25128138</v>
      </c>
      <c r="AQ19" s="197">
        <f t="shared" si="8"/>
        <v>816535286.25128138</v>
      </c>
      <c r="AR19" s="197">
        <f t="shared" si="8"/>
        <v>816535286.25128138</v>
      </c>
      <c r="AS19" s="197">
        <f t="shared" si="8"/>
        <v>816535286.25128138</v>
      </c>
      <c r="AT19" s="197">
        <f t="shared" si="8"/>
        <v>816535286.25128138</v>
      </c>
      <c r="AU19" s="197">
        <f t="shared" si="8"/>
        <v>816535286.25128138</v>
      </c>
      <c r="AV19" s="197">
        <f t="shared" si="8"/>
        <v>816535286.25128138</v>
      </c>
      <c r="AW19" s="197">
        <f t="shared" si="8"/>
        <v>816535286.25128138</v>
      </c>
      <c r="AX19" s="197">
        <f t="shared" si="8"/>
        <v>816535286.25128138</v>
      </c>
      <c r="AY19" s="197">
        <f t="shared" si="8"/>
        <v>816535286.25128138</v>
      </c>
      <c r="AZ19" s="197">
        <f t="shared" si="8"/>
        <v>816535286.25128138</v>
      </c>
      <c r="BA19" s="197">
        <f t="shared" si="8"/>
        <v>816535286.25128138</v>
      </c>
      <c r="BB19" s="197">
        <f t="shared" si="8"/>
        <v>816535286.25128138</v>
      </c>
      <c r="BC19" s="197">
        <f t="shared" si="8"/>
        <v>816535286.25128138</v>
      </c>
      <c r="BD19" s="197">
        <f t="shared" si="8"/>
        <v>816535286.25128138</v>
      </c>
      <c r="BE19" s="197">
        <f t="shared" si="8"/>
        <v>816535286.25128138</v>
      </c>
      <c r="BF19" s="197">
        <f t="shared" si="8"/>
        <v>816535286.25128138</v>
      </c>
      <c r="BG19" s="197">
        <f t="shared" si="8"/>
        <v>816535286.25128138</v>
      </c>
      <c r="BH19" s="197">
        <f t="shared" si="8"/>
        <v>816535286.25128138</v>
      </c>
      <c r="BI19" s="197">
        <f t="shared" si="8"/>
        <v>816535286.25128138</v>
      </c>
      <c r="BJ19" s="197">
        <f t="shared" si="8"/>
        <v>816535286.25128138</v>
      </c>
      <c r="BK19" s="197">
        <f t="shared" si="8"/>
        <v>816535286.25128138</v>
      </c>
      <c r="BL19" s="197">
        <f t="shared" si="8"/>
        <v>816535286.25128138</v>
      </c>
      <c r="BM19" s="197">
        <f t="shared" si="8"/>
        <v>816535286.25128138</v>
      </c>
      <c r="BN19" s="197">
        <f t="shared" si="8"/>
        <v>816535286.25128138</v>
      </c>
      <c r="BO19" s="197">
        <f t="shared" si="8"/>
        <v>816535286.25128138</v>
      </c>
      <c r="BP19" s="197">
        <f t="shared" si="8"/>
        <v>816535286.25128138</v>
      </c>
      <c r="BQ19" s="197">
        <f t="shared" si="8"/>
        <v>816535286.25128138</v>
      </c>
      <c r="BR19" s="197">
        <f t="shared" si="8"/>
        <v>816535286.25128138</v>
      </c>
      <c r="BS19" s="197">
        <f t="shared" si="8"/>
        <v>816535286.25128138</v>
      </c>
      <c r="BT19" s="197">
        <f t="shared" si="8"/>
        <v>816535286.25128138</v>
      </c>
      <c r="BU19" s="197">
        <f t="shared" si="8"/>
        <v>816535286.25128138</v>
      </c>
      <c r="BV19" s="197">
        <f t="shared" si="8"/>
        <v>816535286.25128138</v>
      </c>
      <c r="BW19" s="197">
        <f t="shared" si="8"/>
        <v>816535286.25128138</v>
      </c>
      <c r="BX19" s="197">
        <f t="shared" si="8"/>
        <v>816535286.25128138</v>
      </c>
      <c r="BY19" s="197">
        <f t="shared" si="8"/>
        <v>816535286.25128138</v>
      </c>
      <c r="BZ19" s="197">
        <f t="shared" si="8"/>
        <v>816535286.25128138</v>
      </c>
      <c r="CA19" s="197">
        <f t="shared" si="8"/>
        <v>816535286.25128138</v>
      </c>
      <c r="CB19" s="197">
        <f t="shared" si="8"/>
        <v>816535286.25128138</v>
      </c>
      <c r="CC19" s="197">
        <f t="shared" si="8"/>
        <v>816535286.25128138</v>
      </c>
      <c r="CD19" s="197">
        <f t="shared" si="8"/>
        <v>816535286.25128138</v>
      </c>
      <c r="CE19" s="197">
        <f t="shared" ref="CE19:CK19" si="9">$M$10*$D$6</f>
        <v>267858136.23057833</v>
      </c>
      <c r="CF19" s="197">
        <f t="shared" si="9"/>
        <v>267858136.23057833</v>
      </c>
      <c r="CG19" s="197">
        <f t="shared" si="9"/>
        <v>267858136.23057833</v>
      </c>
      <c r="CH19" s="197">
        <f t="shared" si="9"/>
        <v>267858136.23057833</v>
      </c>
      <c r="CI19" s="197">
        <f t="shared" si="9"/>
        <v>267858136.23057833</v>
      </c>
      <c r="CJ19" s="197">
        <f t="shared" si="9"/>
        <v>267858136.23057833</v>
      </c>
      <c r="CK19" s="197">
        <f t="shared" si="9"/>
        <v>267858136.23057833</v>
      </c>
    </row>
    <row r="20" spans="2:150" x14ac:dyDescent="0.35">
      <c r="B20" s="197">
        <f t="shared" ref="B20:B26" si="10">SUM(H20:ET20)</f>
        <v>0</v>
      </c>
      <c r="C20" s="197">
        <f t="shared" si="6"/>
        <v>0</v>
      </c>
      <c r="D20" s="197">
        <f>D19+C19</f>
        <v>2</v>
      </c>
      <c r="E20" s="197"/>
      <c r="F20" s="197"/>
      <c r="G20" s="197"/>
      <c r="N20" s="197">
        <f>IF($C20=1,H$19,0)</f>
        <v>0</v>
      </c>
      <c r="O20" s="197">
        <f t="shared" ref="O20:AK20" si="11">IF($C$20=1,I19,0)</f>
        <v>0</v>
      </c>
      <c r="P20" s="197">
        <f t="shared" si="11"/>
        <v>0</v>
      </c>
      <c r="Q20" s="197">
        <f t="shared" si="11"/>
        <v>0</v>
      </c>
      <c r="R20" s="197">
        <f t="shared" si="11"/>
        <v>0</v>
      </c>
      <c r="S20" s="197">
        <f t="shared" si="11"/>
        <v>0</v>
      </c>
      <c r="T20" s="197">
        <f t="shared" si="11"/>
        <v>0</v>
      </c>
      <c r="U20" s="197">
        <f t="shared" si="11"/>
        <v>0</v>
      </c>
      <c r="V20" s="197">
        <f t="shared" si="11"/>
        <v>0</v>
      </c>
      <c r="W20" s="197">
        <f t="shared" si="11"/>
        <v>0</v>
      </c>
      <c r="X20" s="197">
        <f t="shared" si="11"/>
        <v>0</v>
      </c>
      <c r="Y20" s="197">
        <f t="shared" si="11"/>
        <v>0</v>
      </c>
      <c r="Z20" s="197">
        <f t="shared" si="11"/>
        <v>0</v>
      </c>
      <c r="AA20" s="197">
        <f t="shared" si="11"/>
        <v>0</v>
      </c>
      <c r="AB20" s="197">
        <f t="shared" si="11"/>
        <v>0</v>
      </c>
      <c r="AC20" s="197">
        <f t="shared" si="11"/>
        <v>0</v>
      </c>
      <c r="AD20" s="197">
        <f t="shared" si="11"/>
        <v>0</v>
      </c>
      <c r="AE20" s="197">
        <f t="shared" si="11"/>
        <v>0</v>
      </c>
      <c r="AF20" s="197">
        <f t="shared" si="11"/>
        <v>0</v>
      </c>
      <c r="AG20" s="197">
        <f t="shared" si="11"/>
        <v>0</v>
      </c>
      <c r="AH20" s="197">
        <f t="shared" si="11"/>
        <v>0</v>
      </c>
      <c r="AI20" s="197">
        <f t="shared" si="11"/>
        <v>0</v>
      </c>
      <c r="AJ20" s="197">
        <f t="shared" si="11"/>
        <v>0</v>
      </c>
      <c r="AK20" s="197">
        <f t="shared" si="11"/>
        <v>0</v>
      </c>
      <c r="AL20" s="197"/>
      <c r="AM20" s="197"/>
      <c r="AN20" s="197"/>
      <c r="AO20" s="197"/>
      <c r="AP20" s="197"/>
      <c r="AQ20" s="197"/>
      <c r="AR20" s="197"/>
      <c r="AS20" s="197"/>
    </row>
    <row r="21" spans="2:150" x14ac:dyDescent="0.35">
      <c r="B21" s="197">
        <f t="shared" si="10"/>
        <v>0</v>
      </c>
      <c r="C21" s="197">
        <f t="shared" si="6"/>
        <v>0</v>
      </c>
      <c r="D21">
        <v>3</v>
      </c>
      <c r="T21" s="197">
        <f t="shared" ref="T21:AQ21" si="12">IF($C21=1,H$19,0)</f>
        <v>0</v>
      </c>
      <c r="U21" s="197">
        <f t="shared" si="12"/>
        <v>0</v>
      </c>
      <c r="V21" s="197">
        <f t="shared" si="12"/>
        <v>0</v>
      </c>
      <c r="W21" s="197">
        <f t="shared" si="12"/>
        <v>0</v>
      </c>
      <c r="X21" s="197">
        <f t="shared" si="12"/>
        <v>0</v>
      </c>
      <c r="Y21" s="197">
        <f t="shared" si="12"/>
        <v>0</v>
      </c>
      <c r="Z21" s="197">
        <f t="shared" si="12"/>
        <v>0</v>
      </c>
      <c r="AA21" s="197">
        <f t="shared" si="12"/>
        <v>0</v>
      </c>
      <c r="AB21" s="197">
        <f t="shared" si="12"/>
        <v>0</v>
      </c>
      <c r="AC21" s="197">
        <f t="shared" si="12"/>
        <v>0</v>
      </c>
      <c r="AD21" s="197">
        <f t="shared" si="12"/>
        <v>0</v>
      </c>
      <c r="AE21" s="197">
        <f t="shared" si="12"/>
        <v>0</v>
      </c>
      <c r="AF21" s="197">
        <f t="shared" si="12"/>
        <v>0</v>
      </c>
      <c r="AG21" s="197">
        <f t="shared" si="12"/>
        <v>0</v>
      </c>
      <c r="AH21" s="197">
        <f t="shared" si="12"/>
        <v>0</v>
      </c>
      <c r="AI21" s="197">
        <f t="shared" si="12"/>
        <v>0</v>
      </c>
      <c r="AJ21" s="197">
        <f t="shared" si="12"/>
        <v>0</v>
      </c>
      <c r="AK21" s="197">
        <f t="shared" si="12"/>
        <v>0</v>
      </c>
      <c r="AL21" s="197">
        <f t="shared" si="12"/>
        <v>0</v>
      </c>
      <c r="AM21" s="197">
        <f t="shared" si="12"/>
        <v>0</v>
      </c>
      <c r="AN21" s="197">
        <f t="shared" si="12"/>
        <v>0</v>
      </c>
      <c r="AO21" s="197">
        <f t="shared" si="12"/>
        <v>0</v>
      </c>
      <c r="AP21" s="197">
        <f t="shared" si="12"/>
        <v>0</v>
      </c>
      <c r="AQ21" s="197">
        <f t="shared" si="12"/>
        <v>0</v>
      </c>
      <c r="AR21" s="197"/>
      <c r="AS21" s="197"/>
    </row>
    <row r="22" spans="2:150" x14ac:dyDescent="0.35">
      <c r="B22" s="197">
        <f t="shared" si="10"/>
        <v>0</v>
      </c>
      <c r="C22" s="197">
        <f t="shared" si="6"/>
        <v>0</v>
      </c>
      <c r="D22">
        <v>4</v>
      </c>
      <c r="Z22" s="197">
        <f t="shared" ref="Z22:AW22" si="13">IF($C22=1,H$19,0)</f>
        <v>0</v>
      </c>
      <c r="AA22" s="197">
        <f t="shared" si="13"/>
        <v>0</v>
      </c>
      <c r="AB22" s="197">
        <f t="shared" si="13"/>
        <v>0</v>
      </c>
      <c r="AC22" s="197">
        <f t="shared" si="13"/>
        <v>0</v>
      </c>
      <c r="AD22" s="197">
        <f t="shared" si="13"/>
        <v>0</v>
      </c>
      <c r="AE22" s="197">
        <f t="shared" si="13"/>
        <v>0</v>
      </c>
      <c r="AF22" s="197">
        <f t="shared" si="13"/>
        <v>0</v>
      </c>
      <c r="AG22" s="197">
        <f t="shared" si="13"/>
        <v>0</v>
      </c>
      <c r="AH22" s="197">
        <f t="shared" si="13"/>
        <v>0</v>
      </c>
      <c r="AI22" s="197">
        <f t="shared" si="13"/>
        <v>0</v>
      </c>
      <c r="AJ22" s="197">
        <f t="shared" si="13"/>
        <v>0</v>
      </c>
      <c r="AK22" s="197">
        <f t="shared" si="13"/>
        <v>0</v>
      </c>
      <c r="AL22" s="197">
        <f t="shared" si="13"/>
        <v>0</v>
      </c>
      <c r="AM22" s="197">
        <f t="shared" si="13"/>
        <v>0</v>
      </c>
      <c r="AN22" s="197">
        <f t="shared" si="13"/>
        <v>0</v>
      </c>
      <c r="AO22" s="197">
        <f t="shared" si="13"/>
        <v>0</v>
      </c>
      <c r="AP22" s="197">
        <f t="shared" si="13"/>
        <v>0</v>
      </c>
      <c r="AQ22" s="197">
        <f t="shared" si="13"/>
        <v>0</v>
      </c>
      <c r="AR22" s="197">
        <f t="shared" si="13"/>
        <v>0</v>
      </c>
      <c r="AS22" s="197">
        <f t="shared" si="13"/>
        <v>0</v>
      </c>
      <c r="AT22" s="197">
        <f t="shared" si="13"/>
        <v>0</v>
      </c>
      <c r="AU22" s="197">
        <f t="shared" si="13"/>
        <v>0</v>
      </c>
      <c r="AV22" s="197">
        <f t="shared" si="13"/>
        <v>0</v>
      </c>
      <c r="AW22" s="197">
        <f t="shared" si="13"/>
        <v>0</v>
      </c>
    </row>
    <row r="23" spans="2:150" x14ac:dyDescent="0.35">
      <c r="B23" s="197">
        <f t="shared" si="10"/>
        <v>0</v>
      </c>
      <c r="C23" s="197">
        <f t="shared" si="6"/>
        <v>0</v>
      </c>
      <c r="D23">
        <v>5</v>
      </c>
      <c r="AF23" s="197">
        <f t="shared" ref="AF23:BC23" si="14">IF($C23=1,H$19,0)</f>
        <v>0</v>
      </c>
      <c r="AG23" s="197">
        <f t="shared" si="14"/>
        <v>0</v>
      </c>
      <c r="AH23" s="197">
        <f t="shared" si="14"/>
        <v>0</v>
      </c>
      <c r="AI23" s="197">
        <f t="shared" si="14"/>
        <v>0</v>
      </c>
      <c r="AJ23" s="197">
        <f t="shared" si="14"/>
        <v>0</v>
      </c>
      <c r="AK23" s="197">
        <f t="shared" si="14"/>
        <v>0</v>
      </c>
      <c r="AL23" s="197">
        <f t="shared" si="14"/>
        <v>0</v>
      </c>
      <c r="AM23" s="197">
        <f t="shared" si="14"/>
        <v>0</v>
      </c>
      <c r="AN23" s="197">
        <f t="shared" si="14"/>
        <v>0</v>
      </c>
      <c r="AO23" s="197">
        <f t="shared" si="14"/>
        <v>0</v>
      </c>
      <c r="AP23" s="197">
        <f t="shared" si="14"/>
        <v>0</v>
      </c>
      <c r="AQ23" s="197">
        <f t="shared" si="14"/>
        <v>0</v>
      </c>
      <c r="AR23" s="197">
        <f t="shared" si="14"/>
        <v>0</v>
      </c>
      <c r="AS23" s="197">
        <f t="shared" si="14"/>
        <v>0</v>
      </c>
      <c r="AT23" s="197">
        <f t="shared" si="14"/>
        <v>0</v>
      </c>
      <c r="AU23" s="197">
        <f t="shared" si="14"/>
        <v>0</v>
      </c>
      <c r="AV23" s="197">
        <f t="shared" si="14"/>
        <v>0</v>
      </c>
      <c r="AW23" s="197">
        <f t="shared" si="14"/>
        <v>0</v>
      </c>
      <c r="AX23" s="197">
        <f t="shared" si="14"/>
        <v>0</v>
      </c>
      <c r="AY23" s="197">
        <f t="shared" si="14"/>
        <v>0</v>
      </c>
      <c r="AZ23" s="197">
        <f t="shared" si="14"/>
        <v>0</v>
      </c>
      <c r="BA23" s="197">
        <f t="shared" si="14"/>
        <v>0</v>
      </c>
      <c r="BB23" s="197">
        <f t="shared" si="14"/>
        <v>0</v>
      </c>
      <c r="BC23" s="197">
        <f t="shared" si="14"/>
        <v>0</v>
      </c>
    </row>
    <row r="24" spans="2:150" x14ac:dyDescent="0.35">
      <c r="B24" s="197">
        <f t="shared" si="10"/>
        <v>0</v>
      </c>
      <c r="C24" s="197">
        <f t="shared" si="6"/>
        <v>0</v>
      </c>
      <c r="D24">
        <v>6</v>
      </c>
      <c r="AF24" s="197"/>
      <c r="AG24" s="197"/>
      <c r="AH24" s="197"/>
      <c r="AI24" s="197"/>
      <c r="AJ24" s="197"/>
      <c r="AK24" s="197"/>
      <c r="AL24" s="197">
        <f t="shared" ref="AL24:BI24" si="15">IF($C24=1,H$19,0)</f>
        <v>0</v>
      </c>
      <c r="AM24" s="197">
        <f t="shared" si="15"/>
        <v>0</v>
      </c>
      <c r="AN24" s="197">
        <f t="shared" si="15"/>
        <v>0</v>
      </c>
      <c r="AO24" s="197">
        <f t="shared" si="15"/>
        <v>0</v>
      </c>
      <c r="AP24" s="197">
        <f t="shared" si="15"/>
        <v>0</v>
      </c>
      <c r="AQ24" s="197">
        <f t="shared" si="15"/>
        <v>0</v>
      </c>
      <c r="AR24" s="197">
        <f t="shared" si="15"/>
        <v>0</v>
      </c>
      <c r="AS24" s="197">
        <f t="shared" si="15"/>
        <v>0</v>
      </c>
      <c r="AT24" s="197">
        <f t="shared" si="15"/>
        <v>0</v>
      </c>
      <c r="AU24" s="197">
        <f t="shared" si="15"/>
        <v>0</v>
      </c>
      <c r="AV24" s="197">
        <f t="shared" si="15"/>
        <v>0</v>
      </c>
      <c r="AW24" s="197">
        <f t="shared" si="15"/>
        <v>0</v>
      </c>
      <c r="AX24" s="197">
        <f t="shared" si="15"/>
        <v>0</v>
      </c>
      <c r="AY24" s="197">
        <f t="shared" si="15"/>
        <v>0</v>
      </c>
      <c r="AZ24" s="197">
        <f t="shared" si="15"/>
        <v>0</v>
      </c>
      <c r="BA24" s="197">
        <f t="shared" si="15"/>
        <v>0</v>
      </c>
      <c r="BB24" s="197">
        <f t="shared" si="15"/>
        <v>0</v>
      </c>
      <c r="BC24" s="197">
        <f t="shared" si="15"/>
        <v>0</v>
      </c>
      <c r="BD24" s="197">
        <f t="shared" si="15"/>
        <v>0</v>
      </c>
      <c r="BE24" s="197">
        <f t="shared" si="15"/>
        <v>0</v>
      </c>
      <c r="BF24" s="197">
        <f t="shared" si="15"/>
        <v>0</v>
      </c>
      <c r="BG24" s="197">
        <f t="shared" si="15"/>
        <v>0</v>
      </c>
      <c r="BH24" s="197">
        <f t="shared" si="15"/>
        <v>0</v>
      </c>
      <c r="BI24" s="197">
        <f t="shared" si="15"/>
        <v>0</v>
      </c>
    </row>
    <row r="25" spans="2:150" x14ac:dyDescent="0.35">
      <c r="B25" s="197">
        <f t="shared" si="10"/>
        <v>0</v>
      </c>
      <c r="C25" s="197">
        <f t="shared" si="6"/>
        <v>0</v>
      </c>
      <c r="D25">
        <v>7</v>
      </c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>
        <f t="shared" ref="AR25:BO25" si="16">IF($C25=1,H$19,0)</f>
        <v>0</v>
      </c>
      <c r="AS25" s="197">
        <f t="shared" si="16"/>
        <v>0</v>
      </c>
      <c r="AT25" s="197">
        <f t="shared" si="16"/>
        <v>0</v>
      </c>
      <c r="AU25" s="197">
        <f t="shared" si="16"/>
        <v>0</v>
      </c>
      <c r="AV25" s="197">
        <f t="shared" si="16"/>
        <v>0</v>
      </c>
      <c r="AW25" s="197">
        <f t="shared" si="16"/>
        <v>0</v>
      </c>
      <c r="AX25" s="197">
        <f t="shared" si="16"/>
        <v>0</v>
      </c>
      <c r="AY25" s="197">
        <f t="shared" si="16"/>
        <v>0</v>
      </c>
      <c r="AZ25" s="197">
        <f t="shared" si="16"/>
        <v>0</v>
      </c>
      <c r="BA25" s="197">
        <f t="shared" si="16"/>
        <v>0</v>
      </c>
      <c r="BB25" s="197">
        <f t="shared" si="16"/>
        <v>0</v>
      </c>
      <c r="BC25" s="197">
        <f t="shared" si="16"/>
        <v>0</v>
      </c>
      <c r="BD25" s="197">
        <f t="shared" si="16"/>
        <v>0</v>
      </c>
      <c r="BE25" s="197">
        <f t="shared" si="16"/>
        <v>0</v>
      </c>
      <c r="BF25" s="197">
        <f t="shared" si="16"/>
        <v>0</v>
      </c>
      <c r="BG25" s="197">
        <f t="shared" si="16"/>
        <v>0</v>
      </c>
      <c r="BH25" s="197">
        <f t="shared" si="16"/>
        <v>0</v>
      </c>
      <c r="BI25" s="197">
        <f t="shared" si="16"/>
        <v>0</v>
      </c>
      <c r="BJ25" s="197">
        <f t="shared" si="16"/>
        <v>0</v>
      </c>
      <c r="BK25" s="197">
        <f t="shared" si="16"/>
        <v>0</v>
      </c>
      <c r="BL25" s="197">
        <f t="shared" si="16"/>
        <v>0</v>
      </c>
      <c r="BM25" s="197">
        <f t="shared" si="16"/>
        <v>0</v>
      </c>
      <c r="BN25" s="197">
        <f t="shared" si="16"/>
        <v>0</v>
      </c>
      <c r="BO25" s="197">
        <f t="shared" si="16"/>
        <v>0</v>
      </c>
    </row>
    <row r="26" spans="2:150" x14ac:dyDescent="0.35">
      <c r="B26" s="197">
        <f t="shared" si="10"/>
        <v>0</v>
      </c>
      <c r="C26" s="197">
        <f t="shared" si="6"/>
        <v>0</v>
      </c>
      <c r="D26">
        <v>8</v>
      </c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X26" s="197">
        <f t="shared" ref="AX26:BU26" si="17">IF($C26=1,H$19,0)</f>
        <v>0</v>
      </c>
      <c r="AY26" s="197">
        <f t="shared" si="17"/>
        <v>0</v>
      </c>
      <c r="AZ26" s="197">
        <f t="shared" si="17"/>
        <v>0</v>
      </c>
      <c r="BA26" s="197">
        <f t="shared" si="17"/>
        <v>0</v>
      </c>
      <c r="BB26" s="197">
        <f t="shared" si="17"/>
        <v>0</v>
      </c>
      <c r="BC26" s="197">
        <f t="shared" si="17"/>
        <v>0</v>
      </c>
      <c r="BD26" s="197">
        <f t="shared" si="17"/>
        <v>0</v>
      </c>
      <c r="BE26" s="197">
        <f t="shared" si="17"/>
        <v>0</v>
      </c>
      <c r="BF26" s="197">
        <f t="shared" si="17"/>
        <v>0</v>
      </c>
      <c r="BG26" s="197">
        <f t="shared" si="17"/>
        <v>0</v>
      </c>
      <c r="BH26" s="197">
        <f t="shared" si="17"/>
        <v>0</v>
      </c>
      <c r="BI26" s="197">
        <f t="shared" si="17"/>
        <v>0</v>
      </c>
      <c r="BJ26" s="197">
        <f t="shared" si="17"/>
        <v>0</v>
      </c>
      <c r="BK26" s="197">
        <f t="shared" si="17"/>
        <v>0</v>
      </c>
      <c r="BL26" s="197">
        <f t="shared" si="17"/>
        <v>0</v>
      </c>
      <c r="BM26" s="197">
        <f t="shared" si="17"/>
        <v>0</v>
      </c>
      <c r="BN26" s="197">
        <f t="shared" si="17"/>
        <v>0</v>
      </c>
      <c r="BO26" s="197">
        <f t="shared" si="17"/>
        <v>0</v>
      </c>
      <c r="BP26" s="197">
        <f t="shared" si="17"/>
        <v>0</v>
      </c>
      <c r="BQ26" s="197">
        <f t="shared" si="17"/>
        <v>0</v>
      </c>
      <c r="BR26" s="197">
        <f t="shared" si="17"/>
        <v>0</v>
      </c>
      <c r="BS26" s="197">
        <f t="shared" si="17"/>
        <v>0</v>
      </c>
      <c r="BT26" s="197">
        <f t="shared" si="17"/>
        <v>0</v>
      </c>
      <c r="BU26" s="197">
        <f t="shared" si="17"/>
        <v>0</v>
      </c>
    </row>
    <row r="27" spans="2:150" x14ac:dyDescent="0.35">
      <c r="B27" s="197">
        <f>SUM(AF27:ET27)</f>
        <v>0</v>
      </c>
      <c r="C27" s="197">
        <f t="shared" si="6"/>
        <v>0</v>
      </c>
      <c r="D27">
        <v>9</v>
      </c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BD27" s="197">
        <f t="shared" ref="BD27:CA27" si="18">IF($C27=1,H$19,0)</f>
        <v>0</v>
      </c>
      <c r="BE27" s="197">
        <f t="shared" si="18"/>
        <v>0</v>
      </c>
      <c r="BF27" s="197">
        <f t="shared" si="18"/>
        <v>0</v>
      </c>
      <c r="BG27" s="197">
        <f t="shared" si="18"/>
        <v>0</v>
      </c>
      <c r="BH27" s="197">
        <f t="shared" si="18"/>
        <v>0</v>
      </c>
      <c r="BI27" s="197">
        <f t="shared" si="18"/>
        <v>0</v>
      </c>
      <c r="BJ27" s="197">
        <f t="shared" si="18"/>
        <v>0</v>
      </c>
      <c r="BK27" s="197">
        <f t="shared" si="18"/>
        <v>0</v>
      </c>
      <c r="BL27" s="197">
        <f t="shared" si="18"/>
        <v>0</v>
      </c>
      <c r="BM27" s="197">
        <f t="shared" si="18"/>
        <v>0</v>
      </c>
      <c r="BN27" s="197">
        <f t="shared" si="18"/>
        <v>0</v>
      </c>
      <c r="BO27" s="197">
        <f t="shared" si="18"/>
        <v>0</v>
      </c>
      <c r="BP27" s="197">
        <f t="shared" si="18"/>
        <v>0</v>
      </c>
      <c r="BQ27" s="197">
        <f t="shared" si="18"/>
        <v>0</v>
      </c>
      <c r="BR27" s="197">
        <f t="shared" si="18"/>
        <v>0</v>
      </c>
      <c r="BS27" s="197">
        <f t="shared" si="18"/>
        <v>0</v>
      </c>
      <c r="BT27" s="197">
        <f t="shared" si="18"/>
        <v>0</v>
      </c>
      <c r="BU27" s="197">
        <f t="shared" si="18"/>
        <v>0</v>
      </c>
      <c r="BV27" s="197">
        <f t="shared" si="18"/>
        <v>0</v>
      </c>
      <c r="BW27" s="197">
        <f t="shared" si="18"/>
        <v>0</v>
      </c>
      <c r="BX27" s="197">
        <f t="shared" si="18"/>
        <v>0</v>
      </c>
      <c r="BY27" s="197">
        <f t="shared" si="18"/>
        <v>0</v>
      </c>
      <c r="BZ27" s="197">
        <f t="shared" si="18"/>
        <v>0</v>
      </c>
      <c r="CA27" s="197">
        <f t="shared" si="18"/>
        <v>0</v>
      </c>
    </row>
    <row r="28" spans="2:150" x14ac:dyDescent="0.35">
      <c r="B28" s="197">
        <f>SUM(AF28:ET28)</f>
        <v>0</v>
      </c>
      <c r="C28" s="197">
        <f t="shared" si="6"/>
        <v>0</v>
      </c>
      <c r="D28">
        <v>10</v>
      </c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BJ28" s="197">
        <f t="shared" ref="BJ28:CG28" si="19">IF($C28=1,H$19,0)</f>
        <v>0</v>
      </c>
      <c r="BK28" s="197">
        <f t="shared" si="19"/>
        <v>0</v>
      </c>
      <c r="BL28" s="197">
        <f t="shared" si="19"/>
        <v>0</v>
      </c>
      <c r="BM28" s="197">
        <f t="shared" si="19"/>
        <v>0</v>
      </c>
      <c r="BN28" s="197">
        <f t="shared" si="19"/>
        <v>0</v>
      </c>
      <c r="BO28" s="197">
        <f t="shared" si="19"/>
        <v>0</v>
      </c>
      <c r="BP28" s="197">
        <f t="shared" si="19"/>
        <v>0</v>
      </c>
      <c r="BQ28" s="197">
        <f t="shared" si="19"/>
        <v>0</v>
      </c>
      <c r="BR28" s="197">
        <f t="shared" si="19"/>
        <v>0</v>
      </c>
      <c r="BS28" s="197">
        <f t="shared" si="19"/>
        <v>0</v>
      </c>
      <c r="BT28" s="197">
        <f t="shared" si="19"/>
        <v>0</v>
      </c>
      <c r="BU28" s="197">
        <f t="shared" si="19"/>
        <v>0</v>
      </c>
      <c r="BV28" s="197">
        <f t="shared" si="19"/>
        <v>0</v>
      </c>
      <c r="BW28" s="197">
        <f t="shared" si="19"/>
        <v>0</v>
      </c>
      <c r="BX28" s="197">
        <f t="shared" si="19"/>
        <v>0</v>
      </c>
      <c r="BY28" s="197">
        <f t="shared" si="19"/>
        <v>0</v>
      </c>
      <c r="BZ28" s="197">
        <f t="shared" si="19"/>
        <v>0</v>
      </c>
      <c r="CA28" s="197">
        <f t="shared" si="19"/>
        <v>0</v>
      </c>
      <c r="CB28" s="197">
        <f t="shared" si="19"/>
        <v>0</v>
      </c>
      <c r="CC28" s="197">
        <f t="shared" si="19"/>
        <v>0</v>
      </c>
      <c r="CD28" s="197">
        <f t="shared" si="19"/>
        <v>0</v>
      </c>
      <c r="CE28" s="197">
        <f t="shared" si="19"/>
        <v>0</v>
      </c>
      <c r="CF28" s="197">
        <f t="shared" si="19"/>
        <v>0</v>
      </c>
      <c r="CG28" s="197">
        <f t="shared" si="19"/>
        <v>0</v>
      </c>
    </row>
    <row r="29" spans="2:150" x14ac:dyDescent="0.35">
      <c r="B29" s="197">
        <f>SUM(AF29:ET29)</f>
        <v>0</v>
      </c>
      <c r="C29" s="197">
        <f t="shared" si="6"/>
        <v>0</v>
      </c>
      <c r="D29">
        <v>11</v>
      </c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BP29" s="197">
        <f t="shared" ref="BP29:CM29" si="20">IF($C29=1,H$19,0)</f>
        <v>0</v>
      </c>
      <c r="BQ29" s="197">
        <f t="shared" si="20"/>
        <v>0</v>
      </c>
      <c r="BR29" s="197">
        <f t="shared" si="20"/>
        <v>0</v>
      </c>
      <c r="BS29" s="197">
        <f t="shared" si="20"/>
        <v>0</v>
      </c>
      <c r="BT29" s="197">
        <f t="shared" si="20"/>
        <v>0</v>
      </c>
      <c r="BU29" s="197">
        <f t="shared" si="20"/>
        <v>0</v>
      </c>
      <c r="BV29" s="197">
        <f t="shared" si="20"/>
        <v>0</v>
      </c>
      <c r="BW29" s="197">
        <f t="shared" si="20"/>
        <v>0</v>
      </c>
      <c r="BX29" s="197">
        <f t="shared" si="20"/>
        <v>0</v>
      </c>
      <c r="BY29" s="197">
        <f t="shared" si="20"/>
        <v>0</v>
      </c>
      <c r="BZ29" s="197">
        <f t="shared" si="20"/>
        <v>0</v>
      </c>
      <c r="CA29" s="197">
        <f t="shared" si="20"/>
        <v>0</v>
      </c>
      <c r="CB29" s="197">
        <f t="shared" si="20"/>
        <v>0</v>
      </c>
      <c r="CC29" s="197">
        <f t="shared" si="20"/>
        <v>0</v>
      </c>
      <c r="CD29" s="197">
        <f t="shared" si="20"/>
        <v>0</v>
      </c>
      <c r="CE29" s="197">
        <f t="shared" si="20"/>
        <v>0</v>
      </c>
      <c r="CF29" s="197">
        <f t="shared" si="20"/>
        <v>0</v>
      </c>
      <c r="CG29" s="197">
        <f t="shared" si="20"/>
        <v>0</v>
      </c>
      <c r="CH29" s="197">
        <f t="shared" si="20"/>
        <v>0</v>
      </c>
      <c r="CI29" s="197">
        <f t="shared" si="20"/>
        <v>0</v>
      </c>
      <c r="CJ29" s="197">
        <f t="shared" si="20"/>
        <v>0</v>
      </c>
      <c r="CK29" s="197">
        <f t="shared" si="20"/>
        <v>0</v>
      </c>
      <c r="CL29" s="197">
        <f t="shared" si="20"/>
        <v>0</v>
      </c>
      <c r="CM29" s="197">
        <f t="shared" si="20"/>
        <v>0</v>
      </c>
    </row>
    <row r="30" spans="2:150" x14ac:dyDescent="0.35">
      <c r="B30" s="197">
        <f t="shared" ref="B30:B38" si="21">SUM(H30:ET30)</f>
        <v>0</v>
      </c>
      <c r="C30" s="197">
        <f t="shared" si="6"/>
        <v>0</v>
      </c>
      <c r="D30">
        <v>12</v>
      </c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BV30" s="197">
        <f t="shared" ref="BV30:CS30" si="22">IF($C30=1,N$19,0)</f>
        <v>0</v>
      </c>
      <c r="BW30" s="197">
        <f t="shared" si="22"/>
        <v>0</v>
      </c>
      <c r="BX30" s="197">
        <f t="shared" si="22"/>
        <v>0</v>
      </c>
      <c r="BY30" s="197">
        <f t="shared" si="22"/>
        <v>0</v>
      </c>
      <c r="BZ30" s="197">
        <f t="shared" si="22"/>
        <v>0</v>
      </c>
      <c r="CA30" s="197">
        <f t="shared" si="22"/>
        <v>0</v>
      </c>
      <c r="CB30" s="197">
        <f t="shared" si="22"/>
        <v>0</v>
      </c>
      <c r="CC30" s="197">
        <f t="shared" si="22"/>
        <v>0</v>
      </c>
      <c r="CD30" s="197">
        <f t="shared" si="22"/>
        <v>0</v>
      </c>
      <c r="CE30" s="197">
        <f t="shared" si="22"/>
        <v>0</v>
      </c>
      <c r="CF30" s="197">
        <f t="shared" si="22"/>
        <v>0</v>
      </c>
      <c r="CG30" s="197">
        <f t="shared" si="22"/>
        <v>0</v>
      </c>
      <c r="CH30" s="197">
        <f t="shared" si="22"/>
        <v>0</v>
      </c>
      <c r="CI30" s="197">
        <f t="shared" si="22"/>
        <v>0</v>
      </c>
      <c r="CJ30" s="197">
        <f t="shared" si="22"/>
        <v>0</v>
      </c>
      <c r="CK30" s="197">
        <f t="shared" si="22"/>
        <v>0</v>
      </c>
      <c r="CL30" s="197">
        <f t="shared" si="22"/>
        <v>0</v>
      </c>
      <c r="CM30" s="197">
        <f t="shared" si="22"/>
        <v>0</v>
      </c>
      <c r="CN30" s="197">
        <f t="shared" si="22"/>
        <v>0</v>
      </c>
      <c r="CO30" s="197">
        <f t="shared" si="22"/>
        <v>0</v>
      </c>
      <c r="CP30" s="197">
        <f t="shared" si="22"/>
        <v>0</v>
      </c>
      <c r="CQ30" s="197">
        <f t="shared" si="22"/>
        <v>0</v>
      </c>
      <c r="CR30" s="197">
        <f t="shared" si="22"/>
        <v>0</v>
      </c>
      <c r="CS30" s="197">
        <f t="shared" si="22"/>
        <v>0</v>
      </c>
    </row>
    <row r="31" spans="2:150" x14ac:dyDescent="0.35">
      <c r="B31" s="197">
        <f t="shared" si="21"/>
        <v>0</v>
      </c>
      <c r="C31" s="197">
        <f t="shared" si="6"/>
        <v>0</v>
      </c>
      <c r="D31">
        <v>13</v>
      </c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CB31" s="197">
        <f t="shared" ref="CB31:CY31" si="23">IF($C31=1,T$19,0)</f>
        <v>0</v>
      </c>
      <c r="CC31" s="197">
        <f t="shared" si="23"/>
        <v>0</v>
      </c>
      <c r="CD31" s="197">
        <f t="shared" si="23"/>
        <v>0</v>
      </c>
      <c r="CE31" s="197">
        <f t="shared" si="23"/>
        <v>0</v>
      </c>
      <c r="CF31" s="197">
        <f t="shared" si="23"/>
        <v>0</v>
      </c>
      <c r="CG31" s="197">
        <f t="shared" si="23"/>
        <v>0</v>
      </c>
      <c r="CH31" s="197">
        <f t="shared" si="23"/>
        <v>0</v>
      </c>
      <c r="CI31" s="197">
        <f t="shared" si="23"/>
        <v>0</v>
      </c>
      <c r="CJ31" s="197">
        <f t="shared" si="23"/>
        <v>0</v>
      </c>
      <c r="CK31" s="197">
        <f t="shared" si="23"/>
        <v>0</v>
      </c>
      <c r="CL31" s="197">
        <f t="shared" si="23"/>
        <v>0</v>
      </c>
      <c r="CM31" s="197">
        <f t="shared" si="23"/>
        <v>0</v>
      </c>
      <c r="CN31" s="197">
        <f t="shared" si="23"/>
        <v>0</v>
      </c>
      <c r="CO31" s="197">
        <f t="shared" si="23"/>
        <v>0</v>
      </c>
      <c r="CP31" s="197">
        <f t="shared" si="23"/>
        <v>0</v>
      </c>
      <c r="CQ31" s="197">
        <f t="shared" si="23"/>
        <v>0</v>
      </c>
      <c r="CR31" s="197">
        <f t="shared" si="23"/>
        <v>0</v>
      </c>
      <c r="CS31" s="197">
        <f t="shared" si="23"/>
        <v>0</v>
      </c>
      <c r="CT31" s="197">
        <f t="shared" si="23"/>
        <v>0</v>
      </c>
      <c r="CU31" s="197">
        <f t="shared" si="23"/>
        <v>0</v>
      </c>
      <c r="CV31" s="197">
        <f t="shared" si="23"/>
        <v>0</v>
      </c>
      <c r="CW31" s="197">
        <f t="shared" si="23"/>
        <v>0</v>
      </c>
      <c r="CX31" s="197">
        <f t="shared" si="23"/>
        <v>0</v>
      </c>
      <c r="CY31" s="197">
        <f t="shared" si="23"/>
        <v>0</v>
      </c>
    </row>
    <row r="32" spans="2:150" x14ac:dyDescent="0.35">
      <c r="B32" s="197">
        <f t="shared" si="21"/>
        <v>0</v>
      </c>
      <c r="C32" s="197">
        <f t="shared" si="6"/>
        <v>0</v>
      </c>
      <c r="D32">
        <v>14</v>
      </c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  <c r="AS32" s="197"/>
      <c r="CH32" s="197">
        <f t="shared" ref="CH32:DE32" si="24">IF($C32=1,Z$19,0)</f>
        <v>0</v>
      </c>
      <c r="CI32" s="197">
        <f t="shared" si="24"/>
        <v>0</v>
      </c>
      <c r="CJ32" s="197">
        <f t="shared" si="24"/>
        <v>0</v>
      </c>
      <c r="CK32" s="197">
        <f t="shared" si="24"/>
        <v>0</v>
      </c>
      <c r="CL32" s="197">
        <f t="shared" si="24"/>
        <v>0</v>
      </c>
      <c r="CM32" s="197">
        <f t="shared" si="24"/>
        <v>0</v>
      </c>
      <c r="CN32" s="197">
        <f t="shared" si="24"/>
        <v>0</v>
      </c>
      <c r="CO32" s="197">
        <f t="shared" si="24"/>
        <v>0</v>
      </c>
      <c r="CP32" s="197">
        <f t="shared" si="24"/>
        <v>0</v>
      </c>
      <c r="CQ32" s="197">
        <f t="shared" si="24"/>
        <v>0</v>
      </c>
      <c r="CR32" s="197">
        <f t="shared" si="24"/>
        <v>0</v>
      </c>
      <c r="CS32" s="197">
        <f t="shared" si="24"/>
        <v>0</v>
      </c>
      <c r="CT32" s="197">
        <f t="shared" si="24"/>
        <v>0</v>
      </c>
      <c r="CU32" s="197">
        <f t="shared" si="24"/>
        <v>0</v>
      </c>
      <c r="CV32" s="197">
        <f t="shared" si="24"/>
        <v>0</v>
      </c>
      <c r="CW32" s="197">
        <f t="shared" si="24"/>
        <v>0</v>
      </c>
      <c r="CX32" s="197">
        <f t="shared" si="24"/>
        <v>0</v>
      </c>
      <c r="CY32" s="197">
        <f t="shared" si="24"/>
        <v>0</v>
      </c>
      <c r="CZ32" s="197">
        <f t="shared" si="24"/>
        <v>0</v>
      </c>
      <c r="DA32" s="197">
        <f t="shared" si="24"/>
        <v>0</v>
      </c>
      <c r="DB32" s="197">
        <f t="shared" si="24"/>
        <v>0</v>
      </c>
      <c r="DC32" s="197">
        <f t="shared" si="24"/>
        <v>0</v>
      </c>
      <c r="DD32" s="197">
        <f t="shared" si="24"/>
        <v>0</v>
      </c>
      <c r="DE32" s="197">
        <f t="shared" si="24"/>
        <v>0</v>
      </c>
    </row>
    <row r="33" spans="2:150" x14ac:dyDescent="0.35">
      <c r="B33" s="197">
        <f t="shared" si="21"/>
        <v>0</v>
      </c>
      <c r="C33" s="197">
        <f t="shared" si="6"/>
        <v>0</v>
      </c>
      <c r="D33">
        <v>15</v>
      </c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CN33" s="197">
        <f t="shared" ref="CN33:DK33" si="25">IF($C33=1,AF$19,0)</f>
        <v>0</v>
      </c>
      <c r="CO33" s="197">
        <f t="shared" si="25"/>
        <v>0</v>
      </c>
      <c r="CP33" s="197">
        <f t="shared" si="25"/>
        <v>0</v>
      </c>
      <c r="CQ33" s="197">
        <f t="shared" si="25"/>
        <v>0</v>
      </c>
      <c r="CR33" s="197">
        <f t="shared" si="25"/>
        <v>0</v>
      </c>
      <c r="CS33" s="197">
        <f t="shared" si="25"/>
        <v>0</v>
      </c>
      <c r="CT33" s="197">
        <f t="shared" si="25"/>
        <v>0</v>
      </c>
      <c r="CU33" s="197">
        <f t="shared" si="25"/>
        <v>0</v>
      </c>
      <c r="CV33" s="197">
        <f t="shared" si="25"/>
        <v>0</v>
      </c>
      <c r="CW33" s="197">
        <f t="shared" si="25"/>
        <v>0</v>
      </c>
      <c r="CX33" s="197">
        <f t="shared" si="25"/>
        <v>0</v>
      </c>
      <c r="CY33" s="197">
        <f t="shared" si="25"/>
        <v>0</v>
      </c>
      <c r="CZ33" s="197">
        <f t="shared" si="25"/>
        <v>0</v>
      </c>
      <c r="DA33" s="197">
        <f t="shared" si="25"/>
        <v>0</v>
      </c>
      <c r="DB33" s="197">
        <f t="shared" si="25"/>
        <v>0</v>
      </c>
      <c r="DC33" s="197">
        <f t="shared" si="25"/>
        <v>0</v>
      </c>
      <c r="DD33" s="197">
        <f t="shared" si="25"/>
        <v>0</v>
      </c>
      <c r="DE33" s="197">
        <f t="shared" si="25"/>
        <v>0</v>
      </c>
      <c r="DF33" s="197">
        <f t="shared" si="25"/>
        <v>0</v>
      </c>
      <c r="DG33" s="197">
        <f t="shared" si="25"/>
        <v>0</v>
      </c>
      <c r="DH33" s="197">
        <f t="shared" si="25"/>
        <v>0</v>
      </c>
      <c r="DI33" s="197">
        <f t="shared" si="25"/>
        <v>0</v>
      </c>
      <c r="DJ33" s="197">
        <f t="shared" si="25"/>
        <v>0</v>
      </c>
      <c r="DK33" s="197">
        <f t="shared" si="25"/>
        <v>0</v>
      </c>
    </row>
    <row r="34" spans="2:150" x14ac:dyDescent="0.35">
      <c r="B34" s="197">
        <f t="shared" si="21"/>
        <v>0</v>
      </c>
      <c r="C34" s="197">
        <f t="shared" si="6"/>
        <v>0</v>
      </c>
      <c r="D34">
        <v>16</v>
      </c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CT34" s="197">
        <f t="shared" ref="CT34:DQ34" si="26">IF($C34=1,AL$19,0)</f>
        <v>0</v>
      </c>
      <c r="CU34" s="197">
        <f t="shared" si="26"/>
        <v>0</v>
      </c>
      <c r="CV34" s="197">
        <f t="shared" si="26"/>
        <v>0</v>
      </c>
      <c r="CW34" s="197">
        <f t="shared" si="26"/>
        <v>0</v>
      </c>
      <c r="CX34" s="197">
        <f t="shared" si="26"/>
        <v>0</v>
      </c>
      <c r="CY34" s="197">
        <f t="shared" si="26"/>
        <v>0</v>
      </c>
      <c r="CZ34" s="197">
        <f t="shared" si="26"/>
        <v>0</v>
      </c>
      <c r="DA34" s="197">
        <f t="shared" si="26"/>
        <v>0</v>
      </c>
      <c r="DB34" s="197">
        <f t="shared" si="26"/>
        <v>0</v>
      </c>
      <c r="DC34" s="197">
        <f t="shared" si="26"/>
        <v>0</v>
      </c>
      <c r="DD34" s="197">
        <f t="shared" si="26"/>
        <v>0</v>
      </c>
      <c r="DE34" s="197">
        <f t="shared" si="26"/>
        <v>0</v>
      </c>
      <c r="DF34" s="197">
        <f t="shared" si="26"/>
        <v>0</v>
      </c>
      <c r="DG34" s="197">
        <f t="shared" si="26"/>
        <v>0</v>
      </c>
      <c r="DH34" s="197">
        <f t="shared" si="26"/>
        <v>0</v>
      </c>
      <c r="DI34" s="197">
        <f t="shared" si="26"/>
        <v>0</v>
      </c>
      <c r="DJ34" s="197">
        <f t="shared" si="26"/>
        <v>0</v>
      </c>
      <c r="DK34" s="197">
        <f t="shared" si="26"/>
        <v>0</v>
      </c>
      <c r="DL34" s="197">
        <f t="shared" si="26"/>
        <v>0</v>
      </c>
      <c r="DM34" s="197">
        <f t="shared" si="26"/>
        <v>0</v>
      </c>
      <c r="DN34" s="197">
        <f t="shared" si="26"/>
        <v>0</v>
      </c>
      <c r="DO34" s="197">
        <f t="shared" si="26"/>
        <v>0</v>
      </c>
      <c r="DP34" s="197">
        <f t="shared" si="26"/>
        <v>0</v>
      </c>
      <c r="DQ34" s="197">
        <f t="shared" si="26"/>
        <v>0</v>
      </c>
    </row>
    <row r="35" spans="2:150" x14ac:dyDescent="0.35">
      <c r="B35" s="197">
        <f t="shared" si="21"/>
        <v>0</v>
      </c>
      <c r="C35" s="197">
        <f t="shared" si="6"/>
        <v>0</v>
      </c>
      <c r="D35">
        <v>17</v>
      </c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  <c r="AS35" s="197"/>
      <c r="CZ35" s="197">
        <f t="shared" ref="CZ35:DW35" si="27">IF($C35=1,AR$19,0)</f>
        <v>0</v>
      </c>
      <c r="DA35" s="197">
        <f t="shared" si="27"/>
        <v>0</v>
      </c>
      <c r="DB35" s="197">
        <f t="shared" si="27"/>
        <v>0</v>
      </c>
      <c r="DC35" s="197">
        <f t="shared" si="27"/>
        <v>0</v>
      </c>
      <c r="DD35" s="197">
        <f t="shared" si="27"/>
        <v>0</v>
      </c>
      <c r="DE35" s="197">
        <f t="shared" si="27"/>
        <v>0</v>
      </c>
      <c r="DF35" s="197">
        <f t="shared" si="27"/>
        <v>0</v>
      </c>
      <c r="DG35" s="197">
        <f t="shared" si="27"/>
        <v>0</v>
      </c>
      <c r="DH35" s="197">
        <f t="shared" si="27"/>
        <v>0</v>
      </c>
      <c r="DI35" s="197">
        <f t="shared" si="27"/>
        <v>0</v>
      </c>
      <c r="DJ35" s="197">
        <f t="shared" si="27"/>
        <v>0</v>
      </c>
      <c r="DK35" s="197">
        <f t="shared" si="27"/>
        <v>0</v>
      </c>
      <c r="DL35" s="197">
        <f t="shared" si="27"/>
        <v>0</v>
      </c>
      <c r="DM35" s="197">
        <f t="shared" si="27"/>
        <v>0</v>
      </c>
      <c r="DN35" s="197">
        <f t="shared" si="27"/>
        <v>0</v>
      </c>
      <c r="DO35" s="197">
        <f t="shared" si="27"/>
        <v>0</v>
      </c>
      <c r="DP35" s="197">
        <f t="shared" si="27"/>
        <v>0</v>
      </c>
      <c r="DQ35" s="197">
        <f t="shared" si="27"/>
        <v>0</v>
      </c>
      <c r="DR35" s="197">
        <f t="shared" si="27"/>
        <v>0</v>
      </c>
      <c r="DS35" s="197">
        <f t="shared" si="27"/>
        <v>0</v>
      </c>
      <c r="DT35" s="197">
        <f t="shared" si="27"/>
        <v>0</v>
      </c>
      <c r="DU35" s="197">
        <f t="shared" si="27"/>
        <v>0</v>
      </c>
      <c r="DV35" s="197">
        <f t="shared" si="27"/>
        <v>0</v>
      </c>
      <c r="DW35" s="197">
        <f t="shared" si="27"/>
        <v>0</v>
      </c>
    </row>
    <row r="36" spans="2:150" x14ac:dyDescent="0.35">
      <c r="B36" s="197">
        <f t="shared" si="21"/>
        <v>0</v>
      </c>
      <c r="C36" s="197">
        <f t="shared" si="6"/>
        <v>0</v>
      </c>
      <c r="D36">
        <v>18</v>
      </c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DF36" s="197">
        <f t="shared" ref="DF36:EC36" si="28">IF($C36=1,AX$19,0)</f>
        <v>0</v>
      </c>
      <c r="DG36" s="197">
        <f t="shared" si="28"/>
        <v>0</v>
      </c>
      <c r="DH36" s="197">
        <f t="shared" si="28"/>
        <v>0</v>
      </c>
      <c r="DI36" s="197">
        <f t="shared" si="28"/>
        <v>0</v>
      </c>
      <c r="DJ36" s="197">
        <f t="shared" si="28"/>
        <v>0</v>
      </c>
      <c r="DK36" s="197">
        <f t="shared" si="28"/>
        <v>0</v>
      </c>
      <c r="DL36" s="197">
        <f t="shared" si="28"/>
        <v>0</v>
      </c>
      <c r="DM36" s="197">
        <f t="shared" si="28"/>
        <v>0</v>
      </c>
      <c r="DN36" s="197">
        <f t="shared" si="28"/>
        <v>0</v>
      </c>
      <c r="DO36" s="197">
        <f t="shared" si="28"/>
        <v>0</v>
      </c>
      <c r="DP36" s="197">
        <f t="shared" si="28"/>
        <v>0</v>
      </c>
      <c r="DQ36" s="197">
        <f t="shared" si="28"/>
        <v>0</v>
      </c>
      <c r="DR36" s="197">
        <f t="shared" si="28"/>
        <v>0</v>
      </c>
      <c r="DS36" s="197">
        <f t="shared" si="28"/>
        <v>0</v>
      </c>
      <c r="DT36" s="197">
        <f t="shared" si="28"/>
        <v>0</v>
      </c>
      <c r="DU36" s="197">
        <f t="shared" si="28"/>
        <v>0</v>
      </c>
      <c r="DV36" s="197">
        <f t="shared" si="28"/>
        <v>0</v>
      </c>
      <c r="DW36" s="197">
        <f t="shared" si="28"/>
        <v>0</v>
      </c>
      <c r="DX36" s="197">
        <f t="shared" si="28"/>
        <v>0</v>
      </c>
      <c r="DY36" s="197">
        <f t="shared" si="28"/>
        <v>0</v>
      </c>
      <c r="DZ36" s="197">
        <f t="shared" si="28"/>
        <v>0</v>
      </c>
      <c r="EA36" s="197">
        <f t="shared" si="28"/>
        <v>0</v>
      </c>
      <c r="EB36" s="197">
        <f t="shared" si="28"/>
        <v>0</v>
      </c>
      <c r="EC36" s="197">
        <f t="shared" si="28"/>
        <v>0</v>
      </c>
    </row>
    <row r="37" spans="2:150" x14ac:dyDescent="0.35">
      <c r="B37" s="197">
        <f t="shared" si="21"/>
        <v>0</v>
      </c>
      <c r="C37" s="197">
        <f t="shared" si="6"/>
        <v>0</v>
      </c>
      <c r="D37">
        <v>19</v>
      </c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  <c r="AS37" s="197"/>
      <c r="DL37" s="197">
        <f t="shared" ref="DL37:EI37" si="29">IF($C37=1,BD$19,0)</f>
        <v>0</v>
      </c>
      <c r="DM37" s="197">
        <f t="shared" si="29"/>
        <v>0</v>
      </c>
      <c r="DN37" s="197">
        <f t="shared" si="29"/>
        <v>0</v>
      </c>
      <c r="DO37" s="197">
        <f t="shared" si="29"/>
        <v>0</v>
      </c>
      <c r="DP37" s="197">
        <f t="shared" si="29"/>
        <v>0</v>
      </c>
      <c r="DQ37" s="197">
        <f t="shared" si="29"/>
        <v>0</v>
      </c>
      <c r="DR37" s="197">
        <f t="shared" si="29"/>
        <v>0</v>
      </c>
      <c r="DS37" s="197">
        <f t="shared" si="29"/>
        <v>0</v>
      </c>
      <c r="DT37" s="197">
        <f t="shared" si="29"/>
        <v>0</v>
      </c>
      <c r="DU37" s="197">
        <f t="shared" si="29"/>
        <v>0</v>
      </c>
      <c r="DV37" s="197">
        <f t="shared" si="29"/>
        <v>0</v>
      </c>
      <c r="DW37" s="197">
        <f t="shared" si="29"/>
        <v>0</v>
      </c>
      <c r="DX37" s="197">
        <f t="shared" si="29"/>
        <v>0</v>
      </c>
      <c r="DY37" s="197">
        <f t="shared" si="29"/>
        <v>0</v>
      </c>
      <c r="DZ37" s="197">
        <f t="shared" si="29"/>
        <v>0</v>
      </c>
      <c r="EA37" s="197">
        <f t="shared" si="29"/>
        <v>0</v>
      </c>
      <c r="EB37" s="197">
        <f t="shared" si="29"/>
        <v>0</v>
      </c>
      <c r="EC37" s="197">
        <f t="shared" si="29"/>
        <v>0</v>
      </c>
      <c r="ED37" s="197">
        <f t="shared" si="29"/>
        <v>0</v>
      </c>
      <c r="EE37" s="197">
        <f t="shared" si="29"/>
        <v>0</v>
      </c>
      <c r="EF37" s="197">
        <f t="shared" si="29"/>
        <v>0</v>
      </c>
      <c r="EG37" s="197">
        <f t="shared" si="29"/>
        <v>0</v>
      </c>
      <c r="EH37" s="197">
        <f t="shared" si="29"/>
        <v>0</v>
      </c>
      <c r="EI37" s="197">
        <f t="shared" si="29"/>
        <v>0</v>
      </c>
    </row>
    <row r="38" spans="2:150" x14ac:dyDescent="0.35">
      <c r="B38" s="197">
        <f t="shared" si="21"/>
        <v>0</v>
      </c>
      <c r="C38" s="197">
        <f t="shared" si="6"/>
        <v>0</v>
      </c>
      <c r="D38">
        <v>20</v>
      </c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  <c r="AS38" s="197"/>
      <c r="DR38" s="197">
        <f t="shared" ref="DR38:EO38" si="30">IF($C38=1,BJ$19,0)</f>
        <v>0</v>
      </c>
      <c r="DS38" s="197">
        <f t="shared" si="30"/>
        <v>0</v>
      </c>
      <c r="DT38" s="197">
        <f t="shared" si="30"/>
        <v>0</v>
      </c>
      <c r="DU38" s="197">
        <f t="shared" si="30"/>
        <v>0</v>
      </c>
      <c r="DV38" s="197">
        <f t="shared" si="30"/>
        <v>0</v>
      </c>
      <c r="DW38" s="197">
        <f t="shared" si="30"/>
        <v>0</v>
      </c>
      <c r="DX38" s="197">
        <f t="shared" si="30"/>
        <v>0</v>
      </c>
      <c r="DY38" s="197">
        <f t="shared" si="30"/>
        <v>0</v>
      </c>
      <c r="DZ38" s="197">
        <f t="shared" si="30"/>
        <v>0</v>
      </c>
      <c r="EA38" s="197">
        <f t="shared" si="30"/>
        <v>0</v>
      </c>
      <c r="EB38" s="197">
        <f t="shared" si="30"/>
        <v>0</v>
      </c>
      <c r="EC38" s="197">
        <f t="shared" si="30"/>
        <v>0</v>
      </c>
      <c r="ED38" s="197">
        <f t="shared" si="30"/>
        <v>0</v>
      </c>
      <c r="EE38" s="197">
        <f t="shared" si="30"/>
        <v>0</v>
      </c>
      <c r="EF38" s="197">
        <f t="shared" si="30"/>
        <v>0</v>
      </c>
      <c r="EG38" s="197">
        <f t="shared" si="30"/>
        <v>0</v>
      </c>
      <c r="EH38" s="197">
        <f t="shared" si="30"/>
        <v>0</v>
      </c>
      <c r="EI38" s="197">
        <f t="shared" si="30"/>
        <v>0</v>
      </c>
      <c r="EJ38" s="197">
        <f t="shared" si="30"/>
        <v>0</v>
      </c>
      <c r="EK38" s="197">
        <f t="shared" si="30"/>
        <v>0</v>
      </c>
      <c r="EL38" s="197">
        <f t="shared" si="30"/>
        <v>0</v>
      </c>
      <c r="EM38" s="197">
        <f t="shared" si="30"/>
        <v>0</v>
      </c>
      <c r="EN38" s="197">
        <f t="shared" si="30"/>
        <v>0</v>
      </c>
      <c r="EO38" s="197">
        <f t="shared" si="30"/>
        <v>0</v>
      </c>
    </row>
    <row r="40" spans="2:150" x14ac:dyDescent="0.35">
      <c r="D40" t="s">
        <v>103</v>
      </c>
      <c r="F40" s="197">
        <f t="shared" ref="F40:AK40" si="31">SUM(F19:F38)</f>
        <v>181452285.8336181</v>
      </c>
      <c r="G40" s="197">
        <f t="shared" si="31"/>
        <v>181452285.8336181</v>
      </c>
      <c r="H40" s="197">
        <f t="shared" si="31"/>
        <v>181452285.8336181</v>
      </c>
      <c r="I40" s="197">
        <f t="shared" si="31"/>
        <v>181452285.8336181</v>
      </c>
      <c r="J40" s="197">
        <f t="shared" si="31"/>
        <v>241936381.11149079</v>
      </c>
      <c r="K40" s="197">
        <f t="shared" si="31"/>
        <v>937503476.80702674</v>
      </c>
      <c r="L40" s="197">
        <f t="shared" si="31"/>
        <v>937503476.80702674</v>
      </c>
      <c r="M40" s="197">
        <f t="shared" si="31"/>
        <v>937503476.80702674</v>
      </c>
      <c r="N40" s="197">
        <f t="shared" si="31"/>
        <v>937503476.80702674</v>
      </c>
      <c r="O40" s="197">
        <f t="shared" si="31"/>
        <v>937503476.80702674</v>
      </c>
      <c r="P40" s="197">
        <f t="shared" si="31"/>
        <v>725809143.33447242</v>
      </c>
      <c r="Q40" s="197">
        <f t="shared" si="31"/>
        <v>725809143.33447242</v>
      </c>
      <c r="R40" s="197">
        <f t="shared" si="31"/>
        <v>725809143.33447242</v>
      </c>
      <c r="S40" s="197">
        <f t="shared" si="31"/>
        <v>725809143.33447242</v>
      </c>
      <c r="T40" s="197">
        <f t="shared" si="31"/>
        <v>725809143.33447242</v>
      </c>
      <c r="U40" s="197">
        <f t="shared" si="31"/>
        <v>725809143.33447242</v>
      </c>
      <c r="V40" s="197">
        <f t="shared" si="31"/>
        <v>725809143.33447242</v>
      </c>
      <c r="W40" s="197">
        <f t="shared" si="31"/>
        <v>725809143.33447242</v>
      </c>
      <c r="X40" s="197">
        <f t="shared" si="31"/>
        <v>725809143.33447242</v>
      </c>
      <c r="Y40" s="197">
        <f t="shared" si="31"/>
        <v>725809143.33447242</v>
      </c>
      <c r="Z40" s="197">
        <f t="shared" si="31"/>
        <v>725809143.33447242</v>
      </c>
      <c r="AA40" s="197">
        <f t="shared" si="31"/>
        <v>725809143.33447242</v>
      </c>
      <c r="AB40" s="197">
        <f t="shared" si="31"/>
        <v>725809143.33447242</v>
      </c>
      <c r="AC40" s="197">
        <f t="shared" si="31"/>
        <v>725809143.33447242</v>
      </c>
      <c r="AD40" s="197">
        <f t="shared" si="31"/>
        <v>725809143.33447242</v>
      </c>
      <c r="AE40" s="197">
        <f t="shared" si="31"/>
        <v>725809143.33447242</v>
      </c>
      <c r="AF40" s="197">
        <f t="shared" si="31"/>
        <v>725809143.33447242</v>
      </c>
      <c r="AG40" s="197">
        <f t="shared" si="31"/>
        <v>725809143.33447242</v>
      </c>
      <c r="AH40" s="197">
        <f t="shared" si="31"/>
        <v>786293238.61234498</v>
      </c>
      <c r="AI40" s="197">
        <f t="shared" si="31"/>
        <v>786293238.61234498</v>
      </c>
      <c r="AJ40" s="197">
        <f t="shared" si="31"/>
        <v>786293238.61234498</v>
      </c>
      <c r="AK40" s="197">
        <f t="shared" si="31"/>
        <v>786293238.61234498</v>
      </c>
      <c r="AL40" s="197">
        <f t="shared" ref="AL40:BQ40" si="32">SUM(AL19:AL38)</f>
        <v>816535286.25128138</v>
      </c>
      <c r="AM40" s="197">
        <f t="shared" si="32"/>
        <v>816535286.25128138</v>
      </c>
      <c r="AN40" s="197">
        <f t="shared" si="32"/>
        <v>816535286.25128138</v>
      </c>
      <c r="AO40" s="197">
        <f t="shared" si="32"/>
        <v>816535286.25128138</v>
      </c>
      <c r="AP40" s="197">
        <f t="shared" si="32"/>
        <v>816535286.25128138</v>
      </c>
      <c r="AQ40" s="197">
        <f t="shared" si="32"/>
        <v>816535286.25128138</v>
      </c>
      <c r="AR40" s="197">
        <f t="shared" si="32"/>
        <v>816535286.25128138</v>
      </c>
      <c r="AS40" s="197">
        <f t="shared" si="32"/>
        <v>816535286.25128138</v>
      </c>
      <c r="AT40" s="197">
        <f t="shared" si="32"/>
        <v>816535286.25128138</v>
      </c>
      <c r="AU40" s="197">
        <f t="shared" si="32"/>
        <v>816535286.25128138</v>
      </c>
      <c r="AV40" s="197">
        <f t="shared" si="32"/>
        <v>816535286.25128138</v>
      </c>
      <c r="AW40" s="197">
        <f t="shared" si="32"/>
        <v>816535286.25128138</v>
      </c>
      <c r="AX40" s="197">
        <f t="shared" si="32"/>
        <v>816535286.25128138</v>
      </c>
      <c r="AY40" s="197">
        <f t="shared" si="32"/>
        <v>816535286.25128138</v>
      </c>
      <c r="AZ40" s="197">
        <f t="shared" si="32"/>
        <v>816535286.25128138</v>
      </c>
      <c r="BA40" s="197">
        <f t="shared" si="32"/>
        <v>816535286.25128138</v>
      </c>
      <c r="BB40" s="197">
        <f t="shared" si="32"/>
        <v>816535286.25128138</v>
      </c>
      <c r="BC40" s="197">
        <f t="shared" si="32"/>
        <v>816535286.25128138</v>
      </c>
      <c r="BD40" s="197">
        <f t="shared" si="32"/>
        <v>816535286.25128138</v>
      </c>
      <c r="BE40" s="197">
        <f t="shared" si="32"/>
        <v>816535286.25128138</v>
      </c>
      <c r="BF40" s="197">
        <f t="shared" si="32"/>
        <v>816535286.25128138</v>
      </c>
      <c r="BG40" s="197">
        <f t="shared" si="32"/>
        <v>816535286.25128138</v>
      </c>
      <c r="BH40" s="197">
        <f t="shared" si="32"/>
        <v>816535286.25128138</v>
      </c>
      <c r="BI40" s="197">
        <f t="shared" si="32"/>
        <v>816535286.25128138</v>
      </c>
      <c r="BJ40" s="197">
        <f t="shared" si="32"/>
        <v>816535286.25128138</v>
      </c>
      <c r="BK40" s="197">
        <f t="shared" si="32"/>
        <v>816535286.25128138</v>
      </c>
      <c r="BL40" s="197">
        <f t="shared" si="32"/>
        <v>816535286.25128138</v>
      </c>
      <c r="BM40" s="197">
        <f t="shared" si="32"/>
        <v>816535286.25128138</v>
      </c>
      <c r="BN40" s="197">
        <f t="shared" si="32"/>
        <v>816535286.25128138</v>
      </c>
      <c r="BO40" s="197">
        <f t="shared" si="32"/>
        <v>816535286.25128138</v>
      </c>
      <c r="BP40" s="197">
        <f t="shared" si="32"/>
        <v>816535286.25128138</v>
      </c>
      <c r="BQ40" s="197">
        <f t="shared" si="32"/>
        <v>816535286.25128138</v>
      </c>
      <c r="BR40" s="197">
        <f t="shared" ref="BR40:CW40" si="33">SUM(BR19:BR38)</f>
        <v>816535286.25128138</v>
      </c>
      <c r="BS40" s="197">
        <f t="shared" si="33"/>
        <v>816535286.25128138</v>
      </c>
      <c r="BT40" s="197">
        <f t="shared" si="33"/>
        <v>816535286.25128138</v>
      </c>
      <c r="BU40" s="197">
        <f t="shared" si="33"/>
        <v>816535286.25128138</v>
      </c>
      <c r="BV40" s="197">
        <f t="shared" si="33"/>
        <v>816535286.25128138</v>
      </c>
      <c r="BW40" s="197">
        <f t="shared" si="33"/>
        <v>816535286.25128138</v>
      </c>
      <c r="BX40" s="197">
        <f t="shared" si="33"/>
        <v>816535286.25128138</v>
      </c>
      <c r="BY40" s="197">
        <f t="shared" si="33"/>
        <v>816535286.25128138</v>
      </c>
      <c r="BZ40" s="197">
        <f t="shared" si="33"/>
        <v>816535286.25128138</v>
      </c>
      <c r="CA40" s="197">
        <f t="shared" si="33"/>
        <v>816535286.25128138</v>
      </c>
      <c r="CB40" s="197">
        <f t="shared" si="33"/>
        <v>816535286.25128138</v>
      </c>
      <c r="CC40" s="197">
        <f t="shared" si="33"/>
        <v>816535286.25128138</v>
      </c>
      <c r="CD40" s="197">
        <f t="shared" si="33"/>
        <v>816535286.25128138</v>
      </c>
      <c r="CE40" s="197">
        <f t="shared" si="33"/>
        <v>267858136.23057833</v>
      </c>
      <c r="CF40" s="197">
        <f t="shared" si="33"/>
        <v>267858136.23057833</v>
      </c>
      <c r="CG40" s="197">
        <f t="shared" si="33"/>
        <v>267858136.23057833</v>
      </c>
      <c r="CH40" s="197">
        <f t="shared" si="33"/>
        <v>267858136.23057833</v>
      </c>
      <c r="CI40" s="197">
        <f t="shared" si="33"/>
        <v>267858136.23057833</v>
      </c>
      <c r="CJ40" s="197">
        <f t="shared" si="33"/>
        <v>267858136.23057833</v>
      </c>
      <c r="CK40" s="197">
        <f t="shared" si="33"/>
        <v>267858136.23057833</v>
      </c>
      <c r="CL40" s="197">
        <f t="shared" si="33"/>
        <v>0</v>
      </c>
      <c r="CM40" s="197">
        <f t="shared" si="33"/>
        <v>0</v>
      </c>
      <c r="CN40" s="197">
        <f t="shared" si="33"/>
        <v>0</v>
      </c>
      <c r="CO40" s="197">
        <f t="shared" si="33"/>
        <v>0</v>
      </c>
      <c r="CP40" s="197">
        <f t="shared" si="33"/>
        <v>0</v>
      </c>
      <c r="CQ40" s="197">
        <f t="shared" si="33"/>
        <v>0</v>
      </c>
      <c r="CR40" s="197">
        <f t="shared" si="33"/>
        <v>0</v>
      </c>
      <c r="CS40" s="197">
        <f t="shared" si="33"/>
        <v>0</v>
      </c>
      <c r="CT40" s="197">
        <f t="shared" si="33"/>
        <v>0</v>
      </c>
      <c r="CU40" s="197">
        <f t="shared" si="33"/>
        <v>0</v>
      </c>
      <c r="CV40" s="197">
        <f t="shared" si="33"/>
        <v>0</v>
      </c>
      <c r="CW40" s="197">
        <f t="shared" si="33"/>
        <v>0</v>
      </c>
      <c r="CX40" s="197">
        <f t="shared" ref="CX40:EC40" si="34">SUM(CX19:CX38)</f>
        <v>0</v>
      </c>
      <c r="CY40" s="197">
        <f t="shared" si="34"/>
        <v>0</v>
      </c>
      <c r="CZ40" s="197">
        <f t="shared" si="34"/>
        <v>0</v>
      </c>
      <c r="DA40" s="197">
        <f t="shared" si="34"/>
        <v>0</v>
      </c>
      <c r="DB40" s="197">
        <f t="shared" si="34"/>
        <v>0</v>
      </c>
      <c r="DC40" s="197">
        <f t="shared" si="34"/>
        <v>0</v>
      </c>
      <c r="DD40" s="197">
        <f t="shared" si="34"/>
        <v>0</v>
      </c>
      <c r="DE40" s="197">
        <f t="shared" si="34"/>
        <v>0</v>
      </c>
      <c r="DF40" s="197">
        <f t="shared" si="34"/>
        <v>0</v>
      </c>
      <c r="DG40" s="197">
        <f t="shared" si="34"/>
        <v>0</v>
      </c>
      <c r="DH40" s="197">
        <f t="shared" si="34"/>
        <v>0</v>
      </c>
      <c r="DI40" s="197">
        <f t="shared" si="34"/>
        <v>0</v>
      </c>
      <c r="DJ40" s="197">
        <f t="shared" si="34"/>
        <v>0</v>
      </c>
      <c r="DK40" s="197">
        <f t="shared" si="34"/>
        <v>0</v>
      </c>
      <c r="DL40" s="197">
        <f t="shared" si="34"/>
        <v>0</v>
      </c>
      <c r="DM40" s="197">
        <f t="shared" si="34"/>
        <v>0</v>
      </c>
      <c r="DN40" s="197">
        <f t="shared" si="34"/>
        <v>0</v>
      </c>
      <c r="DO40" s="197">
        <f t="shared" si="34"/>
        <v>0</v>
      </c>
      <c r="DP40" s="197">
        <f t="shared" si="34"/>
        <v>0</v>
      </c>
      <c r="DQ40" s="197">
        <f t="shared" si="34"/>
        <v>0</v>
      </c>
      <c r="DR40" s="197">
        <f t="shared" si="34"/>
        <v>0</v>
      </c>
      <c r="DS40" s="197">
        <f t="shared" si="34"/>
        <v>0</v>
      </c>
      <c r="DT40" s="197">
        <f t="shared" si="34"/>
        <v>0</v>
      </c>
      <c r="DU40" s="197">
        <f t="shared" si="34"/>
        <v>0</v>
      </c>
      <c r="DV40" s="197">
        <f t="shared" si="34"/>
        <v>0</v>
      </c>
      <c r="DW40" s="197">
        <f t="shared" si="34"/>
        <v>0</v>
      </c>
      <c r="DX40" s="197">
        <f t="shared" si="34"/>
        <v>0</v>
      </c>
      <c r="DY40" s="197">
        <f t="shared" si="34"/>
        <v>0</v>
      </c>
      <c r="DZ40" s="197">
        <f t="shared" si="34"/>
        <v>0</v>
      </c>
      <c r="EA40" s="197">
        <f t="shared" si="34"/>
        <v>0</v>
      </c>
      <c r="EB40" s="197">
        <f t="shared" si="34"/>
        <v>0</v>
      </c>
      <c r="EC40" s="197">
        <f t="shared" si="34"/>
        <v>0</v>
      </c>
      <c r="ED40" s="197">
        <f t="shared" ref="ED40:ET40" si="35">SUM(ED19:ED38)</f>
        <v>0</v>
      </c>
      <c r="EE40" s="197">
        <f t="shared" si="35"/>
        <v>0</v>
      </c>
      <c r="EF40" s="197">
        <f t="shared" si="35"/>
        <v>0</v>
      </c>
      <c r="EG40" s="197">
        <f t="shared" si="35"/>
        <v>0</v>
      </c>
      <c r="EH40" s="197">
        <f t="shared" si="35"/>
        <v>0</v>
      </c>
      <c r="EI40" s="197">
        <f t="shared" si="35"/>
        <v>0</v>
      </c>
      <c r="EJ40" s="197">
        <f t="shared" si="35"/>
        <v>0</v>
      </c>
      <c r="EK40" s="197">
        <f t="shared" si="35"/>
        <v>0</v>
      </c>
      <c r="EL40" s="197">
        <f t="shared" si="35"/>
        <v>0</v>
      </c>
      <c r="EM40" s="197">
        <f t="shared" si="35"/>
        <v>0</v>
      </c>
      <c r="EN40" s="197">
        <f t="shared" si="35"/>
        <v>0</v>
      </c>
      <c r="EO40" s="197">
        <f t="shared" si="35"/>
        <v>0</v>
      </c>
      <c r="EP40" s="197">
        <f t="shared" si="35"/>
        <v>0</v>
      </c>
      <c r="EQ40" s="197">
        <f t="shared" si="35"/>
        <v>0</v>
      </c>
      <c r="ER40" s="197">
        <f t="shared" si="35"/>
        <v>0</v>
      </c>
      <c r="ES40" s="197">
        <f t="shared" si="35"/>
        <v>0</v>
      </c>
      <c r="ET40" s="197">
        <f t="shared" si="35"/>
        <v>0</v>
      </c>
    </row>
  </sheetData>
  <phoneticPr fontId="4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07BD-4412-41F7-B4AC-F1B4F9E3F931}">
  <dimension ref="B1:EQ48"/>
  <sheetViews>
    <sheetView topLeftCell="B1" zoomScale="90" zoomScaleNormal="90" workbookViewId="0">
      <pane xSplit="3" ySplit="5" topLeftCell="AV6" activePane="bottomRight" state="frozen"/>
      <selection pane="topRight"/>
      <selection pane="bottomLeft"/>
      <selection pane="bottomRight" activeCell="J27" sqref="J27"/>
    </sheetView>
  </sheetViews>
  <sheetFormatPr defaultRowHeight="14.5" x14ac:dyDescent="0.35"/>
  <cols>
    <col min="2" max="2" width="22" customWidth="1"/>
    <col min="3" max="3" width="22" bestFit="1" customWidth="1"/>
    <col min="4" max="4" width="15.90625" bestFit="1" customWidth="1"/>
    <col min="5" max="5" width="22" bestFit="1" customWidth="1"/>
    <col min="6" max="6" width="14.36328125" bestFit="1" customWidth="1"/>
    <col min="7" max="14" width="13.36328125" bestFit="1" customWidth="1"/>
    <col min="15" max="15" width="16.453125" bestFit="1" customWidth="1"/>
    <col min="16" max="16" width="14.453125" customWidth="1"/>
    <col min="17" max="28" width="13.36328125" bestFit="1" customWidth="1"/>
    <col min="29" max="36" width="13.90625" customWidth="1"/>
    <col min="37" max="40" width="15.453125" customWidth="1"/>
    <col min="41" max="46" width="15.08984375" customWidth="1"/>
    <col min="47" max="52" width="16.6328125" customWidth="1"/>
    <col min="53" max="59" width="18.36328125" customWidth="1"/>
    <col min="60" max="60" width="15.453125" customWidth="1"/>
    <col min="61" max="79" width="14.90625" customWidth="1"/>
    <col min="80" max="90" width="12.453125" customWidth="1"/>
    <col min="91" max="91" width="14.36328125" customWidth="1"/>
    <col min="92" max="92" width="13.36328125" customWidth="1"/>
    <col min="93" max="93" width="13.08984375" customWidth="1"/>
    <col min="94" max="94" width="12.453125" customWidth="1"/>
    <col min="95" max="95" width="13" customWidth="1"/>
    <col min="96" max="96" width="12.90625" customWidth="1"/>
    <col min="97" max="97" width="12.54296875" customWidth="1"/>
    <col min="98" max="98" width="13" customWidth="1"/>
    <col min="99" max="99" width="13.54296875" customWidth="1"/>
    <col min="100" max="100" width="12.08984375" customWidth="1"/>
    <col min="101" max="127" width="11.453125" bestFit="1" customWidth="1"/>
    <col min="128" max="133" width="10.36328125" bestFit="1" customWidth="1"/>
  </cols>
  <sheetData>
    <row r="1" spans="3:16" x14ac:dyDescent="0.35">
      <c r="I1" t="s">
        <v>172</v>
      </c>
    </row>
    <row r="2" spans="3:16" x14ac:dyDescent="0.35">
      <c r="C2" t="s">
        <v>173</v>
      </c>
      <c r="D2" s="197">
        <f>'Dashboard все'!C25</f>
        <v>6901</v>
      </c>
      <c r="I2" s="220" t="s">
        <v>174</v>
      </c>
      <c r="J2" s="199">
        <v>2.8999999999999998E-3</v>
      </c>
      <c r="K2">
        <f>6-1+1</f>
        <v>6</v>
      </c>
      <c r="L2" s="199">
        <f t="shared" ref="L2:L14" si="0">J2*K2</f>
        <v>1.7399999999999999E-2</v>
      </c>
    </row>
    <row r="3" spans="3:16" x14ac:dyDescent="0.35">
      <c r="C3" t="s">
        <v>175</v>
      </c>
      <c r="D3" s="197">
        <f>'Dashboard все'!C26</f>
        <v>6901</v>
      </c>
      <c r="I3" s="222" t="s">
        <v>176</v>
      </c>
      <c r="J3" s="199">
        <v>3.0000000000000001E-3</v>
      </c>
      <c r="K3">
        <f>12-7+1</f>
        <v>6</v>
      </c>
      <c r="L3" s="199">
        <f t="shared" si="0"/>
        <v>1.8000000000000002E-2</v>
      </c>
    </row>
    <row r="4" spans="3:16" x14ac:dyDescent="0.35">
      <c r="C4" t="s">
        <v>177</v>
      </c>
      <c r="D4" s="197">
        <v>7</v>
      </c>
      <c r="F4" t="s">
        <v>178</v>
      </c>
      <c r="I4" s="222" t="s">
        <v>179</v>
      </c>
      <c r="J4" s="199">
        <v>4.0000000000000001E-3</v>
      </c>
      <c r="K4">
        <f>16-13+1</f>
        <v>4</v>
      </c>
      <c r="L4" s="199">
        <f t="shared" si="0"/>
        <v>1.6E-2</v>
      </c>
      <c r="O4" s="218"/>
    </row>
    <row r="5" spans="3:16" x14ac:dyDescent="0.35">
      <c r="C5" t="s">
        <v>180</v>
      </c>
      <c r="D5" s="197">
        <f>'PnL все'!B34</f>
        <v>10713300000</v>
      </c>
      <c r="I5" s="222" t="s">
        <v>181</v>
      </c>
      <c r="J5" s="199">
        <v>8.0000000000000002E-3</v>
      </c>
      <c r="K5">
        <f>19-17+1</f>
        <v>3</v>
      </c>
      <c r="L5" s="199">
        <f t="shared" si="0"/>
        <v>2.4E-2</v>
      </c>
      <c r="O5" s="218"/>
      <c r="P5" s="218"/>
    </row>
    <row r="6" spans="3:16" x14ac:dyDescent="0.35">
      <c r="C6" t="s">
        <v>182</v>
      </c>
      <c r="D6" s="197">
        <f>D5/D4</f>
        <v>1530471428.5714285</v>
      </c>
      <c r="I6" s="222" t="s">
        <v>183</v>
      </c>
      <c r="J6" s="199">
        <v>9.4999999999999998E-3</v>
      </c>
      <c r="K6">
        <f>22-20+1</f>
        <v>3</v>
      </c>
      <c r="L6" s="199">
        <f t="shared" si="0"/>
        <v>2.8499999999999998E-2</v>
      </c>
    </row>
    <row r="7" spans="3:16" x14ac:dyDescent="0.35">
      <c r="D7" s="197"/>
      <c r="I7" s="222" t="s">
        <v>184</v>
      </c>
      <c r="J7" s="199">
        <v>1.0999999999999999E-2</v>
      </c>
      <c r="K7">
        <f>25-23+1</f>
        <v>3</v>
      </c>
      <c r="L7" s="199">
        <f t="shared" si="0"/>
        <v>3.3000000000000002E-2</v>
      </c>
    </row>
    <row r="8" spans="3:16" x14ac:dyDescent="0.35">
      <c r="D8" s="197"/>
      <c r="I8" s="222" t="s">
        <v>185</v>
      </c>
      <c r="J8" s="199">
        <v>1.15E-2</v>
      </c>
      <c r="K8">
        <f>32-26+1</f>
        <v>7</v>
      </c>
      <c r="L8" s="199">
        <f t="shared" si="0"/>
        <v>8.0500000000000002E-2</v>
      </c>
    </row>
    <row r="9" spans="3:16" x14ac:dyDescent="0.35">
      <c r="D9" s="221">
        <v>3.9940000000235801E-5</v>
      </c>
      <c r="I9" s="222" t="s">
        <v>186</v>
      </c>
      <c r="J9" s="199">
        <v>1.2500000000000001E-2</v>
      </c>
      <c r="K9">
        <f>36-33+1</f>
        <v>4</v>
      </c>
      <c r="L9" s="199">
        <f t="shared" si="0"/>
        <v>0.05</v>
      </c>
    </row>
    <row r="10" spans="3:16" x14ac:dyDescent="0.35">
      <c r="D10" s="221"/>
      <c r="E10" s="230">
        <f>B20/D6</f>
        <v>-5.9999999999999991</v>
      </c>
      <c r="I10" s="222" t="s">
        <v>187</v>
      </c>
      <c r="J10" s="199">
        <v>1.32E-2</v>
      </c>
      <c r="K10">
        <f>42-37+1</f>
        <v>6</v>
      </c>
      <c r="L10" s="199">
        <f t="shared" si="0"/>
        <v>7.9199999999999993E-2</v>
      </c>
    </row>
    <row r="11" spans="3:16" x14ac:dyDescent="0.35">
      <c r="D11" s="221"/>
      <c r="I11" s="222" t="s">
        <v>188</v>
      </c>
      <c r="J11" s="199">
        <v>1.34E-2</v>
      </c>
      <c r="K11">
        <f>48-43+1</f>
        <v>6</v>
      </c>
      <c r="L11" s="199">
        <f t="shared" si="0"/>
        <v>8.0399999999999999E-2</v>
      </c>
    </row>
    <row r="12" spans="3:16" x14ac:dyDescent="0.35">
      <c r="D12" s="221"/>
      <c r="I12" s="222" t="s">
        <v>189</v>
      </c>
      <c r="J12" s="199">
        <v>1.35E-2</v>
      </c>
      <c r="K12">
        <f>55-49+1</f>
        <v>7</v>
      </c>
      <c r="L12" s="199">
        <f t="shared" si="0"/>
        <v>9.4500000000000001E-2</v>
      </c>
    </row>
    <row r="13" spans="3:16" x14ac:dyDescent="0.35">
      <c r="D13" s="221"/>
      <c r="I13" s="222" t="s">
        <v>190</v>
      </c>
      <c r="J13" s="199">
        <v>1.4500000000000001E-2</v>
      </c>
      <c r="K13">
        <f>64-56+1</f>
        <v>9</v>
      </c>
      <c r="L13" s="199">
        <f t="shared" si="0"/>
        <v>0.1305</v>
      </c>
    </row>
    <row r="14" spans="3:16" x14ac:dyDescent="0.35">
      <c r="D14" s="221"/>
      <c r="I14" s="222" t="s">
        <v>191</v>
      </c>
      <c r="J14" s="199">
        <v>1.4999999999999999E-2</v>
      </c>
      <c r="K14">
        <f>75-65+1</f>
        <v>11</v>
      </c>
      <c r="L14" s="199">
        <f t="shared" si="0"/>
        <v>0.16499999999999998</v>
      </c>
    </row>
    <row r="15" spans="3:16" x14ac:dyDescent="0.35">
      <c r="D15" s="221"/>
      <c r="I15" s="222" t="s">
        <v>192</v>
      </c>
      <c r="J15" s="199">
        <f>L15/K15</f>
        <v>2.0333333333333328E-2</v>
      </c>
      <c r="K15">
        <f>84-76+1</f>
        <v>9</v>
      </c>
      <c r="L15" s="199">
        <f>L17-L2-L3-L4-L5-L6-L7-L8-L9-L10-L11-L12-L13-L14</f>
        <v>0.18299999999999994</v>
      </c>
    </row>
    <row r="16" spans="3:16" x14ac:dyDescent="0.35">
      <c r="D16" s="221"/>
      <c r="I16" s="222"/>
      <c r="J16" s="199"/>
      <c r="L16" s="211"/>
    </row>
    <row r="17" spans="2:147" x14ac:dyDescent="0.35">
      <c r="D17" s="221"/>
      <c r="I17" s="222"/>
      <c r="J17" s="199"/>
      <c r="K17">
        <f>SUM(K2:K16)</f>
        <v>84</v>
      </c>
      <c r="L17" s="211">
        <v>1</v>
      </c>
    </row>
    <row r="18" spans="2:147" x14ac:dyDescent="0.35">
      <c r="D18" s="221"/>
      <c r="I18" s="222"/>
      <c r="J18" s="199"/>
      <c r="L18" s="211"/>
    </row>
    <row r="19" spans="2:147" x14ac:dyDescent="0.35">
      <c r="D19" s="221">
        <f>B20/D6</f>
        <v>-5.9999999999999991</v>
      </c>
      <c r="I19" t="s">
        <v>103</v>
      </c>
      <c r="J19" s="199">
        <f>SUM(J2:J14)</f>
        <v>0.13200000000000001</v>
      </c>
      <c r="K19" s="216">
        <f>SUM(K2:K10)</f>
        <v>42</v>
      </c>
      <c r="L19" s="199">
        <v>1</v>
      </c>
    </row>
    <row r="20" spans="2:147" x14ac:dyDescent="0.35">
      <c r="B20" s="197">
        <f>D6-B22</f>
        <v>-9182828571.4285698</v>
      </c>
      <c r="F20" s="197"/>
    </row>
    <row r="21" spans="2:147" x14ac:dyDescent="0.35">
      <c r="E21" s="201">
        <f>DCF!D6</f>
        <v>46204</v>
      </c>
      <c r="F21" s="201">
        <f t="shared" ref="F21:AK21" si="1">EDATE(E21,1)</f>
        <v>46235</v>
      </c>
      <c r="G21" s="201">
        <f t="shared" si="1"/>
        <v>46266</v>
      </c>
      <c r="H21" s="201">
        <f t="shared" si="1"/>
        <v>46296</v>
      </c>
      <c r="I21" s="201">
        <f t="shared" si="1"/>
        <v>46327</v>
      </c>
      <c r="J21" s="201">
        <f t="shared" si="1"/>
        <v>46357</v>
      </c>
      <c r="K21" s="201">
        <f t="shared" si="1"/>
        <v>46388</v>
      </c>
      <c r="L21" s="201">
        <f t="shared" si="1"/>
        <v>46419</v>
      </c>
      <c r="M21" s="201">
        <f t="shared" si="1"/>
        <v>46447</v>
      </c>
      <c r="N21" s="201">
        <f t="shared" si="1"/>
        <v>46478</v>
      </c>
      <c r="O21" s="201">
        <f t="shared" si="1"/>
        <v>46508</v>
      </c>
      <c r="P21" s="201">
        <f t="shared" si="1"/>
        <v>46539</v>
      </c>
      <c r="Q21" s="201">
        <f t="shared" si="1"/>
        <v>46569</v>
      </c>
      <c r="R21" s="201">
        <f t="shared" si="1"/>
        <v>46600</v>
      </c>
      <c r="S21" s="201">
        <f t="shared" si="1"/>
        <v>46631</v>
      </c>
      <c r="T21" s="201">
        <f t="shared" si="1"/>
        <v>46661</v>
      </c>
      <c r="U21" s="201">
        <f t="shared" si="1"/>
        <v>46692</v>
      </c>
      <c r="V21" s="201">
        <f t="shared" si="1"/>
        <v>46722</v>
      </c>
      <c r="W21" s="201">
        <f t="shared" si="1"/>
        <v>46753</v>
      </c>
      <c r="X21" s="201">
        <f t="shared" si="1"/>
        <v>46784</v>
      </c>
      <c r="Y21" s="201">
        <f t="shared" si="1"/>
        <v>46813</v>
      </c>
      <c r="Z21" s="201">
        <f t="shared" si="1"/>
        <v>46844</v>
      </c>
      <c r="AA21" s="201">
        <f t="shared" si="1"/>
        <v>46874</v>
      </c>
      <c r="AB21" s="201">
        <f t="shared" si="1"/>
        <v>46905</v>
      </c>
      <c r="AC21" s="201">
        <f t="shared" si="1"/>
        <v>46935</v>
      </c>
      <c r="AD21" s="201">
        <f t="shared" si="1"/>
        <v>46966</v>
      </c>
      <c r="AE21" s="201">
        <f t="shared" si="1"/>
        <v>46997</v>
      </c>
      <c r="AF21" s="201">
        <f t="shared" si="1"/>
        <v>47027</v>
      </c>
      <c r="AG21" s="201">
        <f t="shared" si="1"/>
        <v>47058</v>
      </c>
      <c r="AH21" s="201">
        <f t="shared" si="1"/>
        <v>47088</v>
      </c>
      <c r="AI21" s="201">
        <f t="shared" si="1"/>
        <v>47119</v>
      </c>
      <c r="AJ21" s="201">
        <f t="shared" si="1"/>
        <v>47150</v>
      </c>
      <c r="AK21" s="201">
        <f t="shared" si="1"/>
        <v>47178</v>
      </c>
      <c r="AL21" s="201">
        <f t="shared" ref="AL21:BQ21" si="2">EDATE(AK21,1)</f>
        <v>47209</v>
      </c>
      <c r="AM21" s="201">
        <f t="shared" si="2"/>
        <v>47239</v>
      </c>
      <c r="AN21" s="201">
        <f t="shared" si="2"/>
        <v>47270</v>
      </c>
      <c r="AO21" s="201">
        <f t="shared" si="2"/>
        <v>47300</v>
      </c>
      <c r="AP21" s="201">
        <f t="shared" si="2"/>
        <v>47331</v>
      </c>
      <c r="AQ21" s="201">
        <f t="shared" si="2"/>
        <v>47362</v>
      </c>
      <c r="AR21" s="201">
        <f t="shared" si="2"/>
        <v>47392</v>
      </c>
      <c r="AS21" s="201">
        <f t="shared" si="2"/>
        <v>47423</v>
      </c>
      <c r="AT21" s="201">
        <f t="shared" si="2"/>
        <v>47453</v>
      </c>
      <c r="AU21" s="201">
        <f t="shared" si="2"/>
        <v>47484</v>
      </c>
      <c r="AV21" s="201">
        <f t="shared" si="2"/>
        <v>47515</v>
      </c>
      <c r="AW21" s="201">
        <f t="shared" si="2"/>
        <v>47543</v>
      </c>
      <c r="AX21" s="201">
        <f t="shared" si="2"/>
        <v>47574</v>
      </c>
      <c r="AY21" s="201">
        <f t="shared" si="2"/>
        <v>47604</v>
      </c>
      <c r="AZ21" s="201">
        <f t="shared" si="2"/>
        <v>47635</v>
      </c>
      <c r="BA21" s="201">
        <f t="shared" si="2"/>
        <v>47665</v>
      </c>
      <c r="BB21" s="201">
        <f t="shared" si="2"/>
        <v>47696</v>
      </c>
      <c r="BC21" s="201">
        <f t="shared" si="2"/>
        <v>47727</v>
      </c>
      <c r="BD21" s="201">
        <f t="shared" si="2"/>
        <v>47757</v>
      </c>
      <c r="BE21" s="201">
        <f t="shared" si="2"/>
        <v>47788</v>
      </c>
      <c r="BF21" s="201">
        <f t="shared" si="2"/>
        <v>47818</v>
      </c>
      <c r="BG21" s="201">
        <f t="shared" si="2"/>
        <v>47849</v>
      </c>
      <c r="BH21" s="201">
        <f t="shared" si="2"/>
        <v>47880</v>
      </c>
      <c r="BI21" s="201">
        <f t="shared" si="2"/>
        <v>47908</v>
      </c>
      <c r="BJ21" s="201">
        <f t="shared" si="2"/>
        <v>47939</v>
      </c>
      <c r="BK21" s="201">
        <f t="shared" si="2"/>
        <v>47969</v>
      </c>
      <c r="BL21" s="201">
        <f t="shared" si="2"/>
        <v>48000</v>
      </c>
      <c r="BM21" s="201">
        <f t="shared" si="2"/>
        <v>48030</v>
      </c>
      <c r="BN21" s="201">
        <f t="shared" si="2"/>
        <v>48061</v>
      </c>
      <c r="BO21" s="201">
        <f t="shared" si="2"/>
        <v>48092</v>
      </c>
      <c r="BP21" s="201">
        <f t="shared" si="2"/>
        <v>48122</v>
      </c>
      <c r="BQ21" s="201">
        <f t="shared" si="2"/>
        <v>48153</v>
      </c>
      <c r="BR21" s="201">
        <f t="shared" ref="BR21:CW21" si="3">EDATE(BQ21,1)</f>
        <v>48183</v>
      </c>
      <c r="BS21" s="201">
        <f t="shared" si="3"/>
        <v>48214</v>
      </c>
      <c r="BT21" s="201">
        <f t="shared" si="3"/>
        <v>48245</v>
      </c>
      <c r="BU21" s="201">
        <f t="shared" si="3"/>
        <v>48274</v>
      </c>
      <c r="BV21" s="201">
        <f t="shared" si="3"/>
        <v>48305</v>
      </c>
      <c r="BW21" s="201">
        <f t="shared" si="3"/>
        <v>48335</v>
      </c>
      <c r="BX21" s="201">
        <f t="shared" si="3"/>
        <v>48366</v>
      </c>
      <c r="BY21" s="201">
        <f t="shared" si="3"/>
        <v>48396</v>
      </c>
      <c r="BZ21" s="201">
        <f t="shared" si="3"/>
        <v>48427</v>
      </c>
      <c r="CA21" s="201">
        <f t="shared" si="3"/>
        <v>48458</v>
      </c>
      <c r="CB21" s="201">
        <f t="shared" si="3"/>
        <v>48488</v>
      </c>
      <c r="CC21" s="201">
        <f t="shared" si="3"/>
        <v>48519</v>
      </c>
      <c r="CD21" s="201">
        <f t="shared" si="3"/>
        <v>48549</v>
      </c>
      <c r="CE21" s="201">
        <f t="shared" si="3"/>
        <v>48580</v>
      </c>
      <c r="CF21" s="201">
        <f t="shared" si="3"/>
        <v>48611</v>
      </c>
      <c r="CG21" s="201">
        <f t="shared" si="3"/>
        <v>48639</v>
      </c>
      <c r="CH21" s="201">
        <f t="shared" si="3"/>
        <v>48670</v>
      </c>
      <c r="CI21" s="201">
        <f t="shared" si="3"/>
        <v>48700</v>
      </c>
      <c r="CJ21" s="201">
        <f t="shared" si="3"/>
        <v>48731</v>
      </c>
      <c r="CK21" s="201">
        <f t="shared" si="3"/>
        <v>48761</v>
      </c>
      <c r="CL21" s="201">
        <f t="shared" si="3"/>
        <v>48792</v>
      </c>
      <c r="CM21" s="201">
        <f t="shared" si="3"/>
        <v>48823</v>
      </c>
      <c r="CN21" s="201">
        <f t="shared" si="3"/>
        <v>48853</v>
      </c>
      <c r="CO21" s="201">
        <f t="shared" si="3"/>
        <v>48884</v>
      </c>
      <c r="CP21" s="201">
        <f t="shared" si="3"/>
        <v>48914</v>
      </c>
      <c r="CQ21" s="201">
        <f t="shared" si="3"/>
        <v>48945</v>
      </c>
      <c r="CR21" s="201">
        <f t="shared" si="3"/>
        <v>48976</v>
      </c>
      <c r="CS21" s="201">
        <f t="shared" si="3"/>
        <v>49004</v>
      </c>
      <c r="CT21" s="201">
        <f t="shared" si="3"/>
        <v>49035</v>
      </c>
      <c r="CU21" s="201">
        <f t="shared" si="3"/>
        <v>49065</v>
      </c>
      <c r="CV21" s="201">
        <f t="shared" si="3"/>
        <v>49096</v>
      </c>
      <c r="CW21" s="201">
        <f t="shared" si="3"/>
        <v>49126</v>
      </c>
      <c r="CX21" s="201">
        <f t="shared" ref="CX21:EC21" si="4">EDATE(CW21,1)</f>
        <v>49157</v>
      </c>
      <c r="CY21" s="201">
        <f t="shared" si="4"/>
        <v>49188</v>
      </c>
      <c r="CZ21" s="201">
        <f t="shared" si="4"/>
        <v>49218</v>
      </c>
      <c r="DA21" s="201">
        <f t="shared" si="4"/>
        <v>49249</v>
      </c>
      <c r="DB21" s="201">
        <f t="shared" si="4"/>
        <v>49279</v>
      </c>
      <c r="DC21" s="201">
        <f t="shared" si="4"/>
        <v>49310</v>
      </c>
      <c r="DD21" s="201">
        <f t="shared" si="4"/>
        <v>49341</v>
      </c>
      <c r="DE21" s="201">
        <f t="shared" si="4"/>
        <v>49369</v>
      </c>
      <c r="DF21" s="201">
        <f t="shared" si="4"/>
        <v>49400</v>
      </c>
      <c r="DG21" s="201">
        <f t="shared" si="4"/>
        <v>49430</v>
      </c>
      <c r="DH21" s="201">
        <f t="shared" si="4"/>
        <v>49461</v>
      </c>
      <c r="DI21" s="201">
        <f t="shared" si="4"/>
        <v>49491</v>
      </c>
      <c r="DJ21" s="201">
        <f t="shared" si="4"/>
        <v>49522</v>
      </c>
      <c r="DK21" s="201">
        <f t="shared" si="4"/>
        <v>49553</v>
      </c>
      <c r="DL21" s="201">
        <f t="shared" si="4"/>
        <v>49583</v>
      </c>
      <c r="DM21" s="201">
        <f t="shared" si="4"/>
        <v>49614</v>
      </c>
      <c r="DN21" s="201">
        <f t="shared" si="4"/>
        <v>49644</v>
      </c>
      <c r="DO21" s="201">
        <f t="shared" si="4"/>
        <v>49675</v>
      </c>
      <c r="DP21" s="201">
        <f t="shared" si="4"/>
        <v>49706</v>
      </c>
      <c r="DQ21" s="201">
        <f t="shared" si="4"/>
        <v>49735</v>
      </c>
      <c r="DR21" s="201">
        <f t="shared" si="4"/>
        <v>49766</v>
      </c>
      <c r="DS21" s="201">
        <f t="shared" si="4"/>
        <v>49796</v>
      </c>
      <c r="DT21" s="201">
        <f t="shared" si="4"/>
        <v>49827</v>
      </c>
      <c r="DU21" s="201">
        <f t="shared" si="4"/>
        <v>49857</v>
      </c>
      <c r="DV21" s="201">
        <f t="shared" si="4"/>
        <v>49888</v>
      </c>
      <c r="DW21" s="201">
        <f t="shared" si="4"/>
        <v>49919</v>
      </c>
      <c r="DX21" s="201">
        <f t="shared" si="4"/>
        <v>49949</v>
      </c>
      <c r="DY21" s="201">
        <f t="shared" si="4"/>
        <v>49980</v>
      </c>
      <c r="DZ21" s="201">
        <f t="shared" si="4"/>
        <v>50010</v>
      </c>
      <c r="EA21" s="201">
        <f t="shared" si="4"/>
        <v>50041</v>
      </c>
      <c r="EB21" s="201">
        <f t="shared" si="4"/>
        <v>50072</v>
      </c>
      <c r="EC21" s="201">
        <f t="shared" si="4"/>
        <v>50100</v>
      </c>
      <c r="ED21" s="201">
        <f t="shared" ref="ED21:EQ21" si="5">EDATE(EC21,1)</f>
        <v>50131</v>
      </c>
      <c r="EE21" s="201">
        <f t="shared" si="5"/>
        <v>50161</v>
      </c>
      <c r="EF21" s="201">
        <f t="shared" si="5"/>
        <v>50192</v>
      </c>
      <c r="EG21" s="201">
        <f t="shared" si="5"/>
        <v>50222</v>
      </c>
      <c r="EH21" s="201">
        <f t="shared" si="5"/>
        <v>50253</v>
      </c>
      <c r="EI21" s="201">
        <f t="shared" si="5"/>
        <v>50284</v>
      </c>
      <c r="EJ21" s="201">
        <f t="shared" si="5"/>
        <v>50314</v>
      </c>
      <c r="EK21" s="201">
        <f t="shared" si="5"/>
        <v>50345</v>
      </c>
      <c r="EL21" s="201">
        <f t="shared" si="5"/>
        <v>50375</v>
      </c>
      <c r="EM21" s="201">
        <f t="shared" si="5"/>
        <v>50406</v>
      </c>
      <c r="EN21" s="201">
        <f t="shared" si="5"/>
        <v>50437</v>
      </c>
      <c r="EO21" s="201">
        <f t="shared" si="5"/>
        <v>50465</v>
      </c>
      <c r="EP21" s="201">
        <f t="shared" si="5"/>
        <v>50496</v>
      </c>
      <c r="EQ21" s="201">
        <f t="shared" si="5"/>
        <v>50526</v>
      </c>
    </row>
    <row r="22" spans="2:147" x14ac:dyDescent="0.35">
      <c r="B22" s="197">
        <f>SUM(B23:B42)</f>
        <v>10713299999.999998</v>
      </c>
      <c r="C22" s="197"/>
      <c r="D22" t="s">
        <v>193</v>
      </c>
      <c r="E22" s="198">
        <v>1</v>
      </c>
      <c r="F22" s="198">
        <f t="shared" ref="F22:AK22" si="6">E22+1</f>
        <v>2</v>
      </c>
      <c r="G22" s="198">
        <f t="shared" si="6"/>
        <v>3</v>
      </c>
      <c r="H22" s="198">
        <f t="shared" si="6"/>
        <v>4</v>
      </c>
      <c r="I22" s="198">
        <f t="shared" si="6"/>
        <v>5</v>
      </c>
      <c r="J22" s="198">
        <f t="shared" si="6"/>
        <v>6</v>
      </c>
      <c r="K22" s="198">
        <f t="shared" si="6"/>
        <v>7</v>
      </c>
      <c r="L22" s="198">
        <f t="shared" si="6"/>
        <v>8</v>
      </c>
      <c r="M22" s="198">
        <f t="shared" si="6"/>
        <v>9</v>
      </c>
      <c r="N22" s="198">
        <f t="shared" si="6"/>
        <v>10</v>
      </c>
      <c r="O22" s="198">
        <f t="shared" si="6"/>
        <v>11</v>
      </c>
      <c r="P22" s="198">
        <f t="shared" si="6"/>
        <v>12</v>
      </c>
      <c r="Q22" s="198">
        <f t="shared" si="6"/>
        <v>13</v>
      </c>
      <c r="R22" s="198">
        <f t="shared" si="6"/>
        <v>14</v>
      </c>
      <c r="S22" s="198">
        <f t="shared" si="6"/>
        <v>15</v>
      </c>
      <c r="T22" s="198">
        <f t="shared" si="6"/>
        <v>16</v>
      </c>
      <c r="U22" s="198">
        <f t="shared" si="6"/>
        <v>17</v>
      </c>
      <c r="V22" s="198">
        <f t="shared" si="6"/>
        <v>18</v>
      </c>
      <c r="W22" s="198">
        <f t="shared" si="6"/>
        <v>19</v>
      </c>
      <c r="X22" s="198">
        <f t="shared" si="6"/>
        <v>20</v>
      </c>
      <c r="Y22" s="198">
        <f t="shared" si="6"/>
        <v>21</v>
      </c>
      <c r="Z22" s="198">
        <f t="shared" si="6"/>
        <v>22</v>
      </c>
      <c r="AA22" s="198">
        <f t="shared" si="6"/>
        <v>23</v>
      </c>
      <c r="AB22" s="198">
        <f t="shared" si="6"/>
        <v>24</v>
      </c>
      <c r="AC22" s="198">
        <f t="shared" si="6"/>
        <v>25</v>
      </c>
      <c r="AD22" s="198">
        <f t="shared" si="6"/>
        <v>26</v>
      </c>
      <c r="AE22" s="198">
        <f t="shared" si="6"/>
        <v>27</v>
      </c>
      <c r="AF22" s="198">
        <f t="shared" si="6"/>
        <v>28</v>
      </c>
      <c r="AG22" s="198">
        <f t="shared" si="6"/>
        <v>29</v>
      </c>
      <c r="AH22" s="198">
        <f t="shared" si="6"/>
        <v>30</v>
      </c>
      <c r="AI22" s="198">
        <f t="shared" si="6"/>
        <v>31</v>
      </c>
      <c r="AJ22" s="198">
        <f t="shared" si="6"/>
        <v>32</v>
      </c>
      <c r="AK22" s="198">
        <f t="shared" si="6"/>
        <v>33</v>
      </c>
      <c r="AL22" s="198">
        <f t="shared" ref="AL22:BQ22" si="7">AK22+1</f>
        <v>34</v>
      </c>
      <c r="AM22" s="198">
        <f t="shared" si="7"/>
        <v>35</v>
      </c>
      <c r="AN22" s="198">
        <f t="shared" si="7"/>
        <v>36</v>
      </c>
      <c r="AO22" s="198">
        <f t="shared" si="7"/>
        <v>37</v>
      </c>
      <c r="AP22" s="198">
        <f t="shared" si="7"/>
        <v>38</v>
      </c>
      <c r="AQ22" s="198">
        <f t="shared" si="7"/>
        <v>39</v>
      </c>
      <c r="AR22" s="198">
        <f t="shared" si="7"/>
        <v>40</v>
      </c>
      <c r="AS22" s="198">
        <f t="shared" si="7"/>
        <v>41</v>
      </c>
      <c r="AT22" s="198">
        <f t="shared" si="7"/>
        <v>42</v>
      </c>
      <c r="AU22" s="198">
        <f t="shared" si="7"/>
        <v>43</v>
      </c>
      <c r="AV22" s="198">
        <f t="shared" si="7"/>
        <v>44</v>
      </c>
      <c r="AW22" s="198">
        <f t="shared" si="7"/>
        <v>45</v>
      </c>
      <c r="AX22" s="198">
        <f t="shared" si="7"/>
        <v>46</v>
      </c>
      <c r="AY22" s="198">
        <f t="shared" si="7"/>
        <v>47</v>
      </c>
      <c r="AZ22" s="198">
        <f t="shared" si="7"/>
        <v>48</v>
      </c>
      <c r="BA22" s="198">
        <f t="shared" si="7"/>
        <v>49</v>
      </c>
      <c r="BB22" s="198">
        <f t="shared" si="7"/>
        <v>50</v>
      </c>
      <c r="BC22" s="198">
        <f t="shared" si="7"/>
        <v>51</v>
      </c>
      <c r="BD22" s="198">
        <f t="shared" si="7"/>
        <v>52</v>
      </c>
      <c r="BE22" s="198">
        <f t="shared" si="7"/>
        <v>53</v>
      </c>
      <c r="BF22" s="198">
        <f t="shared" si="7"/>
        <v>54</v>
      </c>
      <c r="BG22" s="198">
        <f t="shared" si="7"/>
        <v>55</v>
      </c>
      <c r="BH22" s="198">
        <f t="shared" si="7"/>
        <v>56</v>
      </c>
      <c r="BI22" s="198">
        <f t="shared" si="7"/>
        <v>57</v>
      </c>
      <c r="BJ22" s="198">
        <f t="shared" si="7"/>
        <v>58</v>
      </c>
      <c r="BK22" s="198">
        <f t="shared" si="7"/>
        <v>59</v>
      </c>
      <c r="BL22" s="198">
        <f t="shared" si="7"/>
        <v>60</v>
      </c>
      <c r="BM22" s="198">
        <f t="shared" si="7"/>
        <v>61</v>
      </c>
      <c r="BN22" s="198">
        <f t="shared" si="7"/>
        <v>62</v>
      </c>
      <c r="BO22" s="198">
        <f t="shared" si="7"/>
        <v>63</v>
      </c>
      <c r="BP22" s="198">
        <f t="shared" si="7"/>
        <v>64</v>
      </c>
      <c r="BQ22" s="198">
        <f t="shared" si="7"/>
        <v>65</v>
      </c>
      <c r="BR22" s="198">
        <f t="shared" ref="BR22:CW22" si="8">BQ22+1</f>
        <v>66</v>
      </c>
      <c r="BS22" s="198">
        <f t="shared" si="8"/>
        <v>67</v>
      </c>
      <c r="BT22" s="198">
        <f t="shared" si="8"/>
        <v>68</v>
      </c>
      <c r="BU22" s="198">
        <f t="shared" si="8"/>
        <v>69</v>
      </c>
      <c r="BV22" s="198">
        <f t="shared" si="8"/>
        <v>70</v>
      </c>
      <c r="BW22" s="198">
        <f t="shared" si="8"/>
        <v>71</v>
      </c>
      <c r="BX22" s="198">
        <f t="shared" si="8"/>
        <v>72</v>
      </c>
      <c r="BY22" s="198">
        <f t="shared" si="8"/>
        <v>73</v>
      </c>
      <c r="BZ22" s="198">
        <f t="shared" si="8"/>
        <v>74</v>
      </c>
      <c r="CA22" s="198">
        <f t="shared" si="8"/>
        <v>75</v>
      </c>
      <c r="CB22" s="198">
        <f t="shared" si="8"/>
        <v>76</v>
      </c>
      <c r="CC22" s="198">
        <f t="shared" si="8"/>
        <v>77</v>
      </c>
      <c r="CD22" s="198">
        <f t="shared" si="8"/>
        <v>78</v>
      </c>
      <c r="CE22" s="198">
        <f t="shared" si="8"/>
        <v>79</v>
      </c>
      <c r="CF22" s="198">
        <f t="shared" si="8"/>
        <v>80</v>
      </c>
      <c r="CG22" s="198">
        <f t="shared" si="8"/>
        <v>81</v>
      </c>
      <c r="CH22" s="198">
        <f t="shared" si="8"/>
        <v>82</v>
      </c>
      <c r="CI22" s="198">
        <f t="shared" si="8"/>
        <v>83</v>
      </c>
      <c r="CJ22" s="198">
        <f t="shared" si="8"/>
        <v>84</v>
      </c>
      <c r="CK22" s="198">
        <f t="shared" si="8"/>
        <v>85</v>
      </c>
      <c r="CL22" s="198">
        <f t="shared" si="8"/>
        <v>86</v>
      </c>
      <c r="CM22" s="198">
        <f t="shared" si="8"/>
        <v>87</v>
      </c>
      <c r="CN22" s="198">
        <f t="shared" si="8"/>
        <v>88</v>
      </c>
      <c r="CO22" s="198">
        <f t="shared" si="8"/>
        <v>89</v>
      </c>
      <c r="CP22" s="198">
        <f t="shared" si="8"/>
        <v>90</v>
      </c>
      <c r="CQ22" s="198">
        <f t="shared" si="8"/>
        <v>91</v>
      </c>
      <c r="CR22" s="198">
        <f t="shared" si="8"/>
        <v>92</v>
      </c>
      <c r="CS22" s="198">
        <f t="shared" si="8"/>
        <v>93</v>
      </c>
      <c r="CT22" s="198">
        <f t="shared" si="8"/>
        <v>94</v>
      </c>
      <c r="CU22" s="198">
        <f t="shared" si="8"/>
        <v>95</v>
      </c>
      <c r="CV22" s="198">
        <f t="shared" si="8"/>
        <v>96</v>
      </c>
      <c r="CW22" s="198">
        <f t="shared" si="8"/>
        <v>97</v>
      </c>
      <c r="CX22" s="198">
        <f t="shared" ref="CX22:EC22" si="9">CW22+1</f>
        <v>98</v>
      </c>
      <c r="CY22" s="198">
        <f t="shared" si="9"/>
        <v>99</v>
      </c>
      <c r="CZ22" s="198">
        <f t="shared" si="9"/>
        <v>100</v>
      </c>
      <c r="DA22" s="198">
        <f t="shared" si="9"/>
        <v>101</v>
      </c>
      <c r="DB22" s="198">
        <f t="shared" si="9"/>
        <v>102</v>
      </c>
      <c r="DC22" s="198">
        <f t="shared" si="9"/>
        <v>103</v>
      </c>
      <c r="DD22" s="198">
        <f t="shared" si="9"/>
        <v>104</v>
      </c>
      <c r="DE22" s="198">
        <f t="shared" si="9"/>
        <v>105</v>
      </c>
      <c r="DF22" s="198">
        <f t="shared" si="9"/>
        <v>106</v>
      </c>
      <c r="DG22" s="198">
        <f t="shared" si="9"/>
        <v>107</v>
      </c>
      <c r="DH22" s="198">
        <f t="shared" si="9"/>
        <v>108</v>
      </c>
      <c r="DI22" s="198">
        <f t="shared" si="9"/>
        <v>109</v>
      </c>
      <c r="DJ22" s="198">
        <f t="shared" si="9"/>
        <v>110</v>
      </c>
      <c r="DK22" s="198">
        <f t="shared" si="9"/>
        <v>111</v>
      </c>
      <c r="DL22" s="198">
        <f t="shared" si="9"/>
        <v>112</v>
      </c>
      <c r="DM22" s="198">
        <f t="shared" si="9"/>
        <v>113</v>
      </c>
      <c r="DN22" s="198">
        <f t="shared" si="9"/>
        <v>114</v>
      </c>
      <c r="DO22" s="198">
        <f t="shared" si="9"/>
        <v>115</v>
      </c>
      <c r="DP22" s="198">
        <f t="shared" si="9"/>
        <v>116</v>
      </c>
      <c r="DQ22" s="198">
        <f t="shared" si="9"/>
        <v>117</v>
      </c>
      <c r="DR22" s="198">
        <f t="shared" si="9"/>
        <v>118</v>
      </c>
      <c r="DS22" s="198">
        <f t="shared" si="9"/>
        <v>119</v>
      </c>
      <c r="DT22" s="198">
        <f t="shared" si="9"/>
        <v>120</v>
      </c>
      <c r="DU22" s="198">
        <f t="shared" si="9"/>
        <v>121</v>
      </c>
      <c r="DV22" s="198">
        <f t="shared" si="9"/>
        <v>122</v>
      </c>
      <c r="DW22" s="198">
        <f t="shared" si="9"/>
        <v>123</v>
      </c>
      <c r="DX22" s="198">
        <f t="shared" si="9"/>
        <v>124</v>
      </c>
      <c r="DY22" s="198">
        <f t="shared" si="9"/>
        <v>125</v>
      </c>
      <c r="DZ22" s="198">
        <f t="shared" si="9"/>
        <v>126</v>
      </c>
      <c r="EA22" s="198">
        <f t="shared" si="9"/>
        <v>127</v>
      </c>
      <c r="EB22" s="198">
        <f t="shared" si="9"/>
        <v>128</v>
      </c>
      <c r="EC22" s="198">
        <f t="shared" si="9"/>
        <v>129</v>
      </c>
      <c r="ED22" s="198">
        <f t="shared" ref="ED22:EQ22" si="10">EC22+1</f>
        <v>130</v>
      </c>
      <c r="EE22" s="198">
        <f t="shared" si="10"/>
        <v>131</v>
      </c>
      <c r="EF22" s="198">
        <f t="shared" si="10"/>
        <v>132</v>
      </c>
      <c r="EG22" s="198">
        <f t="shared" si="10"/>
        <v>133</v>
      </c>
      <c r="EH22" s="198">
        <f t="shared" si="10"/>
        <v>134</v>
      </c>
      <c r="EI22" s="198">
        <f t="shared" si="10"/>
        <v>135</v>
      </c>
      <c r="EJ22" s="198">
        <f t="shared" si="10"/>
        <v>136</v>
      </c>
      <c r="EK22" s="198">
        <f t="shared" si="10"/>
        <v>137</v>
      </c>
      <c r="EL22" s="198">
        <f t="shared" si="10"/>
        <v>138</v>
      </c>
      <c r="EM22" s="198">
        <f t="shared" si="10"/>
        <v>139</v>
      </c>
      <c r="EN22" s="198">
        <f t="shared" si="10"/>
        <v>140</v>
      </c>
      <c r="EO22" s="198">
        <f t="shared" si="10"/>
        <v>141</v>
      </c>
      <c r="EP22" s="198">
        <f t="shared" si="10"/>
        <v>142</v>
      </c>
      <c r="EQ22" s="198">
        <f t="shared" si="10"/>
        <v>143</v>
      </c>
    </row>
    <row r="23" spans="2:147" x14ac:dyDescent="0.35">
      <c r="B23" s="197">
        <f t="shared" ref="B23:B30" si="11">SUM(E23:EQ23)</f>
        <v>1530471428.5714283</v>
      </c>
      <c r="C23" s="197">
        <f t="shared" ref="C23:C42" si="12">IF(D23&lt;=$D$4,1,0)</f>
        <v>1</v>
      </c>
      <c r="D23">
        <v>1</v>
      </c>
      <c r="E23" s="197">
        <f t="shared" ref="E23:J23" si="13">$J$2*$D$6</f>
        <v>4438367.1428571427</v>
      </c>
      <c r="F23" s="197">
        <f t="shared" si="13"/>
        <v>4438367.1428571427</v>
      </c>
      <c r="G23" s="197">
        <f t="shared" si="13"/>
        <v>4438367.1428571427</v>
      </c>
      <c r="H23" s="197">
        <f t="shared" si="13"/>
        <v>4438367.1428571427</v>
      </c>
      <c r="I23" s="197">
        <f t="shared" si="13"/>
        <v>4438367.1428571427</v>
      </c>
      <c r="J23" s="197">
        <f t="shared" si="13"/>
        <v>4438367.1428571427</v>
      </c>
      <c r="K23" s="197">
        <f t="shared" ref="K23:P23" si="14">$J$3*$D$6</f>
        <v>4591414.2857142854</v>
      </c>
      <c r="L23" s="197">
        <f t="shared" si="14"/>
        <v>4591414.2857142854</v>
      </c>
      <c r="M23" s="197">
        <f t="shared" si="14"/>
        <v>4591414.2857142854</v>
      </c>
      <c r="N23" s="197">
        <f t="shared" si="14"/>
        <v>4591414.2857142854</v>
      </c>
      <c r="O23" s="197">
        <f t="shared" si="14"/>
        <v>4591414.2857142854</v>
      </c>
      <c r="P23" s="197">
        <f t="shared" si="14"/>
        <v>4591414.2857142854</v>
      </c>
      <c r="Q23" s="197">
        <f>$J$4*$D$6</f>
        <v>6121885.7142857146</v>
      </c>
      <c r="R23" s="197">
        <f>$J$4*$D$6</f>
        <v>6121885.7142857146</v>
      </c>
      <c r="S23" s="197">
        <f>$J$4*$D$6</f>
        <v>6121885.7142857146</v>
      </c>
      <c r="T23" s="197">
        <f>$J$4*$D$6</f>
        <v>6121885.7142857146</v>
      </c>
      <c r="U23" s="197">
        <f>$J$5*$D$6</f>
        <v>12243771.428571429</v>
      </c>
      <c r="V23" s="197">
        <f>$J$5*$D$6</f>
        <v>12243771.428571429</v>
      </c>
      <c r="W23" s="197">
        <f>$J$5*$D$6</f>
        <v>12243771.428571429</v>
      </c>
      <c r="X23" s="197">
        <f>$J$6*$D$6</f>
        <v>14539478.571428571</v>
      </c>
      <c r="Y23" s="197">
        <f>$J$6*$D$6</f>
        <v>14539478.571428571</v>
      </c>
      <c r="Z23" s="197">
        <f>$J$6*$D$6</f>
        <v>14539478.571428571</v>
      </c>
      <c r="AA23" s="197">
        <f>$J$7*$D$6</f>
        <v>16835185.714285713</v>
      </c>
      <c r="AB23" s="197">
        <f>$J$7*$D$6</f>
        <v>16835185.714285713</v>
      </c>
      <c r="AC23" s="197">
        <f>$J$7*$D$6</f>
        <v>16835185.714285713</v>
      </c>
      <c r="AD23" s="197">
        <f t="shared" ref="AD23:AJ23" si="15">$J$8*$D$6</f>
        <v>17600421.428571429</v>
      </c>
      <c r="AE23" s="197">
        <f t="shared" si="15"/>
        <v>17600421.428571429</v>
      </c>
      <c r="AF23" s="197">
        <f t="shared" si="15"/>
        <v>17600421.428571429</v>
      </c>
      <c r="AG23" s="197">
        <f t="shared" si="15"/>
        <v>17600421.428571429</v>
      </c>
      <c r="AH23" s="197">
        <f t="shared" si="15"/>
        <v>17600421.428571429</v>
      </c>
      <c r="AI23" s="197">
        <f t="shared" si="15"/>
        <v>17600421.428571429</v>
      </c>
      <c r="AJ23" s="197">
        <f t="shared" si="15"/>
        <v>17600421.428571429</v>
      </c>
      <c r="AK23" s="197">
        <f>$J$9*$D$6</f>
        <v>19130892.857142858</v>
      </c>
      <c r="AL23" s="197">
        <f>$J$9*$D$6</f>
        <v>19130892.857142858</v>
      </c>
      <c r="AM23" s="197">
        <f>$J$9*$D$6</f>
        <v>19130892.857142858</v>
      </c>
      <c r="AN23" s="197">
        <f>$J$9*$D$6</f>
        <v>19130892.857142858</v>
      </c>
      <c r="AO23" s="197">
        <f t="shared" ref="AO23:AT23" si="16">$J$10*$D$6</f>
        <v>20202222.857142858</v>
      </c>
      <c r="AP23" s="197">
        <f t="shared" si="16"/>
        <v>20202222.857142858</v>
      </c>
      <c r="AQ23" s="197">
        <f t="shared" si="16"/>
        <v>20202222.857142858</v>
      </c>
      <c r="AR23" s="197">
        <f t="shared" si="16"/>
        <v>20202222.857142858</v>
      </c>
      <c r="AS23" s="197">
        <f t="shared" si="16"/>
        <v>20202222.857142858</v>
      </c>
      <c r="AT23" s="197">
        <f t="shared" si="16"/>
        <v>20202222.857142858</v>
      </c>
      <c r="AU23" s="197">
        <f t="shared" ref="AU23:AZ23" si="17">$J$11*$D$6</f>
        <v>20508317.142857142</v>
      </c>
      <c r="AV23" s="197">
        <f t="shared" si="17"/>
        <v>20508317.142857142</v>
      </c>
      <c r="AW23" s="197">
        <f t="shared" si="17"/>
        <v>20508317.142857142</v>
      </c>
      <c r="AX23" s="197">
        <f t="shared" si="17"/>
        <v>20508317.142857142</v>
      </c>
      <c r="AY23" s="197">
        <f t="shared" si="17"/>
        <v>20508317.142857142</v>
      </c>
      <c r="AZ23" s="197">
        <f t="shared" si="17"/>
        <v>20508317.142857142</v>
      </c>
      <c r="BA23" s="197">
        <f t="shared" ref="BA23:BG23" si="18">$J$12*$D$6</f>
        <v>20661364.285714284</v>
      </c>
      <c r="BB23" s="197">
        <f t="shared" si="18"/>
        <v>20661364.285714284</v>
      </c>
      <c r="BC23" s="197">
        <f t="shared" si="18"/>
        <v>20661364.285714284</v>
      </c>
      <c r="BD23" s="197">
        <f t="shared" si="18"/>
        <v>20661364.285714284</v>
      </c>
      <c r="BE23" s="197">
        <f t="shared" si="18"/>
        <v>20661364.285714284</v>
      </c>
      <c r="BF23" s="197">
        <f t="shared" si="18"/>
        <v>20661364.285714284</v>
      </c>
      <c r="BG23" s="197">
        <f t="shared" si="18"/>
        <v>20661364.285714284</v>
      </c>
      <c r="BH23" s="197">
        <f t="shared" ref="BH23:BP23" si="19">$J$13*$D$6</f>
        <v>22191835.714285716</v>
      </c>
      <c r="BI23" s="197">
        <f t="shared" si="19"/>
        <v>22191835.714285716</v>
      </c>
      <c r="BJ23" s="197">
        <f t="shared" si="19"/>
        <v>22191835.714285716</v>
      </c>
      <c r="BK23" s="197">
        <f t="shared" si="19"/>
        <v>22191835.714285716</v>
      </c>
      <c r="BL23" s="197">
        <f t="shared" si="19"/>
        <v>22191835.714285716</v>
      </c>
      <c r="BM23" s="197">
        <f t="shared" si="19"/>
        <v>22191835.714285716</v>
      </c>
      <c r="BN23" s="197">
        <f t="shared" si="19"/>
        <v>22191835.714285716</v>
      </c>
      <c r="BO23" s="197">
        <f t="shared" si="19"/>
        <v>22191835.714285716</v>
      </c>
      <c r="BP23" s="197">
        <f t="shared" si="19"/>
        <v>22191835.714285716</v>
      </c>
      <c r="BQ23" s="197">
        <f t="shared" ref="BQ23:CA23" si="20">$J$14*$D$6</f>
        <v>22957071.428571425</v>
      </c>
      <c r="BR23" s="197">
        <f t="shared" si="20"/>
        <v>22957071.428571425</v>
      </c>
      <c r="BS23" s="197">
        <f t="shared" si="20"/>
        <v>22957071.428571425</v>
      </c>
      <c r="BT23" s="197">
        <f t="shared" si="20"/>
        <v>22957071.428571425</v>
      </c>
      <c r="BU23" s="197">
        <f t="shared" si="20"/>
        <v>22957071.428571425</v>
      </c>
      <c r="BV23" s="197">
        <f t="shared" si="20"/>
        <v>22957071.428571425</v>
      </c>
      <c r="BW23" s="197">
        <f t="shared" si="20"/>
        <v>22957071.428571425</v>
      </c>
      <c r="BX23" s="197">
        <f t="shared" si="20"/>
        <v>22957071.428571425</v>
      </c>
      <c r="BY23" s="197">
        <f t="shared" si="20"/>
        <v>22957071.428571425</v>
      </c>
      <c r="BZ23" s="197">
        <f t="shared" si="20"/>
        <v>22957071.428571425</v>
      </c>
      <c r="CA23" s="197">
        <f t="shared" si="20"/>
        <v>22957071.428571425</v>
      </c>
      <c r="CB23" s="197">
        <f t="shared" ref="CB23:CJ23" si="21">$J$15*$D$6</f>
        <v>31119585.714285705</v>
      </c>
      <c r="CC23" s="197">
        <f t="shared" si="21"/>
        <v>31119585.714285705</v>
      </c>
      <c r="CD23" s="197">
        <f t="shared" si="21"/>
        <v>31119585.714285705</v>
      </c>
      <c r="CE23" s="197">
        <f t="shared" si="21"/>
        <v>31119585.714285705</v>
      </c>
      <c r="CF23" s="197">
        <f t="shared" si="21"/>
        <v>31119585.714285705</v>
      </c>
      <c r="CG23" s="197">
        <f t="shared" si="21"/>
        <v>31119585.714285705</v>
      </c>
      <c r="CH23" s="197">
        <f t="shared" si="21"/>
        <v>31119585.714285705</v>
      </c>
      <c r="CI23" s="197">
        <f t="shared" si="21"/>
        <v>31119585.714285705</v>
      </c>
      <c r="CJ23" s="197">
        <f t="shared" si="21"/>
        <v>31119585.714285705</v>
      </c>
      <c r="CK23" s="197"/>
      <c r="CL23" s="197"/>
      <c r="CM23" s="197"/>
      <c r="CN23" s="197"/>
      <c r="CO23" s="197"/>
      <c r="CP23" s="197"/>
      <c r="CQ23" s="197"/>
      <c r="CR23" s="197"/>
      <c r="CS23" s="197"/>
    </row>
    <row r="24" spans="2:147" x14ac:dyDescent="0.35">
      <c r="B24" s="197">
        <f t="shared" si="11"/>
        <v>1530471428.5714283</v>
      </c>
      <c r="C24" s="197">
        <f t="shared" si="12"/>
        <v>1</v>
      </c>
      <c r="D24" s="197">
        <f>D23+C23</f>
        <v>2</v>
      </c>
      <c r="K24" s="197">
        <f>IF($C24=1,E$23,0)</f>
        <v>4438367.1428571427</v>
      </c>
      <c r="L24" s="197">
        <f t="shared" ref="L24:AQ24" si="22">IF($C$24=1,F23,0)</f>
        <v>4438367.1428571427</v>
      </c>
      <c r="M24" s="197">
        <f t="shared" si="22"/>
        <v>4438367.1428571427</v>
      </c>
      <c r="N24" s="197">
        <f t="shared" si="22"/>
        <v>4438367.1428571427</v>
      </c>
      <c r="O24" s="197">
        <f t="shared" si="22"/>
        <v>4438367.1428571427</v>
      </c>
      <c r="P24" s="197">
        <f t="shared" si="22"/>
        <v>4438367.1428571427</v>
      </c>
      <c r="Q24" s="197">
        <f t="shared" si="22"/>
        <v>4591414.2857142854</v>
      </c>
      <c r="R24" s="197">
        <f t="shared" si="22"/>
        <v>4591414.2857142854</v>
      </c>
      <c r="S24" s="197">
        <f t="shared" si="22"/>
        <v>4591414.2857142854</v>
      </c>
      <c r="T24" s="197">
        <f t="shared" si="22"/>
        <v>4591414.2857142854</v>
      </c>
      <c r="U24" s="197">
        <f t="shared" si="22"/>
        <v>4591414.2857142854</v>
      </c>
      <c r="V24" s="197">
        <f t="shared" si="22"/>
        <v>4591414.2857142854</v>
      </c>
      <c r="W24" s="197">
        <f t="shared" si="22"/>
        <v>6121885.7142857146</v>
      </c>
      <c r="X24" s="197">
        <f t="shared" si="22"/>
        <v>6121885.7142857146</v>
      </c>
      <c r="Y24" s="197">
        <f t="shared" si="22"/>
        <v>6121885.7142857146</v>
      </c>
      <c r="Z24" s="197">
        <f t="shared" si="22"/>
        <v>6121885.7142857146</v>
      </c>
      <c r="AA24" s="197">
        <f t="shared" si="22"/>
        <v>12243771.428571429</v>
      </c>
      <c r="AB24" s="197">
        <f t="shared" si="22"/>
        <v>12243771.428571429</v>
      </c>
      <c r="AC24" s="197">
        <f t="shared" si="22"/>
        <v>12243771.428571429</v>
      </c>
      <c r="AD24" s="197">
        <f t="shared" si="22"/>
        <v>14539478.571428571</v>
      </c>
      <c r="AE24" s="197">
        <f t="shared" si="22"/>
        <v>14539478.571428571</v>
      </c>
      <c r="AF24" s="197">
        <f t="shared" si="22"/>
        <v>14539478.571428571</v>
      </c>
      <c r="AG24" s="197">
        <f t="shared" si="22"/>
        <v>16835185.714285713</v>
      </c>
      <c r="AH24" s="197">
        <f t="shared" si="22"/>
        <v>16835185.714285713</v>
      </c>
      <c r="AI24" s="197">
        <f t="shared" si="22"/>
        <v>16835185.714285713</v>
      </c>
      <c r="AJ24" s="197">
        <f t="shared" si="22"/>
        <v>17600421.428571429</v>
      </c>
      <c r="AK24" s="197">
        <f t="shared" si="22"/>
        <v>17600421.428571429</v>
      </c>
      <c r="AL24" s="197">
        <f t="shared" si="22"/>
        <v>17600421.428571429</v>
      </c>
      <c r="AM24" s="197">
        <f t="shared" si="22"/>
        <v>17600421.428571429</v>
      </c>
      <c r="AN24" s="197">
        <f t="shared" si="22"/>
        <v>17600421.428571429</v>
      </c>
      <c r="AO24" s="197">
        <f t="shared" si="22"/>
        <v>17600421.428571429</v>
      </c>
      <c r="AP24" s="197">
        <f t="shared" si="22"/>
        <v>17600421.428571429</v>
      </c>
      <c r="AQ24" s="197">
        <f t="shared" si="22"/>
        <v>19130892.857142858</v>
      </c>
      <c r="AR24" s="197">
        <f t="shared" ref="AR24:BW24" si="23">IF($C$24=1,AL23,0)</f>
        <v>19130892.857142858</v>
      </c>
      <c r="AS24" s="197">
        <f t="shared" si="23"/>
        <v>19130892.857142858</v>
      </c>
      <c r="AT24" s="197">
        <f t="shared" si="23"/>
        <v>19130892.857142858</v>
      </c>
      <c r="AU24" s="197">
        <f t="shared" si="23"/>
        <v>20202222.857142858</v>
      </c>
      <c r="AV24" s="197">
        <f t="shared" si="23"/>
        <v>20202222.857142858</v>
      </c>
      <c r="AW24" s="197">
        <f t="shared" si="23"/>
        <v>20202222.857142858</v>
      </c>
      <c r="AX24" s="197">
        <f t="shared" si="23"/>
        <v>20202222.857142858</v>
      </c>
      <c r="AY24" s="197">
        <f t="shared" si="23"/>
        <v>20202222.857142858</v>
      </c>
      <c r="AZ24" s="197">
        <f t="shared" si="23"/>
        <v>20202222.857142858</v>
      </c>
      <c r="BA24" s="197">
        <f t="shared" si="23"/>
        <v>20508317.142857142</v>
      </c>
      <c r="BB24" s="197">
        <f t="shared" si="23"/>
        <v>20508317.142857142</v>
      </c>
      <c r="BC24" s="197">
        <f t="shared" si="23"/>
        <v>20508317.142857142</v>
      </c>
      <c r="BD24" s="197">
        <f t="shared" si="23"/>
        <v>20508317.142857142</v>
      </c>
      <c r="BE24" s="197">
        <f t="shared" si="23"/>
        <v>20508317.142857142</v>
      </c>
      <c r="BF24" s="197">
        <f t="shared" si="23"/>
        <v>20508317.142857142</v>
      </c>
      <c r="BG24" s="197">
        <f t="shared" si="23"/>
        <v>20661364.285714284</v>
      </c>
      <c r="BH24" s="197">
        <f t="shared" si="23"/>
        <v>20661364.285714284</v>
      </c>
      <c r="BI24" s="197">
        <f t="shared" si="23"/>
        <v>20661364.285714284</v>
      </c>
      <c r="BJ24" s="197">
        <f t="shared" si="23"/>
        <v>20661364.285714284</v>
      </c>
      <c r="BK24" s="197">
        <f t="shared" si="23"/>
        <v>20661364.285714284</v>
      </c>
      <c r="BL24" s="197">
        <f t="shared" si="23"/>
        <v>20661364.285714284</v>
      </c>
      <c r="BM24" s="197">
        <f t="shared" si="23"/>
        <v>20661364.285714284</v>
      </c>
      <c r="BN24" s="197">
        <f t="shared" si="23"/>
        <v>22191835.714285716</v>
      </c>
      <c r="BO24" s="197">
        <f t="shared" si="23"/>
        <v>22191835.714285716</v>
      </c>
      <c r="BP24" s="197">
        <f t="shared" si="23"/>
        <v>22191835.714285716</v>
      </c>
      <c r="BQ24" s="197">
        <f t="shared" si="23"/>
        <v>22191835.714285716</v>
      </c>
      <c r="BR24" s="197">
        <f t="shared" si="23"/>
        <v>22191835.714285716</v>
      </c>
      <c r="BS24" s="197">
        <f t="shared" si="23"/>
        <v>22191835.714285716</v>
      </c>
      <c r="BT24" s="197">
        <f t="shared" si="23"/>
        <v>22191835.714285716</v>
      </c>
      <c r="BU24" s="197">
        <f t="shared" si="23"/>
        <v>22191835.714285716</v>
      </c>
      <c r="BV24" s="197">
        <f t="shared" si="23"/>
        <v>22191835.714285716</v>
      </c>
      <c r="BW24" s="197">
        <f t="shared" si="23"/>
        <v>22957071.428571425</v>
      </c>
      <c r="BX24" s="197">
        <f t="shared" ref="BX24:CY24" si="24">IF($C$24=1,BR23,0)</f>
        <v>22957071.428571425</v>
      </c>
      <c r="BY24" s="197">
        <f t="shared" si="24"/>
        <v>22957071.428571425</v>
      </c>
      <c r="BZ24" s="197">
        <f t="shared" si="24"/>
        <v>22957071.428571425</v>
      </c>
      <c r="CA24" s="197">
        <f t="shared" si="24"/>
        <v>22957071.428571425</v>
      </c>
      <c r="CB24" s="197">
        <f t="shared" si="24"/>
        <v>22957071.428571425</v>
      </c>
      <c r="CC24" s="197">
        <f t="shared" si="24"/>
        <v>22957071.428571425</v>
      </c>
      <c r="CD24" s="197">
        <f t="shared" si="24"/>
        <v>22957071.428571425</v>
      </c>
      <c r="CE24" s="197">
        <f t="shared" si="24"/>
        <v>22957071.428571425</v>
      </c>
      <c r="CF24" s="197">
        <f t="shared" si="24"/>
        <v>22957071.428571425</v>
      </c>
      <c r="CG24" s="197">
        <f t="shared" si="24"/>
        <v>22957071.428571425</v>
      </c>
      <c r="CH24" s="197">
        <f t="shared" si="24"/>
        <v>31119585.714285705</v>
      </c>
      <c r="CI24" s="197">
        <f t="shared" si="24"/>
        <v>31119585.714285705</v>
      </c>
      <c r="CJ24" s="197">
        <f t="shared" si="24"/>
        <v>31119585.714285705</v>
      </c>
      <c r="CK24" s="197">
        <f t="shared" si="24"/>
        <v>31119585.714285705</v>
      </c>
      <c r="CL24" s="197">
        <f t="shared" si="24"/>
        <v>31119585.714285705</v>
      </c>
      <c r="CM24" s="197">
        <f t="shared" si="24"/>
        <v>31119585.714285705</v>
      </c>
      <c r="CN24" s="197">
        <f t="shared" si="24"/>
        <v>31119585.714285705</v>
      </c>
      <c r="CO24" s="197">
        <f t="shared" si="24"/>
        <v>31119585.714285705</v>
      </c>
      <c r="CP24" s="197">
        <f t="shared" si="24"/>
        <v>31119585.714285705</v>
      </c>
      <c r="CQ24" s="197">
        <f t="shared" si="24"/>
        <v>0</v>
      </c>
      <c r="CR24" s="197">
        <f t="shared" si="24"/>
        <v>0</v>
      </c>
      <c r="CS24" s="197">
        <f t="shared" si="24"/>
        <v>0</v>
      </c>
      <c r="CT24" s="197">
        <f t="shared" si="24"/>
        <v>0</v>
      </c>
      <c r="CU24" s="197">
        <f t="shared" si="24"/>
        <v>0</v>
      </c>
      <c r="CV24" s="197">
        <f t="shared" si="24"/>
        <v>0</v>
      </c>
      <c r="CW24" s="197">
        <f t="shared" si="24"/>
        <v>0</v>
      </c>
      <c r="CX24" s="197">
        <f t="shared" si="24"/>
        <v>0</v>
      </c>
      <c r="CY24" s="197">
        <f t="shared" si="24"/>
        <v>0</v>
      </c>
    </row>
    <row r="25" spans="2:147" x14ac:dyDescent="0.35">
      <c r="B25" s="197">
        <f t="shared" si="11"/>
        <v>1530471428.5714283</v>
      </c>
      <c r="C25" s="197">
        <f t="shared" si="12"/>
        <v>1</v>
      </c>
      <c r="D25">
        <v>3</v>
      </c>
      <c r="Q25" s="197">
        <f t="shared" ref="Q25:AV25" si="25">IF($C25=1,E$23,0)</f>
        <v>4438367.1428571427</v>
      </c>
      <c r="R25" s="197">
        <f t="shared" si="25"/>
        <v>4438367.1428571427</v>
      </c>
      <c r="S25" s="197">
        <f t="shared" si="25"/>
        <v>4438367.1428571427</v>
      </c>
      <c r="T25" s="197">
        <f t="shared" si="25"/>
        <v>4438367.1428571427</v>
      </c>
      <c r="U25" s="197">
        <f t="shared" si="25"/>
        <v>4438367.1428571427</v>
      </c>
      <c r="V25" s="197">
        <f t="shared" si="25"/>
        <v>4438367.1428571427</v>
      </c>
      <c r="W25" s="197">
        <f t="shared" si="25"/>
        <v>4591414.2857142854</v>
      </c>
      <c r="X25" s="197">
        <f t="shared" si="25"/>
        <v>4591414.2857142854</v>
      </c>
      <c r="Y25" s="197">
        <f t="shared" si="25"/>
        <v>4591414.2857142854</v>
      </c>
      <c r="Z25" s="197">
        <f t="shared" si="25"/>
        <v>4591414.2857142854</v>
      </c>
      <c r="AA25" s="197">
        <f t="shared" si="25"/>
        <v>4591414.2857142854</v>
      </c>
      <c r="AB25" s="197">
        <f t="shared" si="25"/>
        <v>4591414.2857142854</v>
      </c>
      <c r="AC25" s="197">
        <f t="shared" si="25"/>
        <v>6121885.7142857146</v>
      </c>
      <c r="AD25" s="197">
        <f t="shared" si="25"/>
        <v>6121885.7142857146</v>
      </c>
      <c r="AE25" s="197">
        <f t="shared" si="25"/>
        <v>6121885.7142857146</v>
      </c>
      <c r="AF25" s="197">
        <f t="shared" si="25"/>
        <v>6121885.7142857146</v>
      </c>
      <c r="AG25" s="197">
        <f t="shared" si="25"/>
        <v>12243771.428571429</v>
      </c>
      <c r="AH25" s="197">
        <f t="shared" si="25"/>
        <v>12243771.428571429</v>
      </c>
      <c r="AI25" s="197">
        <f t="shared" si="25"/>
        <v>12243771.428571429</v>
      </c>
      <c r="AJ25" s="197">
        <f t="shared" si="25"/>
        <v>14539478.571428571</v>
      </c>
      <c r="AK25" s="197">
        <f t="shared" si="25"/>
        <v>14539478.571428571</v>
      </c>
      <c r="AL25" s="197">
        <f t="shared" si="25"/>
        <v>14539478.571428571</v>
      </c>
      <c r="AM25" s="197">
        <f t="shared" si="25"/>
        <v>16835185.714285713</v>
      </c>
      <c r="AN25" s="197">
        <f t="shared" si="25"/>
        <v>16835185.714285713</v>
      </c>
      <c r="AO25" s="197">
        <f t="shared" si="25"/>
        <v>16835185.714285713</v>
      </c>
      <c r="AP25" s="197">
        <f t="shared" si="25"/>
        <v>17600421.428571429</v>
      </c>
      <c r="AQ25" s="197">
        <f t="shared" si="25"/>
        <v>17600421.428571429</v>
      </c>
      <c r="AR25" s="197">
        <f t="shared" si="25"/>
        <v>17600421.428571429</v>
      </c>
      <c r="AS25" s="197">
        <f t="shared" si="25"/>
        <v>17600421.428571429</v>
      </c>
      <c r="AT25" s="197">
        <f t="shared" si="25"/>
        <v>17600421.428571429</v>
      </c>
      <c r="AU25" s="197">
        <f t="shared" si="25"/>
        <v>17600421.428571429</v>
      </c>
      <c r="AV25" s="197">
        <f t="shared" si="25"/>
        <v>17600421.428571429</v>
      </c>
      <c r="AW25" s="197">
        <f t="shared" ref="AW25:CB25" si="26">IF($C25=1,AK$23,0)</f>
        <v>19130892.857142858</v>
      </c>
      <c r="AX25" s="197">
        <f t="shared" si="26"/>
        <v>19130892.857142858</v>
      </c>
      <c r="AY25" s="197">
        <f t="shared" si="26"/>
        <v>19130892.857142858</v>
      </c>
      <c r="AZ25" s="197">
        <f t="shared" si="26"/>
        <v>19130892.857142858</v>
      </c>
      <c r="BA25" s="197">
        <f t="shared" si="26"/>
        <v>20202222.857142858</v>
      </c>
      <c r="BB25" s="197">
        <f t="shared" si="26"/>
        <v>20202222.857142858</v>
      </c>
      <c r="BC25" s="197">
        <f t="shared" si="26"/>
        <v>20202222.857142858</v>
      </c>
      <c r="BD25" s="197">
        <f t="shared" si="26"/>
        <v>20202222.857142858</v>
      </c>
      <c r="BE25" s="197">
        <f t="shared" si="26"/>
        <v>20202222.857142858</v>
      </c>
      <c r="BF25" s="197">
        <f t="shared" si="26"/>
        <v>20202222.857142858</v>
      </c>
      <c r="BG25" s="197">
        <f t="shared" si="26"/>
        <v>20508317.142857142</v>
      </c>
      <c r="BH25" s="197">
        <f t="shared" si="26"/>
        <v>20508317.142857142</v>
      </c>
      <c r="BI25" s="197">
        <f t="shared" si="26"/>
        <v>20508317.142857142</v>
      </c>
      <c r="BJ25" s="197">
        <f t="shared" si="26"/>
        <v>20508317.142857142</v>
      </c>
      <c r="BK25" s="197">
        <f t="shared" si="26"/>
        <v>20508317.142857142</v>
      </c>
      <c r="BL25" s="197">
        <f t="shared" si="26"/>
        <v>20508317.142857142</v>
      </c>
      <c r="BM25" s="197">
        <f t="shared" si="26"/>
        <v>20661364.285714284</v>
      </c>
      <c r="BN25" s="197">
        <f t="shared" si="26"/>
        <v>20661364.285714284</v>
      </c>
      <c r="BO25" s="197">
        <f t="shared" si="26"/>
        <v>20661364.285714284</v>
      </c>
      <c r="BP25" s="197">
        <f t="shared" si="26"/>
        <v>20661364.285714284</v>
      </c>
      <c r="BQ25" s="197">
        <f t="shared" si="26"/>
        <v>20661364.285714284</v>
      </c>
      <c r="BR25" s="197">
        <f t="shared" si="26"/>
        <v>20661364.285714284</v>
      </c>
      <c r="BS25" s="197">
        <f t="shared" si="26"/>
        <v>20661364.285714284</v>
      </c>
      <c r="BT25" s="197">
        <f t="shared" si="26"/>
        <v>22191835.714285716</v>
      </c>
      <c r="BU25" s="197">
        <f t="shared" si="26"/>
        <v>22191835.714285716</v>
      </c>
      <c r="BV25" s="197">
        <f t="shared" si="26"/>
        <v>22191835.714285716</v>
      </c>
      <c r="BW25" s="197">
        <f t="shared" si="26"/>
        <v>22191835.714285716</v>
      </c>
      <c r="BX25" s="197">
        <f t="shared" si="26"/>
        <v>22191835.714285716</v>
      </c>
      <c r="BY25" s="197">
        <f t="shared" si="26"/>
        <v>22191835.714285716</v>
      </c>
      <c r="BZ25" s="197">
        <f t="shared" si="26"/>
        <v>22191835.714285716</v>
      </c>
      <c r="CA25" s="197">
        <f t="shared" si="26"/>
        <v>22191835.714285716</v>
      </c>
      <c r="CB25" s="197">
        <f t="shared" si="26"/>
        <v>22191835.714285716</v>
      </c>
      <c r="CC25" s="197">
        <f t="shared" ref="CC25:DH25" si="27">IF($C25=1,BQ$23,0)</f>
        <v>22957071.428571425</v>
      </c>
      <c r="CD25" s="197">
        <f t="shared" si="27"/>
        <v>22957071.428571425</v>
      </c>
      <c r="CE25" s="197">
        <f t="shared" si="27"/>
        <v>22957071.428571425</v>
      </c>
      <c r="CF25" s="197">
        <f t="shared" si="27"/>
        <v>22957071.428571425</v>
      </c>
      <c r="CG25" s="197">
        <f t="shared" si="27"/>
        <v>22957071.428571425</v>
      </c>
      <c r="CH25" s="197">
        <f t="shared" si="27"/>
        <v>22957071.428571425</v>
      </c>
      <c r="CI25" s="197">
        <f t="shared" si="27"/>
        <v>22957071.428571425</v>
      </c>
      <c r="CJ25" s="197">
        <f t="shared" si="27"/>
        <v>22957071.428571425</v>
      </c>
      <c r="CK25" s="197">
        <f t="shared" si="27"/>
        <v>22957071.428571425</v>
      </c>
      <c r="CL25" s="197">
        <f t="shared" si="27"/>
        <v>22957071.428571425</v>
      </c>
      <c r="CM25" s="197">
        <f t="shared" si="27"/>
        <v>22957071.428571425</v>
      </c>
      <c r="CN25" s="197">
        <f t="shared" si="27"/>
        <v>31119585.714285705</v>
      </c>
      <c r="CO25" s="197">
        <f t="shared" si="27"/>
        <v>31119585.714285705</v>
      </c>
      <c r="CP25" s="197">
        <f t="shared" si="27"/>
        <v>31119585.714285705</v>
      </c>
      <c r="CQ25" s="197">
        <f t="shared" si="27"/>
        <v>31119585.714285705</v>
      </c>
      <c r="CR25" s="197">
        <f t="shared" si="27"/>
        <v>31119585.714285705</v>
      </c>
      <c r="CS25" s="197">
        <f t="shared" si="27"/>
        <v>31119585.714285705</v>
      </c>
      <c r="CT25" s="197">
        <f t="shared" si="27"/>
        <v>31119585.714285705</v>
      </c>
      <c r="CU25" s="197">
        <f t="shared" si="27"/>
        <v>31119585.714285705</v>
      </c>
      <c r="CV25" s="197">
        <f t="shared" si="27"/>
        <v>31119585.714285705</v>
      </c>
      <c r="CW25" s="197">
        <f t="shared" si="27"/>
        <v>0</v>
      </c>
      <c r="CX25" s="197">
        <f t="shared" si="27"/>
        <v>0</v>
      </c>
      <c r="CY25" s="197">
        <f t="shared" si="27"/>
        <v>0</v>
      </c>
      <c r="CZ25" s="197">
        <f t="shared" si="27"/>
        <v>0</v>
      </c>
      <c r="DA25" s="197">
        <f t="shared" si="27"/>
        <v>0</v>
      </c>
      <c r="DB25" s="197">
        <f t="shared" si="27"/>
        <v>0</v>
      </c>
      <c r="DC25" s="197">
        <f t="shared" si="27"/>
        <v>0</v>
      </c>
      <c r="DD25" s="197">
        <f t="shared" si="27"/>
        <v>0</v>
      </c>
      <c r="DE25" s="197">
        <f t="shared" si="27"/>
        <v>0</v>
      </c>
      <c r="DF25" s="197">
        <f t="shared" si="27"/>
        <v>0</v>
      </c>
      <c r="DG25" s="197">
        <f t="shared" si="27"/>
        <v>0</v>
      </c>
      <c r="DH25" s="197">
        <f t="shared" si="27"/>
        <v>0</v>
      </c>
      <c r="DI25" s="197">
        <f t="shared" ref="DI25" si="28">IF($C25=1,CW$23,0)</f>
        <v>0</v>
      </c>
    </row>
    <row r="26" spans="2:147" x14ac:dyDescent="0.35">
      <c r="B26" s="197">
        <f t="shared" si="11"/>
        <v>1530471428.5714283</v>
      </c>
      <c r="C26" s="197">
        <f t="shared" si="12"/>
        <v>1</v>
      </c>
      <c r="D26">
        <v>4</v>
      </c>
      <c r="W26" s="197">
        <f t="shared" ref="W26:BB26" si="29">IF($C26=1,E$23,0)</f>
        <v>4438367.1428571427</v>
      </c>
      <c r="X26" s="197">
        <f t="shared" si="29"/>
        <v>4438367.1428571427</v>
      </c>
      <c r="Y26" s="197">
        <f t="shared" si="29"/>
        <v>4438367.1428571427</v>
      </c>
      <c r="Z26" s="197">
        <f t="shared" si="29"/>
        <v>4438367.1428571427</v>
      </c>
      <c r="AA26" s="197">
        <f t="shared" si="29"/>
        <v>4438367.1428571427</v>
      </c>
      <c r="AB26" s="197">
        <f t="shared" si="29"/>
        <v>4438367.1428571427</v>
      </c>
      <c r="AC26" s="197">
        <f t="shared" si="29"/>
        <v>4591414.2857142854</v>
      </c>
      <c r="AD26" s="197">
        <f t="shared" si="29"/>
        <v>4591414.2857142854</v>
      </c>
      <c r="AE26" s="197">
        <f t="shared" si="29"/>
        <v>4591414.2857142854</v>
      </c>
      <c r="AF26" s="197">
        <f t="shared" si="29"/>
        <v>4591414.2857142854</v>
      </c>
      <c r="AG26" s="197">
        <f t="shared" si="29"/>
        <v>4591414.2857142854</v>
      </c>
      <c r="AH26" s="197">
        <f t="shared" si="29"/>
        <v>4591414.2857142854</v>
      </c>
      <c r="AI26" s="197">
        <f t="shared" si="29"/>
        <v>6121885.7142857146</v>
      </c>
      <c r="AJ26" s="197">
        <f t="shared" si="29"/>
        <v>6121885.7142857146</v>
      </c>
      <c r="AK26" s="197">
        <f t="shared" si="29"/>
        <v>6121885.7142857146</v>
      </c>
      <c r="AL26" s="197">
        <f t="shared" si="29"/>
        <v>6121885.7142857146</v>
      </c>
      <c r="AM26" s="197">
        <f t="shared" si="29"/>
        <v>12243771.428571429</v>
      </c>
      <c r="AN26" s="197">
        <f t="shared" si="29"/>
        <v>12243771.428571429</v>
      </c>
      <c r="AO26" s="197">
        <f t="shared" si="29"/>
        <v>12243771.428571429</v>
      </c>
      <c r="AP26" s="197">
        <f t="shared" si="29"/>
        <v>14539478.571428571</v>
      </c>
      <c r="AQ26" s="197">
        <f t="shared" si="29"/>
        <v>14539478.571428571</v>
      </c>
      <c r="AR26" s="197">
        <f t="shared" si="29"/>
        <v>14539478.571428571</v>
      </c>
      <c r="AS26" s="197">
        <f t="shared" si="29"/>
        <v>16835185.714285713</v>
      </c>
      <c r="AT26" s="197">
        <f t="shared" si="29"/>
        <v>16835185.714285713</v>
      </c>
      <c r="AU26" s="197">
        <f t="shared" si="29"/>
        <v>16835185.714285713</v>
      </c>
      <c r="AV26" s="197">
        <f t="shared" si="29"/>
        <v>17600421.428571429</v>
      </c>
      <c r="AW26" s="197">
        <f t="shared" si="29"/>
        <v>17600421.428571429</v>
      </c>
      <c r="AX26" s="197">
        <f t="shared" si="29"/>
        <v>17600421.428571429</v>
      </c>
      <c r="AY26" s="197">
        <f t="shared" si="29"/>
        <v>17600421.428571429</v>
      </c>
      <c r="AZ26" s="197">
        <f t="shared" si="29"/>
        <v>17600421.428571429</v>
      </c>
      <c r="BA26" s="197">
        <f t="shared" si="29"/>
        <v>17600421.428571429</v>
      </c>
      <c r="BB26" s="197">
        <f t="shared" si="29"/>
        <v>17600421.428571429</v>
      </c>
      <c r="BC26" s="197">
        <f t="shared" ref="BC26:CH26" si="30">IF($C26=1,AK$23,0)</f>
        <v>19130892.857142858</v>
      </c>
      <c r="BD26" s="197">
        <f t="shared" si="30"/>
        <v>19130892.857142858</v>
      </c>
      <c r="BE26" s="197">
        <f t="shared" si="30"/>
        <v>19130892.857142858</v>
      </c>
      <c r="BF26" s="197">
        <f t="shared" si="30"/>
        <v>19130892.857142858</v>
      </c>
      <c r="BG26" s="197">
        <f t="shared" si="30"/>
        <v>20202222.857142858</v>
      </c>
      <c r="BH26" s="197">
        <f t="shared" si="30"/>
        <v>20202222.857142858</v>
      </c>
      <c r="BI26" s="197">
        <f t="shared" si="30"/>
        <v>20202222.857142858</v>
      </c>
      <c r="BJ26" s="197">
        <f t="shared" si="30"/>
        <v>20202222.857142858</v>
      </c>
      <c r="BK26" s="197">
        <f t="shared" si="30"/>
        <v>20202222.857142858</v>
      </c>
      <c r="BL26" s="197">
        <f t="shared" si="30"/>
        <v>20202222.857142858</v>
      </c>
      <c r="BM26" s="197">
        <f t="shared" si="30"/>
        <v>20508317.142857142</v>
      </c>
      <c r="BN26" s="197">
        <f t="shared" si="30"/>
        <v>20508317.142857142</v>
      </c>
      <c r="BO26" s="197">
        <f t="shared" si="30"/>
        <v>20508317.142857142</v>
      </c>
      <c r="BP26" s="197">
        <f t="shared" si="30"/>
        <v>20508317.142857142</v>
      </c>
      <c r="BQ26" s="197">
        <f t="shared" si="30"/>
        <v>20508317.142857142</v>
      </c>
      <c r="BR26" s="197">
        <f t="shared" si="30"/>
        <v>20508317.142857142</v>
      </c>
      <c r="BS26" s="197">
        <f t="shared" si="30"/>
        <v>20661364.285714284</v>
      </c>
      <c r="BT26" s="197">
        <f t="shared" si="30"/>
        <v>20661364.285714284</v>
      </c>
      <c r="BU26" s="197">
        <f t="shared" si="30"/>
        <v>20661364.285714284</v>
      </c>
      <c r="BV26" s="197">
        <f t="shared" si="30"/>
        <v>20661364.285714284</v>
      </c>
      <c r="BW26" s="197">
        <f t="shared" si="30"/>
        <v>20661364.285714284</v>
      </c>
      <c r="BX26" s="197">
        <f t="shared" si="30"/>
        <v>20661364.285714284</v>
      </c>
      <c r="BY26" s="197">
        <f t="shared" si="30"/>
        <v>20661364.285714284</v>
      </c>
      <c r="BZ26" s="197">
        <f t="shared" si="30"/>
        <v>22191835.714285716</v>
      </c>
      <c r="CA26" s="197">
        <f t="shared" si="30"/>
        <v>22191835.714285716</v>
      </c>
      <c r="CB26" s="197">
        <f t="shared" si="30"/>
        <v>22191835.714285716</v>
      </c>
      <c r="CC26" s="197">
        <f t="shared" si="30"/>
        <v>22191835.714285716</v>
      </c>
      <c r="CD26" s="197">
        <f t="shared" si="30"/>
        <v>22191835.714285716</v>
      </c>
      <c r="CE26" s="197">
        <f t="shared" si="30"/>
        <v>22191835.714285716</v>
      </c>
      <c r="CF26" s="197">
        <f t="shared" si="30"/>
        <v>22191835.714285716</v>
      </c>
      <c r="CG26" s="197">
        <f t="shared" si="30"/>
        <v>22191835.714285716</v>
      </c>
      <c r="CH26" s="197">
        <f t="shared" si="30"/>
        <v>22191835.714285716</v>
      </c>
      <c r="CI26" s="197">
        <f t="shared" ref="CI26:DN26" si="31">IF($C26=1,BQ$23,0)</f>
        <v>22957071.428571425</v>
      </c>
      <c r="CJ26" s="197">
        <f t="shared" si="31"/>
        <v>22957071.428571425</v>
      </c>
      <c r="CK26" s="197">
        <f t="shared" si="31"/>
        <v>22957071.428571425</v>
      </c>
      <c r="CL26" s="197">
        <f t="shared" si="31"/>
        <v>22957071.428571425</v>
      </c>
      <c r="CM26" s="197">
        <f t="shared" si="31"/>
        <v>22957071.428571425</v>
      </c>
      <c r="CN26" s="197">
        <f t="shared" si="31"/>
        <v>22957071.428571425</v>
      </c>
      <c r="CO26" s="197">
        <f t="shared" si="31"/>
        <v>22957071.428571425</v>
      </c>
      <c r="CP26" s="197">
        <f t="shared" si="31"/>
        <v>22957071.428571425</v>
      </c>
      <c r="CQ26" s="197">
        <f t="shared" si="31"/>
        <v>22957071.428571425</v>
      </c>
      <c r="CR26" s="197">
        <f t="shared" si="31"/>
        <v>22957071.428571425</v>
      </c>
      <c r="CS26" s="197">
        <f t="shared" si="31"/>
        <v>22957071.428571425</v>
      </c>
      <c r="CT26" s="197">
        <f t="shared" si="31"/>
        <v>31119585.714285705</v>
      </c>
      <c r="CU26" s="197">
        <f t="shared" si="31"/>
        <v>31119585.714285705</v>
      </c>
      <c r="CV26" s="197">
        <f t="shared" si="31"/>
        <v>31119585.714285705</v>
      </c>
      <c r="CW26" s="197">
        <f t="shared" si="31"/>
        <v>31119585.714285705</v>
      </c>
      <c r="CX26" s="197">
        <f t="shared" si="31"/>
        <v>31119585.714285705</v>
      </c>
      <c r="CY26" s="197">
        <f t="shared" si="31"/>
        <v>31119585.714285705</v>
      </c>
      <c r="CZ26" s="197">
        <f t="shared" si="31"/>
        <v>31119585.714285705</v>
      </c>
      <c r="DA26" s="197">
        <f t="shared" si="31"/>
        <v>31119585.714285705</v>
      </c>
      <c r="DB26" s="197">
        <f t="shared" si="31"/>
        <v>31119585.714285705</v>
      </c>
      <c r="DC26" s="197">
        <f t="shared" si="31"/>
        <v>0</v>
      </c>
      <c r="DD26" s="197">
        <f t="shared" si="31"/>
        <v>0</v>
      </c>
      <c r="DE26" s="197">
        <f t="shared" si="31"/>
        <v>0</v>
      </c>
      <c r="DF26" s="197">
        <f t="shared" si="31"/>
        <v>0</v>
      </c>
      <c r="DG26" s="197">
        <f t="shared" si="31"/>
        <v>0</v>
      </c>
      <c r="DH26" s="197">
        <f t="shared" si="31"/>
        <v>0</v>
      </c>
      <c r="DI26" s="197">
        <f t="shared" si="31"/>
        <v>0</v>
      </c>
      <c r="DJ26" s="197">
        <f t="shared" si="31"/>
        <v>0</v>
      </c>
      <c r="DK26" s="197">
        <f t="shared" si="31"/>
        <v>0</v>
      </c>
      <c r="DL26" s="197">
        <f t="shared" si="31"/>
        <v>0</v>
      </c>
      <c r="DM26" s="197">
        <f t="shared" si="31"/>
        <v>0</v>
      </c>
      <c r="DN26" s="197">
        <f t="shared" si="31"/>
        <v>0</v>
      </c>
      <c r="DO26" s="197">
        <f t="shared" ref="DO26:DX26" si="32">IF($C26=1,CW$23,0)</f>
        <v>0</v>
      </c>
      <c r="DP26" s="197">
        <f t="shared" si="32"/>
        <v>0</v>
      </c>
      <c r="DQ26" s="197">
        <f t="shared" si="32"/>
        <v>0</v>
      </c>
      <c r="DR26" s="197">
        <f t="shared" si="32"/>
        <v>0</v>
      </c>
      <c r="DS26" s="197">
        <f t="shared" si="32"/>
        <v>0</v>
      </c>
      <c r="DT26" s="197">
        <f t="shared" si="32"/>
        <v>0</v>
      </c>
      <c r="DU26" s="197">
        <f t="shared" si="32"/>
        <v>0</v>
      </c>
      <c r="DV26" s="197">
        <f t="shared" si="32"/>
        <v>0</v>
      </c>
      <c r="DW26" s="197">
        <f t="shared" si="32"/>
        <v>0</v>
      </c>
      <c r="DX26" s="197">
        <f t="shared" si="32"/>
        <v>0</v>
      </c>
    </row>
    <row r="27" spans="2:147" x14ac:dyDescent="0.35">
      <c r="B27" s="197">
        <f t="shared" si="11"/>
        <v>1530471428.5714283</v>
      </c>
      <c r="C27" s="197">
        <f t="shared" si="12"/>
        <v>1</v>
      </c>
      <c r="D27">
        <v>5</v>
      </c>
      <c r="AC27" s="197">
        <f t="shared" ref="AC27:BH27" si="33">IF($C27=1,E$23,0)</f>
        <v>4438367.1428571427</v>
      </c>
      <c r="AD27" s="197">
        <f t="shared" si="33"/>
        <v>4438367.1428571427</v>
      </c>
      <c r="AE27" s="197">
        <f t="shared" si="33"/>
        <v>4438367.1428571427</v>
      </c>
      <c r="AF27" s="197">
        <f t="shared" si="33"/>
        <v>4438367.1428571427</v>
      </c>
      <c r="AG27" s="197">
        <f t="shared" si="33"/>
        <v>4438367.1428571427</v>
      </c>
      <c r="AH27" s="197">
        <f t="shared" si="33"/>
        <v>4438367.1428571427</v>
      </c>
      <c r="AI27" s="197">
        <f t="shared" si="33"/>
        <v>4591414.2857142854</v>
      </c>
      <c r="AJ27" s="197">
        <f t="shared" si="33"/>
        <v>4591414.2857142854</v>
      </c>
      <c r="AK27" s="197">
        <f t="shared" si="33"/>
        <v>4591414.2857142854</v>
      </c>
      <c r="AL27" s="197">
        <f t="shared" si="33"/>
        <v>4591414.2857142854</v>
      </c>
      <c r="AM27" s="197">
        <f t="shared" si="33"/>
        <v>4591414.2857142854</v>
      </c>
      <c r="AN27" s="197">
        <f t="shared" si="33"/>
        <v>4591414.2857142854</v>
      </c>
      <c r="AO27" s="197">
        <f t="shared" si="33"/>
        <v>6121885.7142857146</v>
      </c>
      <c r="AP27" s="197">
        <f t="shared" si="33"/>
        <v>6121885.7142857146</v>
      </c>
      <c r="AQ27" s="197">
        <f t="shared" si="33"/>
        <v>6121885.7142857146</v>
      </c>
      <c r="AR27" s="197">
        <f t="shared" si="33"/>
        <v>6121885.7142857146</v>
      </c>
      <c r="AS27" s="197">
        <f t="shared" si="33"/>
        <v>12243771.428571429</v>
      </c>
      <c r="AT27" s="197">
        <f t="shared" si="33"/>
        <v>12243771.428571429</v>
      </c>
      <c r="AU27" s="197">
        <f t="shared" si="33"/>
        <v>12243771.428571429</v>
      </c>
      <c r="AV27" s="197">
        <f t="shared" si="33"/>
        <v>14539478.571428571</v>
      </c>
      <c r="AW27" s="197">
        <f t="shared" si="33"/>
        <v>14539478.571428571</v>
      </c>
      <c r="AX27" s="197">
        <f t="shared" si="33"/>
        <v>14539478.571428571</v>
      </c>
      <c r="AY27" s="197">
        <f t="shared" si="33"/>
        <v>16835185.714285713</v>
      </c>
      <c r="AZ27" s="197">
        <f t="shared" si="33"/>
        <v>16835185.714285713</v>
      </c>
      <c r="BA27" s="197">
        <f t="shared" si="33"/>
        <v>16835185.714285713</v>
      </c>
      <c r="BB27" s="197">
        <f t="shared" si="33"/>
        <v>17600421.428571429</v>
      </c>
      <c r="BC27" s="197">
        <f t="shared" si="33"/>
        <v>17600421.428571429</v>
      </c>
      <c r="BD27" s="197">
        <f t="shared" si="33"/>
        <v>17600421.428571429</v>
      </c>
      <c r="BE27" s="197">
        <f t="shared" si="33"/>
        <v>17600421.428571429</v>
      </c>
      <c r="BF27" s="197">
        <f t="shared" si="33"/>
        <v>17600421.428571429</v>
      </c>
      <c r="BG27" s="197">
        <f t="shared" si="33"/>
        <v>17600421.428571429</v>
      </c>
      <c r="BH27" s="197">
        <f t="shared" si="33"/>
        <v>17600421.428571429</v>
      </c>
      <c r="BI27" s="197">
        <f t="shared" ref="BI27:CN27" si="34">IF($C27=1,AK$23,0)</f>
        <v>19130892.857142858</v>
      </c>
      <c r="BJ27" s="197">
        <f t="shared" si="34"/>
        <v>19130892.857142858</v>
      </c>
      <c r="BK27" s="197">
        <f t="shared" si="34"/>
        <v>19130892.857142858</v>
      </c>
      <c r="BL27" s="197">
        <f t="shared" si="34"/>
        <v>19130892.857142858</v>
      </c>
      <c r="BM27" s="197">
        <f t="shared" si="34"/>
        <v>20202222.857142858</v>
      </c>
      <c r="BN27" s="197">
        <f t="shared" si="34"/>
        <v>20202222.857142858</v>
      </c>
      <c r="BO27" s="197">
        <f t="shared" si="34"/>
        <v>20202222.857142858</v>
      </c>
      <c r="BP27" s="197">
        <f t="shared" si="34"/>
        <v>20202222.857142858</v>
      </c>
      <c r="BQ27" s="197">
        <f t="shared" si="34"/>
        <v>20202222.857142858</v>
      </c>
      <c r="BR27" s="197">
        <f t="shared" si="34"/>
        <v>20202222.857142858</v>
      </c>
      <c r="BS27" s="197">
        <f t="shared" si="34"/>
        <v>20508317.142857142</v>
      </c>
      <c r="BT27" s="197">
        <f t="shared" si="34"/>
        <v>20508317.142857142</v>
      </c>
      <c r="BU27" s="197">
        <f t="shared" si="34"/>
        <v>20508317.142857142</v>
      </c>
      <c r="BV27" s="197">
        <f t="shared" si="34"/>
        <v>20508317.142857142</v>
      </c>
      <c r="BW27" s="197">
        <f t="shared" si="34"/>
        <v>20508317.142857142</v>
      </c>
      <c r="BX27" s="197">
        <f t="shared" si="34"/>
        <v>20508317.142857142</v>
      </c>
      <c r="BY27" s="197">
        <f t="shared" si="34"/>
        <v>20661364.285714284</v>
      </c>
      <c r="BZ27" s="197">
        <f t="shared" si="34"/>
        <v>20661364.285714284</v>
      </c>
      <c r="CA27" s="197">
        <f t="shared" si="34"/>
        <v>20661364.285714284</v>
      </c>
      <c r="CB27" s="197">
        <f t="shared" si="34"/>
        <v>20661364.285714284</v>
      </c>
      <c r="CC27" s="197">
        <f t="shared" si="34"/>
        <v>20661364.285714284</v>
      </c>
      <c r="CD27" s="197">
        <f t="shared" si="34"/>
        <v>20661364.285714284</v>
      </c>
      <c r="CE27" s="197">
        <f t="shared" si="34"/>
        <v>20661364.285714284</v>
      </c>
      <c r="CF27" s="197">
        <f t="shared" si="34"/>
        <v>22191835.714285716</v>
      </c>
      <c r="CG27" s="197">
        <f t="shared" si="34"/>
        <v>22191835.714285716</v>
      </c>
      <c r="CH27" s="197">
        <f t="shared" si="34"/>
        <v>22191835.714285716</v>
      </c>
      <c r="CI27" s="197">
        <f t="shared" si="34"/>
        <v>22191835.714285716</v>
      </c>
      <c r="CJ27" s="197">
        <f t="shared" si="34"/>
        <v>22191835.714285716</v>
      </c>
      <c r="CK27" s="197">
        <f t="shared" si="34"/>
        <v>22191835.714285716</v>
      </c>
      <c r="CL27" s="197">
        <f t="shared" si="34"/>
        <v>22191835.714285716</v>
      </c>
      <c r="CM27" s="197">
        <f t="shared" si="34"/>
        <v>22191835.714285716</v>
      </c>
      <c r="CN27" s="197">
        <f t="shared" si="34"/>
        <v>22191835.714285716</v>
      </c>
      <c r="CO27" s="197">
        <f t="shared" ref="CO27:DS27" si="35">IF($C27=1,BQ$23,0)</f>
        <v>22957071.428571425</v>
      </c>
      <c r="CP27" s="197">
        <f t="shared" si="35"/>
        <v>22957071.428571425</v>
      </c>
      <c r="CQ27" s="197">
        <f t="shared" si="35"/>
        <v>22957071.428571425</v>
      </c>
      <c r="CR27" s="197">
        <f t="shared" si="35"/>
        <v>22957071.428571425</v>
      </c>
      <c r="CS27" s="197">
        <f t="shared" si="35"/>
        <v>22957071.428571425</v>
      </c>
      <c r="CT27" s="197">
        <f t="shared" si="35"/>
        <v>22957071.428571425</v>
      </c>
      <c r="CU27" s="197">
        <f t="shared" si="35"/>
        <v>22957071.428571425</v>
      </c>
      <c r="CV27" s="197">
        <f t="shared" si="35"/>
        <v>22957071.428571425</v>
      </c>
      <c r="CW27" s="197">
        <f t="shared" si="35"/>
        <v>22957071.428571425</v>
      </c>
      <c r="CX27" s="197">
        <f t="shared" si="35"/>
        <v>22957071.428571425</v>
      </c>
      <c r="CY27" s="197">
        <f t="shared" si="35"/>
        <v>22957071.428571425</v>
      </c>
      <c r="CZ27" s="197">
        <f t="shared" si="35"/>
        <v>31119585.714285705</v>
      </c>
      <c r="DA27" s="197">
        <f t="shared" si="35"/>
        <v>31119585.714285705</v>
      </c>
      <c r="DB27" s="197">
        <f t="shared" si="35"/>
        <v>31119585.714285705</v>
      </c>
      <c r="DC27" s="197">
        <f t="shared" si="35"/>
        <v>31119585.714285705</v>
      </c>
      <c r="DD27" s="197">
        <f t="shared" si="35"/>
        <v>31119585.714285705</v>
      </c>
      <c r="DE27" s="197">
        <f t="shared" si="35"/>
        <v>31119585.714285705</v>
      </c>
      <c r="DF27" s="197">
        <f t="shared" si="35"/>
        <v>31119585.714285705</v>
      </c>
      <c r="DG27" s="197">
        <f t="shared" si="35"/>
        <v>31119585.714285705</v>
      </c>
      <c r="DH27" s="197">
        <f t="shared" si="35"/>
        <v>31119585.714285705</v>
      </c>
      <c r="DI27" s="197">
        <f t="shared" si="35"/>
        <v>0</v>
      </c>
      <c r="DJ27" s="197">
        <f t="shared" si="35"/>
        <v>0</v>
      </c>
      <c r="DK27" s="197">
        <f t="shared" si="35"/>
        <v>0</v>
      </c>
      <c r="DL27" s="197">
        <f t="shared" si="35"/>
        <v>0</v>
      </c>
      <c r="DM27" s="197">
        <f t="shared" si="35"/>
        <v>0</v>
      </c>
      <c r="DN27" s="197">
        <f t="shared" si="35"/>
        <v>0</v>
      </c>
      <c r="DO27" s="197">
        <f t="shared" si="35"/>
        <v>0</v>
      </c>
      <c r="DP27" s="197">
        <f t="shared" si="35"/>
        <v>0</v>
      </c>
      <c r="DQ27" s="197">
        <f t="shared" si="35"/>
        <v>0</v>
      </c>
      <c r="DR27" s="197">
        <f t="shared" si="35"/>
        <v>0</v>
      </c>
      <c r="DS27" s="197">
        <f t="shared" si="35"/>
        <v>0</v>
      </c>
    </row>
    <row r="28" spans="2:147" x14ac:dyDescent="0.35">
      <c r="B28" s="197">
        <f t="shared" si="11"/>
        <v>1530471428.5714283</v>
      </c>
      <c r="C28" s="197">
        <f t="shared" si="12"/>
        <v>1</v>
      </c>
      <c r="D28">
        <v>6</v>
      </c>
      <c r="AC28" s="197"/>
      <c r="AD28" s="197"/>
      <c r="AE28" s="197"/>
      <c r="AF28" s="197"/>
      <c r="AG28" s="197"/>
      <c r="AH28" s="197"/>
      <c r="AI28" s="197">
        <f t="shared" ref="AI28:BN28" si="36">IF($C28=1,E$23,0)</f>
        <v>4438367.1428571427</v>
      </c>
      <c r="AJ28" s="197">
        <f t="shared" si="36"/>
        <v>4438367.1428571427</v>
      </c>
      <c r="AK28" s="197">
        <f t="shared" si="36"/>
        <v>4438367.1428571427</v>
      </c>
      <c r="AL28" s="197">
        <f t="shared" si="36"/>
        <v>4438367.1428571427</v>
      </c>
      <c r="AM28" s="197">
        <f t="shared" si="36"/>
        <v>4438367.1428571427</v>
      </c>
      <c r="AN28" s="197">
        <f t="shared" si="36"/>
        <v>4438367.1428571427</v>
      </c>
      <c r="AO28" s="197">
        <f t="shared" si="36"/>
        <v>4591414.2857142854</v>
      </c>
      <c r="AP28" s="197">
        <f t="shared" si="36"/>
        <v>4591414.2857142854</v>
      </c>
      <c r="AQ28" s="197">
        <f t="shared" si="36"/>
        <v>4591414.2857142854</v>
      </c>
      <c r="AR28" s="197">
        <f t="shared" si="36"/>
        <v>4591414.2857142854</v>
      </c>
      <c r="AS28" s="197">
        <f t="shared" si="36"/>
        <v>4591414.2857142854</v>
      </c>
      <c r="AT28" s="197">
        <f t="shared" si="36"/>
        <v>4591414.2857142854</v>
      </c>
      <c r="AU28" s="197">
        <f t="shared" si="36"/>
        <v>6121885.7142857146</v>
      </c>
      <c r="AV28" s="197">
        <f t="shared" si="36"/>
        <v>6121885.7142857146</v>
      </c>
      <c r="AW28" s="197">
        <f t="shared" si="36"/>
        <v>6121885.7142857146</v>
      </c>
      <c r="AX28" s="197">
        <f t="shared" si="36"/>
        <v>6121885.7142857146</v>
      </c>
      <c r="AY28" s="197">
        <f t="shared" si="36"/>
        <v>12243771.428571429</v>
      </c>
      <c r="AZ28" s="197">
        <f t="shared" si="36"/>
        <v>12243771.428571429</v>
      </c>
      <c r="BA28" s="197">
        <f t="shared" si="36"/>
        <v>12243771.428571429</v>
      </c>
      <c r="BB28" s="197">
        <f t="shared" si="36"/>
        <v>14539478.571428571</v>
      </c>
      <c r="BC28" s="197">
        <f t="shared" si="36"/>
        <v>14539478.571428571</v>
      </c>
      <c r="BD28" s="197">
        <f t="shared" si="36"/>
        <v>14539478.571428571</v>
      </c>
      <c r="BE28" s="197">
        <f t="shared" si="36"/>
        <v>16835185.714285713</v>
      </c>
      <c r="BF28" s="197">
        <f t="shared" si="36"/>
        <v>16835185.714285713</v>
      </c>
      <c r="BG28" s="197">
        <f t="shared" si="36"/>
        <v>16835185.714285713</v>
      </c>
      <c r="BH28" s="197">
        <f t="shared" si="36"/>
        <v>17600421.428571429</v>
      </c>
      <c r="BI28" s="197">
        <f t="shared" si="36"/>
        <v>17600421.428571429</v>
      </c>
      <c r="BJ28" s="197">
        <f t="shared" si="36"/>
        <v>17600421.428571429</v>
      </c>
      <c r="BK28" s="197">
        <f t="shared" si="36"/>
        <v>17600421.428571429</v>
      </c>
      <c r="BL28" s="197">
        <f t="shared" si="36"/>
        <v>17600421.428571429</v>
      </c>
      <c r="BM28" s="197">
        <f t="shared" si="36"/>
        <v>17600421.428571429</v>
      </c>
      <c r="BN28" s="197">
        <f t="shared" si="36"/>
        <v>17600421.428571429</v>
      </c>
      <c r="BO28" s="197">
        <f t="shared" ref="BO28:CT28" si="37">IF($C28=1,AK$23,0)</f>
        <v>19130892.857142858</v>
      </c>
      <c r="BP28" s="197">
        <f t="shared" si="37"/>
        <v>19130892.857142858</v>
      </c>
      <c r="BQ28" s="197">
        <f t="shared" si="37"/>
        <v>19130892.857142858</v>
      </c>
      <c r="BR28" s="197">
        <f t="shared" si="37"/>
        <v>19130892.857142858</v>
      </c>
      <c r="BS28" s="197">
        <f t="shared" si="37"/>
        <v>20202222.857142858</v>
      </c>
      <c r="BT28" s="197">
        <f t="shared" si="37"/>
        <v>20202222.857142858</v>
      </c>
      <c r="BU28" s="197">
        <f t="shared" si="37"/>
        <v>20202222.857142858</v>
      </c>
      <c r="BV28" s="197">
        <f t="shared" si="37"/>
        <v>20202222.857142858</v>
      </c>
      <c r="BW28" s="197">
        <f t="shared" si="37"/>
        <v>20202222.857142858</v>
      </c>
      <c r="BX28" s="197">
        <f t="shared" si="37"/>
        <v>20202222.857142858</v>
      </c>
      <c r="BY28" s="197">
        <f t="shared" si="37"/>
        <v>20508317.142857142</v>
      </c>
      <c r="BZ28" s="197">
        <f t="shared" si="37"/>
        <v>20508317.142857142</v>
      </c>
      <c r="CA28" s="197">
        <f t="shared" si="37"/>
        <v>20508317.142857142</v>
      </c>
      <c r="CB28" s="197">
        <f t="shared" si="37"/>
        <v>20508317.142857142</v>
      </c>
      <c r="CC28" s="197">
        <f t="shared" si="37"/>
        <v>20508317.142857142</v>
      </c>
      <c r="CD28" s="197">
        <f t="shared" si="37"/>
        <v>20508317.142857142</v>
      </c>
      <c r="CE28" s="197">
        <f t="shared" si="37"/>
        <v>20661364.285714284</v>
      </c>
      <c r="CF28" s="197">
        <f t="shared" si="37"/>
        <v>20661364.285714284</v>
      </c>
      <c r="CG28" s="197">
        <f t="shared" si="37"/>
        <v>20661364.285714284</v>
      </c>
      <c r="CH28" s="197">
        <f t="shared" si="37"/>
        <v>20661364.285714284</v>
      </c>
      <c r="CI28" s="197">
        <f t="shared" si="37"/>
        <v>20661364.285714284</v>
      </c>
      <c r="CJ28" s="197">
        <f t="shared" si="37"/>
        <v>20661364.285714284</v>
      </c>
      <c r="CK28" s="197">
        <f t="shared" si="37"/>
        <v>20661364.285714284</v>
      </c>
      <c r="CL28" s="197">
        <f t="shared" si="37"/>
        <v>22191835.714285716</v>
      </c>
      <c r="CM28" s="197">
        <f t="shared" si="37"/>
        <v>22191835.714285716</v>
      </c>
      <c r="CN28" s="197">
        <f t="shared" si="37"/>
        <v>22191835.714285716</v>
      </c>
      <c r="CO28" s="197">
        <f t="shared" si="37"/>
        <v>22191835.714285716</v>
      </c>
      <c r="CP28" s="197">
        <f t="shared" si="37"/>
        <v>22191835.714285716</v>
      </c>
      <c r="CQ28" s="197">
        <f t="shared" si="37"/>
        <v>22191835.714285716</v>
      </c>
      <c r="CR28" s="197">
        <f t="shared" si="37"/>
        <v>22191835.714285716</v>
      </c>
      <c r="CS28" s="197">
        <f t="shared" si="37"/>
        <v>22191835.714285716</v>
      </c>
      <c r="CT28" s="197">
        <f t="shared" si="37"/>
        <v>22191835.714285716</v>
      </c>
      <c r="CU28" s="197">
        <f t="shared" ref="CU28:DZ28" si="38">IF($C28=1,BQ$23,0)</f>
        <v>22957071.428571425</v>
      </c>
      <c r="CV28" s="197">
        <f t="shared" si="38"/>
        <v>22957071.428571425</v>
      </c>
      <c r="CW28" s="197">
        <f t="shared" si="38"/>
        <v>22957071.428571425</v>
      </c>
      <c r="CX28" s="197">
        <f t="shared" si="38"/>
        <v>22957071.428571425</v>
      </c>
      <c r="CY28" s="197">
        <f t="shared" si="38"/>
        <v>22957071.428571425</v>
      </c>
      <c r="CZ28" s="197">
        <f t="shared" si="38"/>
        <v>22957071.428571425</v>
      </c>
      <c r="DA28" s="197">
        <f t="shared" si="38"/>
        <v>22957071.428571425</v>
      </c>
      <c r="DB28" s="197">
        <f t="shared" si="38"/>
        <v>22957071.428571425</v>
      </c>
      <c r="DC28" s="197">
        <f t="shared" si="38"/>
        <v>22957071.428571425</v>
      </c>
      <c r="DD28" s="197">
        <f t="shared" si="38"/>
        <v>22957071.428571425</v>
      </c>
      <c r="DE28" s="197">
        <f t="shared" si="38"/>
        <v>22957071.428571425</v>
      </c>
      <c r="DF28" s="197">
        <f t="shared" si="38"/>
        <v>31119585.714285705</v>
      </c>
      <c r="DG28" s="197">
        <f t="shared" si="38"/>
        <v>31119585.714285705</v>
      </c>
      <c r="DH28" s="197">
        <f t="shared" si="38"/>
        <v>31119585.714285705</v>
      </c>
      <c r="DI28" s="197">
        <f t="shared" si="38"/>
        <v>31119585.714285705</v>
      </c>
      <c r="DJ28" s="197">
        <f t="shared" si="38"/>
        <v>31119585.714285705</v>
      </c>
      <c r="DK28" s="197">
        <f t="shared" si="38"/>
        <v>31119585.714285705</v>
      </c>
      <c r="DL28" s="197">
        <f t="shared" si="38"/>
        <v>31119585.714285705</v>
      </c>
      <c r="DM28" s="197">
        <f t="shared" si="38"/>
        <v>31119585.714285705</v>
      </c>
      <c r="DN28" s="197">
        <f t="shared" si="38"/>
        <v>31119585.714285705</v>
      </c>
      <c r="DO28" s="197">
        <f t="shared" si="38"/>
        <v>0</v>
      </c>
      <c r="DP28" s="197">
        <f t="shared" si="38"/>
        <v>0</v>
      </c>
      <c r="DQ28" s="197">
        <f t="shared" si="38"/>
        <v>0</v>
      </c>
      <c r="DR28" s="197">
        <f t="shared" si="38"/>
        <v>0</v>
      </c>
      <c r="DS28" s="197">
        <f t="shared" si="38"/>
        <v>0</v>
      </c>
      <c r="DT28" s="197">
        <f t="shared" si="38"/>
        <v>0</v>
      </c>
      <c r="DU28" s="197">
        <f t="shared" si="38"/>
        <v>0</v>
      </c>
      <c r="DV28" s="197">
        <f t="shared" si="38"/>
        <v>0</v>
      </c>
      <c r="DW28" s="197">
        <f t="shared" si="38"/>
        <v>0</v>
      </c>
      <c r="DX28" s="197">
        <f t="shared" si="38"/>
        <v>0</v>
      </c>
      <c r="DY28" s="197">
        <f t="shared" si="38"/>
        <v>0</v>
      </c>
      <c r="DZ28" s="197">
        <f t="shared" si="38"/>
        <v>0</v>
      </c>
      <c r="EA28" s="197">
        <f t="shared" ref="EA28:ED28" si="39">IF($C28=1,CW$23,0)</f>
        <v>0</v>
      </c>
      <c r="EB28" s="197">
        <f t="shared" si="39"/>
        <v>0</v>
      </c>
      <c r="EC28" s="197">
        <f t="shared" si="39"/>
        <v>0</v>
      </c>
      <c r="ED28" s="197">
        <f t="shared" si="39"/>
        <v>0</v>
      </c>
    </row>
    <row r="29" spans="2:147" x14ac:dyDescent="0.35">
      <c r="B29" s="197">
        <f t="shared" si="11"/>
        <v>1530471428.5714283</v>
      </c>
      <c r="C29" s="197">
        <f t="shared" si="12"/>
        <v>1</v>
      </c>
      <c r="D29">
        <v>7</v>
      </c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>
        <f t="shared" ref="AO29:BT29" si="40">IF($C29=1,E$23,0)</f>
        <v>4438367.1428571427</v>
      </c>
      <c r="AP29" s="197">
        <f t="shared" si="40"/>
        <v>4438367.1428571427</v>
      </c>
      <c r="AQ29" s="197">
        <f t="shared" si="40"/>
        <v>4438367.1428571427</v>
      </c>
      <c r="AR29" s="197">
        <f t="shared" si="40"/>
        <v>4438367.1428571427</v>
      </c>
      <c r="AS29" s="197">
        <f t="shared" si="40"/>
        <v>4438367.1428571427</v>
      </c>
      <c r="AT29" s="197">
        <f t="shared" si="40"/>
        <v>4438367.1428571427</v>
      </c>
      <c r="AU29" s="197">
        <f t="shared" si="40"/>
        <v>4591414.2857142854</v>
      </c>
      <c r="AV29" s="197">
        <f t="shared" si="40"/>
        <v>4591414.2857142854</v>
      </c>
      <c r="AW29" s="197">
        <f t="shared" si="40"/>
        <v>4591414.2857142854</v>
      </c>
      <c r="AX29" s="197">
        <f t="shared" si="40"/>
        <v>4591414.2857142854</v>
      </c>
      <c r="AY29" s="197">
        <f t="shared" si="40"/>
        <v>4591414.2857142854</v>
      </c>
      <c r="AZ29" s="197">
        <f t="shared" si="40"/>
        <v>4591414.2857142854</v>
      </c>
      <c r="BA29" s="197">
        <f t="shared" si="40"/>
        <v>6121885.7142857146</v>
      </c>
      <c r="BB29" s="197">
        <f t="shared" si="40"/>
        <v>6121885.7142857146</v>
      </c>
      <c r="BC29" s="197">
        <f t="shared" si="40"/>
        <v>6121885.7142857146</v>
      </c>
      <c r="BD29" s="197">
        <f t="shared" si="40"/>
        <v>6121885.7142857146</v>
      </c>
      <c r="BE29" s="197">
        <f t="shared" si="40"/>
        <v>12243771.428571429</v>
      </c>
      <c r="BF29" s="197">
        <f t="shared" si="40"/>
        <v>12243771.428571429</v>
      </c>
      <c r="BG29" s="197">
        <f t="shared" si="40"/>
        <v>12243771.428571429</v>
      </c>
      <c r="BH29" s="197">
        <f t="shared" si="40"/>
        <v>14539478.571428571</v>
      </c>
      <c r="BI29" s="197">
        <f t="shared" si="40"/>
        <v>14539478.571428571</v>
      </c>
      <c r="BJ29" s="197">
        <f t="shared" si="40"/>
        <v>14539478.571428571</v>
      </c>
      <c r="BK29" s="197">
        <f t="shared" si="40"/>
        <v>16835185.714285713</v>
      </c>
      <c r="BL29" s="197">
        <f t="shared" si="40"/>
        <v>16835185.714285713</v>
      </c>
      <c r="BM29" s="197">
        <f t="shared" si="40"/>
        <v>16835185.714285713</v>
      </c>
      <c r="BN29" s="197">
        <f t="shared" si="40"/>
        <v>17600421.428571429</v>
      </c>
      <c r="BO29" s="197">
        <f t="shared" si="40"/>
        <v>17600421.428571429</v>
      </c>
      <c r="BP29" s="197">
        <f t="shared" si="40"/>
        <v>17600421.428571429</v>
      </c>
      <c r="BQ29" s="197">
        <f t="shared" si="40"/>
        <v>17600421.428571429</v>
      </c>
      <c r="BR29" s="197">
        <f t="shared" si="40"/>
        <v>17600421.428571429</v>
      </c>
      <c r="BS29" s="197">
        <f t="shared" si="40"/>
        <v>17600421.428571429</v>
      </c>
      <c r="BT29" s="197">
        <f t="shared" si="40"/>
        <v>17600421.428571429</v>
      </c>
      <c r="BU29" s="197">
        <f t="shared" ref="BU29:CZ29" si="41">IF($C29=1,AK$23,0)</f>
        <v>19130892.857142858</v>
      </c>
      <c r="BV29" s="197">
        <f t="shared" si="41"/>
        <v>19130892.857142858</v>
      </c>
      <c r="BW29" s="197">
        <f t="shared" si="41"/>
        <v>19130892.857142858</v>
      </c>
      <c r="BX29" s="197">
        <f t="shared" si="41"/>
        <v>19130892.857142858</v>
      </c>
      <c r="BY29" s="197">
        <f t="shared" si="41"/>
        <v>20202222.857142858</v>
      </c>
      <c r="BZ29" s="197">
        <f t="shared" si="41"/>
        <v>20202222.857142858</v>
      </c>
      <c r="CA29" s="197">
        <f t="shared" si="41"/>
        <v>20202222.857142858</v>
      </c>
      <c r="CB29" s="197">
        <f t="shared" si="41"/>
        <v>20202222.857142858</v>
      </c>
      <c r="CC29" s="197">
        <f t="shared" si="41"/>
        <v>20202222.857142858</v>
      </c>
      <c r="CD29" s="197">
        <f t="shared" si="41"/>
        <v>20202222.857142858</v>
      </c>
      <c r="CE29" s="197">
        <f t="shared" si="41"/>
        <v>20508317.142857142</v>
      </c>
      <c r="CF29" s="197">
        <f t="shared" si="41"/>
        <v>20508317.142857142</v>
      </c>
      <c r="CG29" s="197">
        <f t="shared" si="41"/>
        <v>20508317.142857142</v>
      </c>
      <c r="CH29" s="197">
        <f t="shared" si="41"/>
        <v>20508317.142857142</v>
      </c>
      <c r="CI29" s="197">
        <f t="shared" si="41"/>
        <v>20508317.142857142</v>
      </c>
      <c r="CJ29" s="197">
        <f t="shared" si="41"/>
        <v>20508317.142857142</v>
      </c>
      <c r="CK29" s="197">
        <f t="shared" si="41"/>
        <v>20661364.285714284</v>
      </c>
      <c r="CL29" s="197">
        <f t="shared" si="41"/>
        <v>20661364.285714284</v>
      </c>
      <c r="CM29" s="197">
        <f t="shared" si="41"/>
        <v>20661364.285714284</v>
      </c>
      <c r="CN29" s="197">
        <f t="shared" si="41"/>
        <v>20661364.285714284</v>
      </c>
      <c r="CO29" s="197">
        <f t="shared" si="41"/>
        <v>20661364.285714284</v>
      </c>
      <c r="CP29" s="197">
        <f t="shared" si="41"/>
        <v>20661364.285714284</v>
      </c>
      <c r="CQ29" s="197">
        <f t="shared" si="41"/>
        <v>20661364.285714284</v>
      </c>
      <c r="CR29" s="197">
        <f t="shared" si="41"/>
        <v>22191835.714285716</v>
      </c>
      <c r="CS29" s="197">
        <f t="shared" si="41"/>
        <v>22191835.714285716</v>
      </c>
      <c r="CT29" s="197">
        <f t="shared" si="41"/>
        <v>22191835.714285716</v>
      </c>
      <c r="CU29" s="197">
        <f t="shared" si="41"/>
        <v>22191835.714285716</v>
      </c>
      <c r="CV29" s="197">
        <f t="shared" si="41"/>
        <v>22191835.714285716</v>
      </c>
      <c r="CW29" s="197">
        <f t="shared" si="41"/>
        <v>22191835.714285716</v>
      </c>
      <c r="CX29" s="197">
        <f t="shared" si="41"/>
        <v>22191835.714285716</v>
      </c>
      <c r="CY29" s="197">
        <f t="shared" si="41"/>
        <v>22191835.714285716</v>
      </c>
      <c r="CZ29" s="197">
        <f t="shared" si="41"/>
        <v>22191835.714285716</v>
      </c>
      <c r="DA29" s="197">
        <f t="shared" ref="DA29:EF29" si="42">IF($C29=1,BQ$23,0)</f>
        <v>22957071.428571425</v>
      </c>
      <c r="DB29" s="197">
        <f t="shared" si="42"/>
        <v>22957071.428571425</v>
      </c>
      <c r="DC29" s="197">
        <f t="shared" si="42"/>
        <v>22957071.428571425</v>
      </c>
      <c r="DD29" s="197">
        <f t="shared" si="42"/>
        <v>22957071.428571425</v>
      </c>
      <c r="DE29" s="197">
        <f t="shared" si="42"/>
        <v>22957071.428571425</v>
      </c>
      <c r="DF29" s="197">
        <f t="shared" si="42"/>
        <v>22957071.428571425</v>
      </c>
      <c r="DG29" s="197">
        <f t="shared" si="42"/>
        <v>22957071.428571425</v>
      </c>
      <c r="DH29" s="197">
        <f t="shared" si="42"/>
        <v>22957071.428571425</v>
      </c>
      <c r="DI29" s="197">
        <f t="shared" si="42"/>
        <v>22957071.428571425</v>
      </c>
      <c r="DJ29" s="197">
        <f t="shared" si="42"/>
        <v>22957071.428571425</v>
      </c>
      <c r="DK29" s="197">
        <f t="shared" si="42"/>
        <v>22957071.428571425</v>
      </c>
      <c r="DL29" s="197">
        <f t="shared" si="42"/>
        <v>31119585.714285705</v>
      </c>
      <c r="DM29" s="197">
        <f t="shared" si="42"/>
        <v>31119585.714285705</v>
      </c>
      <c r="DN29" s="197">
        <f t="shared" si="42"/>
        <v>31119585.714285705</v>
      </c>
      <c r="DO29" s="197">
        <f t="shared" si="42"/>
        <v>31119585.714285705</v>
      </c>
      <c r="DP29" s="197">
        <f t="shared" si="42"/>
        <v>31119585.714285705</v>
      </c>
      <c r="DQ29" s="197">
        <f t="shared" si="42"/>
        <v>31119585.714285705</v>
      </c>
      <c r="DR29" s="197">
        <f t="shared" si="42"/>
        <v>31119585.714285705</v>
      </c>
      <c r="DS29" s="197">
        <f t="shared" si="42"/>
        <v>31119585.714285705</v>
      </c>
      <c r="DT29" s="197">
        <f t="shared" si="42"/>
        <v>31119585.714285705</v>
      </c>
      <c r="DU29" s="197">
        <f t="shared" si="42"/>
        <v>0</v>
      </c>
      <c r="DV29" s="197">
        <f t="shared" si="42"/>
        <v>0</v>
      </c>
      <c r="DW29" s="197">
        <f t="shared" si="42"/>
        <v>0</v>
      </c>
      <c r="DX29" s="197">
        <f t="shared" si="42"/>
        <v>0</v>
      </c>
      <c r="DY29" s="197">
        <f t="shared" si="42"/>
        <v>0</v>
      </c>
      <c r="DZ29" s="197">
        <f t="shared" si="42"/>
        <v>0</v>
      </c>
      <c r="EA29" s="197">
        <f t="shared" si="42"/>
        <v>0</v>
      </c>
      <c r="EB29" s="197">
        <f t="shared" si="42"/>
        <v>0</v>
      </c>
      <c r="EC29" s="197">
        <f t="shared" si="42"/>
        <v>0</v>
      </c>
      <c r="ED29" s="197">
        <f t="shared" si="42"/>
        <v>0</v>
      </c>
      <c r="EE29" s="197">
        <f t="shared" si="42"/>
        <v>0</v>
      </c>
      <c r="EF29" s="197">
        <f t="shared" si="42"/>
        <v>0</v>
      </c>
      <c r="EG29" s="197">
        <f t="shared" ref="EG29:EP29" si="43">IF($C29=1,CW$23,0)</f>
        <v>0</v>
      </c>
      <c r="EH29" s="197">
        <f t="shared" si="43"/>
        <v>0</v>
      </c>
      <c r="EI29" s="197">
        <f t="shared" si="43"/>
        <v>0</v>
      </c>
      <c r="EJ29" s="197">
        <f t="shared" si="43"/>
        <v>0</v>
      </c>
      <c r="EK29" s="197">
        <f t="shared" si="43"/>
        <v>0</v>
      </c>
      <c r="EL29" s="197">
        <f t="shared" si="43"/>
        <v>0</v>
      </c>
      <c r="EM29" s="197">
        <f t="shared" si="43"/>
        <v>0</v>
      </c>
      <c r="EN29" s="197">
        <f t="shared" si="43"/>
        <v>0</v>
      </c>
      <c r="EO29" s="197">
        <f t="shared" si="43"/>
        <v>0</v>
      </c>
      <c r="EP29" s="197">
        <f t="shared" si="43"/>
        <v>0</v>
      </c>
    </row>
    <row r="30" spans="2:147" x14ac:dyDescent="0.35">
      <c r="B30" s="197">
        <f t="shared" si="11"/>
        <v>0</v>
      </c>
      <c r="C30" s="197">
        <f t="shared" si="12"/>
        <v>0</v>
      </c>
      <c r="D30">
        <v>8</v>
      </c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U30" s="197">
        <f t="shared" ref="AU30:BR30" si="44">IF($C30=1,E$23,0)</f>
        <v>0</v>
      </c>
      <c r="AV30" s="197">
        <f t="shared" si="44"/>
        <v>0</v>
      </c>
      <c r="AW30" s="197">
        <f t="shared" si="44"/>
        <v>0</v>
      </c>
      <c r="AX30" s="197">
        <f t="shared" si="44"/>
        <v>0</v>
      </c>
      <c r="AY30" s="197">
        <f t="shared" si="44"/>
        <v>0</v>
      </c>
      <c r="AZ30" s="197">
        <f t="shared" si="44"/>
        <v>0</v>
      </c>
      <c r="BA30" s="197">
        <f t="shared" si="44"/>
        <v>0</v>
      </c>
      <c r="BB30" s="197">
        <f t="shared" si="44"/>
        <v>0</v>
      </c>
      <c r="BC30" s="197">
        <f t="shared" si="44"/>
        <v>0</v>
      </c>
      <c r="BD30" s="197">
        <f t="shared" si="44"/>
        <v>0</v>
      </c>
      <c r="BE30" s="197">
        <f t="shared" si="44"/>
        <v>0</v>
      </c>
      <c r="BF30" s="197">
        <f t="shared" si="44"/>
        <v>0</v>
      </c>
      <c r="BG30" s="197">
        <f t="shared" si="44"/>
        <v>0</v>
      </c>
      <c r="BH30" s="197">
        <f t="shared" si="44"/>
        <v>0</v>
      </c>
      <c r="BI30" s="197">
        <f t="shared" si="44"/>
        <v>0</v>
      </c>
      <c r="BJ30" s="197">
        <f t="shared" si="44"/>
        <v>0</v>
      </c>
      <c r="BK30" s="197">
        <f t="shared" si="44"/>
        <v>0</v>
      </c>
      <c r="BL30" s="197">
        <f t="shared" si="44"/>
        <v>0</v>
      </c>
      <c r="BM30" s="197">
        <f t="shared" si="44"/>
        <v>0</v>
      </c>
      <c r="BN30" s="197">
        <f t="shared" si="44"/>
        <v>0</v>
      </c>
      <c r="BO30" s="197">
        <f t="shared" si="44"/>
        <v>0</v>
      </c>
      <c r="BP30" s="197">
        <f t="shared" si="44"/>
        <v>0</v>
      </c>
      <c r="BQ30" s="197">
        <f t="shared" si="44"/>
        <v>0</v>
      </c>
      <c r="BR30" s="197">
        <f t="shared" si="44"/>
        <v>0</v>
      </c>
    </row>
    <row r="31" spans="2:147" x14ac:dyDescent="0.35">
      <c r="B31" s="197">
        <f>SUM(AC31:EQ31)</f>
        <v>0</v>
      </c>
      <c r="C31" s="197">
        <f t="shared" si="12"/>
        <v>0</v>
      </c>
      <c r="D31">
        <v>9</v>
      </c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BA31" s="197">
        <f t="shared" ref="BA31:BX31" si="45">IF($C31=1,E$23,0)</f>
        <v>0</v>
      </c>
      <c r="BB31" s="197">
        <f t="shared" si="45"/>
        <v>0</v>
      </c>
      <c r="BC31" s="197">
        <f t="shared" si="45"/>
        <v>0</v>
      </c>
      <c r="BD31" s="197">
        <f t="shared" si="45"/>
        <v>0</v>
      </c>
      <c r="BE31" s="197">
        <f t="shared" si="45"/>
        <v>0</v>
      </c>
      <c r="BF31" s="197">
        <f t="shared" si="45"/>
        <v>0</v>
      </c>
      <c r="BG31" s="197">
        <f t="shared" si="45"/>
        <v>0</v>
      </c>
      <c r="BH31" s="197">
        <f t="shared" si="45"/>
        <v>0</v>
      </c>
      <c r="BI31" s="197">
        <f t="shared" si="45"/>
        <v>0</v>
      </c>
      <c r="BJ31" s="197">
        <f t="shared" si="45"/>
        <v>0</v>
      </c>
      <c r="BK31" s="197">
        <f t="shared" si="45"/>
        <v>0</v>
      </c>
      <c r="BL31" s="197">
        <f t="shared" si="45"/>
        <v>0</v>
      </c>
      <c r="BM31" s="197">
        <f t="shared" si="45"/>
        <v>0</v>
      </c>
      <c r="BN31" s="197">
        <f t="shared" si="45"/>
        <v>0</v>
      </c>
      <c r="BO31" s="197">
        <f t="shared" si="45"/>
        <v>0</v>
      </c>
      <c r="BP31" s="197">
        <f t="shared" si="45"/>
        <v>0</v>
      </c>
      <c r="BQ31" s="197">
        <f t="shared" si="45"/>
        <v>0</v>
      </c>
      <c r="BR31" s="197">
        <f t="shared" si="45"/>
        <v>0</v>
      </c>
      <c r="BS31" s="197">
        <f t="shared" si="45"/>
        <v>0</v>
      </c>
      <c r="BT31" s="197">
        <f t="shared" si="45"/>
        <v>0</v>
      </c>
      <c r="BU31" s="197">
        <f t="shared" si="45"/>
        <v>0</v>
      </c>
      <c r="BV31" s="197">
        <f t="shared" si="45"/>
        <v>0</v>
      </c>
      <c r="BW31" s="197">
        <f t="shared" si="45"/>
        <v>0</v>
      </c>
      <c r="BX31" s="197">
        <f t="shared" si="45"/>
        <v>0</v>
      </c>
    </row>
    <row r="32" spans="2:147" x14ac:dyDescent="0.35">
      <c r="B32" s="197">
        <f>SUM(AC32:EQ32)</f>
        <v>0</v>
      </c>
      <c r="C32" s="197">
        <f t="shared" si="12"/>
        <v>0</v>
      </c>
      <c r="D32">
        <v>10</v>
      </c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BG32" s="197">
        <f t="shared" ref="BG32:CD32" si="46">IF($C32=1,E$23,0)</f>
        <v>0</v>
      </c>
      <c r="BH32" s="197">
        <f t="shared" si="46"/>
        <v>0</v>
      </c>
      <c r="BI32" s="197">
        <f t="shared" si="46"/>
        <v>0</v>
      </c>
      <c r="BJ32" s="197">
        <f t="shared" si="46"/>
        <v>0</v>
      </c>
      <c r="BK32" s="197">
        <f t="shared" si="46"/>
        <v>0</v>
      </c>
      <c r="BL32" s="197">
        <f t="shared" si="46"/>
        <v>0</v>
      </c>
      <c r="BM32" s="197">
        <f t="shared" si="46"/>
        <v>0</v>
      </c>
      <c r="BN32" s="197">
        <f t="shared" si="46"/>
        <v>0</v>
      </c>
      <c r="BO32" s="197">
        <f t="shared" si="46"/>
        <v>0</v>
      </c>
      <c r="BP32" s="197">
        <f t="shared" si="46"/>
        <v>0</v>
      </c>
      <c r="BQ32" s="197">
        <f t="shared" si="46"/>
        <v>0</v>
      </c>
      <c r="BR32" s="197">
        <f t="shared" si="46"/>
        <v>0</v>
      </c>
      <c r="BS32" s="197">
        <f t="shared" si="46"/>
        <v>0</v>
      </c>
      <c r="BT32" s="197">
        <f t="shared" si="46"/>
        <v>0</v>
      </c>
      <c r="BU32" s="197">
        <f t="shared" si="46"/>
        <v>0</v>
      </c>
      <c r="BV32" s="197">
        <f t="shared" si="46"/>
        <v>0</v>
      </c>
      <c r="BW32" s="197">
        <f t="shared" si="46"/>
        <v>0</v>
      </c>
      <c r="BX32" s="197">
        <f t="shared" si="46"/>
        <v>0</v>
      </c>
      <c r="BY32" s="197">
        <f t="shared" si="46"/>
        <v>0</v>
      </c>
      <c r="BZ32" s="197">
        <f t="shared" si="46"/>
        <v>0</v>
      </c>
      <c r="CA32" s="197">
        <f t="shared" si="46"/>
        <v>0</v>
      </c>
      <c r="CB32" s="197">
        <f t="shared" si="46"/>
        <v>0</v>
      </c>
      <c r="CC32" s="197">
        <f t="shared" si="46"/>
        <v>0</v>
      </c>
      <c r="CD32" s="197">
        <f t="shared" si="46"/>
        <v>0</v>
      </c>
    </row>
    <row r="33" spans="2:147" x14ac:dyDescent="0.35">
      <c r="B33" s="197">
        <f>SUM(AC33:EQ33)</f>
        <v>0</v>
      </c>
      <c r="C33" s="197">
        <f t="shared" si="12"/>
        <v>0</v>
      </c>
      <c r="D33">
        <v>11</v>
      </c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BM33" s="197">
        <f t="shared" ref="BM33:CJ33" si="47">IF($C33=1,E$23,0)</f>
        <v>0</v>
      </c>
      <c r="BN33" s="197">
        <f t="shared" si="47"/>
        <v>0</v>
      </c>
      <c r="BO33" s="197">
        <f t="shared" si="47"/>
        <v>0</v>
      </c>
      <c r="BP33" s="197">
        <f t="shared" si="47"/>
        <v>0</v>
      </c>
      <c r="BQ33" s="197">
        <f t="shared" si="47"/>
        <v>0</v>
      </c>
      <c r="BR33" s="197">
        <f t="shared" si="47"/>
        <v>0</v>
      </c>
      <c r="BS33" s="197">
        <f t="shared" si="47"/>
        <v>0</v>
      </c>
      <c r="BT33" s="197">
        <f t="shared" si="47"/>
        <v>0</v>
      </c>
      <c r="BU33" s="197">
        <f t="shared" si="47"/>
        <v>0</v>
      </c>
      <c r="BV33" s="197">
        <f t="shared" si="47"/>
        <v>0</v>
      </c>
      <c r="BW33" s="197">
        <f t="shared" si="47"/>
        <v>0</v>
      </c>
      <c r="BX33" s="197">
        <f t="shared" si="47"/>
        <v>0</v>
      </c>
      <c r="BY33" s="197">
        <f t="shared" si="47"/>
        <v>0</v>
      </c>
      <c r="BZ33" s="197">
        <f t="shared" si="47"/>
        <v>0</v>
      </c>
      <c r="CA33" s="197">
        <f t="shared" si="47"/>
        <v>0</v>
      </c>
      <c r="CB33" s="197">
        <f t="shared" si="47"/>
        <v>0</v>
      </c>
      <c r="CC33" s="197">
        <f t="shared" si="47"/>
        <v>0</v>
      </c>
      <c r="CD33" s="197">
        <f t="shared" si="47"/>
        <v>0</v>
      </c>
      <c r="CE33" s="197">
        <f t="shared" si="47"/>
        <v>0</v>
      </c>
      <c r="CF33" s="197">
        <f t="shared" si="47"/>
        <v>0</v>
      </c>
      <c r="CG33" s="197">
        <f t="shared" si="47"/>
        <v>0</v>
      </c>
      <c r="CH33" s="197">
        <f t="shared" si="47"/>
        <v>0</v>
      </c>
      <c r="CI33" s="197">
        <f t="shared" si="47"/>
        <v>0</v>
      </c>
      <c r="CJ33" s="197">
        <f t="shared" si="47"/>
        <v>0</v>
      </c>
    </row>
    <row r="34" spans="2:147" x14ac:dyDescent="0.35">
      <c r="B34" s="197">
        <f t="shared" ref="B34:B42" si="48">SUM(E34:EQ34)</f>
        <v>0</v>
      </c>
      <c r="C34" s="197">
        <f t="shared" si="12"/>
        <v>0</v>
      </c>
      <c r="D34">
        <v>12</v>
      </c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BS34" s="197">
        <f t="shared" ref="BS34:CP34" si="49">IF($C34=1,K$23,0)</f>
        <v>0</v>
      </c>
      <c r="BT34" s="197">
        <f t="shared" si="49"/>
        <v>0</v>
      </c>
      <c r="BU34" s="197">
        <f t="shared" si="49"/>
        <v>0</v>
      </c>
      <c r="BV34" s="197">
        <f t="shared" si="49"/>
        <v>0</v>
      </c>
      <c r="BW34" s="197">
        <f t="shared" si="49"/>
        <v>0</v>
      </c>
      <c r="BX34" s="197">
        <f t="shared" si="49"/>
        <v>0</v>
      </c>
      <c r="BY34" s="197">
        <f t="shared" si="49"/>
        <v>0</v>
      </c>
      <c r="BZ34" s="197">
        <f t="shared" si="49"/>
        <v>0</v>
      </c>
      <c r="CA34" s="197">
        <f t="shared" si="49"/>
        <v>0</v>
      </c>
      <c r="CB34" s="197">
        <f t="shared" si="49"/>
        <v>0</v>
      </c>
      <c r="CC34" s="197">
        <f t="shared" si="49"/>
        <v>0</v>
      </c>
      <c r="CD34" s="197">
        <f t="shared" si="49"/>
        <v>0</v>
      </c>
      <c r="CE34" s="197">
        <f t="shared" si="49"/>
        <v>0</v>
      </c>
      <c r="CF34" s="197">
        <f t="shared" si="49"/>
        <v>0</v>
      </c>
      <c r="CG34" s="197">
        <f t="shared" si="49"/>
        <v>0</v>
      </c>
      <c r="CH34" s="197">
        <f t="shared" si="49"/>
        <v>0</v>
      </c>
      <c r="CI34" s="197">
        <f t="shared" si="49"/>
        <v>0</v>
      </c>
      <c r="CJ34" s="197">
        <f t="shared" si="49"/>
        <v>0</v>
      </c>
      <c r="CK34" s="197">
        <f t="shared" si="49"/>
        <v>0</v>
      </c>
      <c r="CL34" s="197">
        <f t="shared" si="49"/>
        <v>0</v>
      </c>
      <c r="CM34" s="197">
        <f t="shared" si="49"/>
        <v>0</v>
      </c>
      <c r="CN34" s="197">
        <f t="shared" si="49"/>
        <v>0</v>
      </c>
      <c r="CO34" s="197">
        <f t="shared" si="49"/>
        <v>0</v>
      </c>
      <c r="CP34" s="197">
        <f t="shared" si="49"/>
        <v>0</v>
      </c>
    </row>
    <row r="35" spans="2:147" x14ac:dyDescent="0.35">
      <c r="B35" s="197">
        <f t="shared" si="48"/>
        <v>0</v>
      </c>
      <c r="C35" s="197">
        <f t="shared" si="12"/>
        <v>0</v>
      </c>
      <c r="D35">
        <v>13</v>
      </c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BY35" s="197">
        <f t="shared" ref="BY35:CV35" si="50">IF($C35=1,Q$23,0)</f>
        <v>0</v>
      </c>
      <c r="BZ35" s="197">
        <f t="shared" si="50"/>
        <v>0</v>
      </c>
      <c r="CA35" s="197">
        <f t="shared" si="50"/>
        <v>0</v>
      </c>
      <c r="CB35" s="197">
        <f t="shared" si="50"/>
        <v>0</v>
      </c>
      <c r="CC35" s="197">
        <f t="shared" si="50"/>
        <v>0</v>
      </c>
      <c r="CD35" s="197">
        <f t="shared" si="50"/>
        <v>0</v>
      </c>
      <c r="CE35" s="197">
        <f t="shared" si="50"/>
        <v>0</v>
      </c>
      <c r="CF35" s="197">
        <f t="shared" si="50"/>
        <v>0</v>
      </c>
      <c r="CG35" s="197">
        <f t="shared" si="50"/>
        <v>0</v>
      </c>
      <c r="CH35" s="197">
        <f t="shared" si="50"/>
        <v>0</v>
      </c>
      <c r="CI35" s="197">
        <f t="shared" si="50"/>
        <v>0</v>
      </c>
      <c r="CJ35" s="197">
        <f t="shared" si="50"/>
        <v>0</v>
      </c>
      <c r="CK35" s="197">
        <f t="shared" si="50"/>
        <v>0</v>
      </c>
      <c r="CL35" s="197">
        <f t="shared" si="50"/>
        <v>0</v>
      </c>
      <c r="CM35" s="197">
        <f t="shared" si="50"/>
        <v>0</v>
      </c>
      <c r="CN35" s="197">
        <f t="shared" si="50"/>
        <v>0</v>
      </c>
      <c r="CO35" s="197">
        <f t="shared" si="50"/>
        <v>0</v>
      </c>
      <c r="CP35" s="197">
        <f t="shared" si="50"/>
        <v>0</v>
      </c>
      <c r="CQ35" s="197">
        <f t="shared" si="50"/>
        <v>0</v>
      </c>
      <c r="CR35" s="197">
        <f t="shared" si="50"/>
        <v>0</v>
      </c>
      <c r="CS35" s="197">
        <f t="shared" si="50"/>
        <v>0</v>
      </c>
      <c r="CT35" s="197">
        <f t="shared" si="50"/>
        <v>0</v>
      </c>
      <c r="CU35" s="197">
        <f t="shared" si="50"/>
        <v>0</v>
      </c>
      <c r="CV35" s="197">
        <f t="shared" si="50"/>
        <v>0</v>
      </c>
    </row>
    <row r="36" spans="2:147" x14ac:dyDescent="0.35">
      <c r="B36" s="197">
        <f t="shared" si="48"/>
        <v>0</v>
      </c>
      <c r="C36" s="197">
        <f t="shared" si="12"/>
        <v>0</v>
      </c>
      <c r="D36">
        <v>14</v>
      </c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CE36" s="197">
        <f t="shared" ref="CE36:DB36" si="51">IF($C36=1,W$23,0)</f>
        <v>0</v>
      </c>
      <c r="CF36" s="197">
        <f t="shared" si="51"/>
        <v>0</v>
      </c>
      <c r="CG36" s="197">
        <f t="shared" si="51"/>
        <v>0</v>
      </c>
      <c r="CH36" s="197">
        <f t="shared" si="51"/>
        <v>0</v>
      </c>
      <c r="CI36" s="197">
        <f t="shared" si="51"/>
        <v>0</v>
      </c>
      <c r="CJ36" s="197">
        <f t="shared" si="51"/>
        <v>0</v>
      </c>
      <c r="CK36" s="197">
        <f t="shared" si="51"/>
        <v>0</v>
      </c>
      <c r="CL36" s="197">
        <f t="shared" si="51"/>
        <v>0</v>
      </c>
      <c r="CM36" s="197">
        <f t="shared" si="51"/>
        <v>0</v>
      </c>
      <c r="CN36" s="197">
        <f t="shared" si="51"/>
        <v>0</v>
      </c>
      <c r="CO36" s="197">
        <f t="shared" si="51"/>
        <v>0</v>
      </c>
      <c r="CP36" s="197">
        <f t="shared" si="51"/>
        <v>0</v>
      </c>
      <c r="CQ36" s="197">
        <f t="shared" si="51"/>
        <v>0</v>
      </c>
      <c r="CR36" s="197">
        <f t="shared" si="51"/>
        <v>0</v>
      </c>
      <c r="CS36" s="197">
        <f t="shared" si="51"/>
        <v>0</v>
      </c>
      <c r="CT36" s="197">
        <f t="shared" si="51"/>
        <v>0</v>
      </c>
      <c r="CU36" s="197">
        <f t="shared" si="51"/>
        <v>0</v>
      </c>
      <c r="CV36" s="197">
        <f t="shared" si="51"/>
        <v>0</v>
      </c>
      <c r="CW36" s="197">
        <f t="shared" si="51"/>
        <v>0</v>
      </c>
      <c r="CX36" s="197">
        <f t="shared" si="51"/>
        <v>0</v>
      </c>
      <c r="CY36" s="197">
        <f t="shared" si="51"/>
        <v>0</v>
      </c>
      <c r="CZ36" s="197">
        <f t="shared" si="51"/>
        <v>0</v>
      </c>
      <c r="DA36" s="197">
        <f t="shared" si="51"/>
        <v>0</v>
      </c>
      <c r="DB36" s="197">
        <f t="shared" si="51"/>
        <v>0</v>
      </c>
    </row>
    <row r="37" spans="2:147" x14ac:dyDescent="0.35">
      <c r="B37" s="197">
        <f t="shared" si="48"/>
        <v>0</v>
      </c>
      <c r="C37" s="197">
        <f t="shared" si="12"/>
        <v>0</v>
      </c>
      <c r="D37">
        <v>15</v>
      </c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CK37" s="197">
        <f t="shared" ref="CK37:DH37" si="52">IF($C37=1,AC$23,0)</f>
        <v>0</v>
      </c>
      <c r="CL37" s="197">
        <f t="shared" si="52"/>
        <v>0</v>
      </c>
      <c r="CM37" s="197">
        <f t="shared" si="52"/>
        <v>0</v>
      </c>
      <c r="CN37" s="197">
        <f t="shared" si="52"/>
        <v>0</v>
      </c>
      <c r="CO37" s="197">
        <f t="shared" si="52"/>
        <v>0</v>
      </c>
      <c r="CP37" s="197">
        <f t="shared" si="52"/>
        <v>0</v>
      </c>
      <c r="CQ37" s="197">
        <f t="shared" si="52"/>
        <v>0</v>
      </c>
      <c r="CR37" s="197">
        <f t="shared" si="52"/>
        <v>0</v>
      </c>
      <c r="CS37" s="197">
        <f t="shared" si="52"/>
        <v>0</v>
      </c>
      <c r="CT37" s="197">
        <f t="shared" si="52"/>
        <v>0</v>
      </c>
      <c r="CU37" s="197">
        <f t="shared" si="52"/>
        <v>0</v>
      </c>
      <c r="CV37" s="197">
        <f t="shared" si="52"/>
        <v>0</v>
      </c>
      <c r="CW37" s="197">
        <f t="shared" si="52"/>
        <v>0</v>
      </c>
      <c r="CX37" s="197">
        <f t="shared" si="52"/>
        <v>0</v>
      </c>
      <c r="CY37" s="197">
        <f t="shared" si="52"/>
        <v>0</v>
      </c>
      <c r="CZ37" s="197">
        <f t="shared" si="52"/>
        <v>0</v>
      </c>
      <c r="DA37" s="197">
        <f t="shared" si="52"/>
        <v>0</v>
      </c>
      <c r="DB37" s="197">
        <f t="shared" si="52"/>
        <v>0</v>
      </c>
      <c r="DC37" s="197">
        <f t="shared" si="52"/>
        <v>0</v>
      </c>
      <c r="DD37" s="197">
        <f t="shared" si="52"/>
        <v>0</v>
      </c>
      <c r="DE37" s="197">
        <f t="shared" si="52"/>
        <v>0</v>
      </c>
      <c r="DF37" s="197">
        <f t="shared" si="52"/>
        <v>0</v>
      </c>
      <c r="DG37" s="197">
        <f t="shared" si="52"/>
        <v>0</v>
      </c>
      <c r="DH37" s="197">
        <f t="shared" si="52"/>
        <v>0</v>
      </c>
    </row>
    <row r="38" spans="2:147" x14ac:dyDescent="0.35">
      <c r="B38" s="197">
        <f t="shared" si="48"/>
        <v>0</v>
      </c>
      <c r="C38" s="197">
        <f t="shared" si="12"/>
        <v>0</v>
      </c>
      <c r="D38">
        <v>16</v>
      </c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CQ38" s="197">
        <f t="shared" ref="CQ38:DN38" si="53">IF($C38=1,AI$23,0)</f>
        <v>0</v>
      </c>
      <c r="CR38" s="197">
        <f t="shared" si="53"/>
        <v>0</v>
      </c>
      <c r="CS38" s="197">
        <f t="shared" si="53"/>
        <v>0</v>
      </c>
      <c r="CT38" s="197">
        <f t="shared" si="53"/>
        <v>0</v>
      </c>
      <c r="CU38" s="197">
        <f t="shared" si="53"/>
        <v>0</v>
      </c>
      <c r="CV38" s="197">
        <f t="shared" si="53"/>
        <v>0</v>
      </c>
      <c r="CW38" s="197">
        <f t="shared" si="53"/>
        <v>0</v>
      </c>
      <c r="CX38" s="197">
        <f t="shared" si="53"/>
        <v>0</v>
      </c>
      <c r="CY38" s="197">
        <f t="shared" si="53"/>
        <v>0</v>
      </c>
      <c r="CZ38" s="197">
        <f t="shared" si="53"/>
        <v>0</v>
      </c>
      <c r="DA38" s="197">
        <f t="shared" si="53"/>
        <v>0</v>
      </c>
      <c r="DB38" s="197">
        <f t="shared" si="53"/>
        <v>0</v>
      </c>
      <c r="DC38" s="197">
        <f t="shared" si="53"/>
        <v>0</v>
      </c>
      <c r="DD38" s="197">
        <f t="shared" si="53"/>
        <v>0</v>
      </c>
      <c r="DE38" s="197">
        <f t="shared" si="53"/>
        <v>0</v>
      </c>
      <c r="DF38" s="197">
        <f t="shared" si="53"/>
        <v>0</v>
      </c>
      <c r="DG38" s="197">
        <f t="shared" si="53"/>
        <v>0</v>
      </c>
      <c r="DH38" s="197">
        <f t="shared" si="53"/>
        <v>0</v>
      </c>
      <c r="DI38" s="197">
        <f t="shared" si="53"/>
        <v>0</v>
      </c>
      <c r="DJ38" s="197">
        <f t="shared" si="53"/>
        <v>0</v>
      </c>
      <c r="DK38" s="197">
        <f t="shared" si="53"/>
        <v>0</v>
      </c>
      <c r="DL38" s="197">
        <f t="shared" si="53"/>
        <v>0</v>
      </c>
      <c r="DM38" s="197">
        <f t="shared" si="53"/>
        <v>0</v>
      </c>
      <c r="DN38" s="197">
        <f t="shared" si="53"/>
        <v>0</v>
      </c>
    </row>
    <row r="39" spans="2:147" x14ac:dyDescent="0.35">
      <c r="B39" s="197">
        <f t="shared" si="48"/>
        <v>0</v>
      </c>
      <c r="C39" s="197">
        <f t="shared" si="12"/>
        <v>0</v>
      </c>
      <c r="D39">
        <v>17</v>
      </c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CW39" s="197">
        <f t="shared" ref="CW39:DT39" si="54">IF($C39=1,AO$23,0)</f>
        <v>0</v>
      </c>
      <c r="CX39" s="197">
        <f t="shared" si="54"/>
        <v>0</v>
      </c>
      <c r="CY39" s="197">
        <f t="shared" si="54"/>
        <v>0</v>
      </c>
      <c r="CZ39" s="197">
        <f t="shared" si="54"/>
        <v>0</v>
      </c>
      <c r="DA39" s="197">
        <f t="shared" si="54"/>
        <v>0</v>
      </c>
      <c r="DB39" s="197">
        <f t="shared" si="54"/>
        <v>0</v>
      </c>
      <c r="DC39" s="197">
        <f t="shared" si="54"/>
        <v>0</v>
      </c>
      <c r="DD39" s="197">
        <f t="shared" si="54"/>
        <v>0</v>
      </c>
      <c r="DE39" s="197">
        <f t="shared" si="54"/>
        <v>0</v>
      </c>
      <c r="DF39" s="197">
        <f t="shared" si="54"/>
        <v>0</v>
      </c>
      <c r="DG39" s="197">
        <f t="shared" si="54"/>
        <v>0</v>
      </c>
      <c r="DH39" s="197">
        <f t="shared" si="54"/>
        <v>0</v>
      </c>
      <c r="DI39" s="197">
        <f t="shared" si="54"/>
        <v>0</v>
      </c>
      <c r="DJ39" s="197">
        <f t="shared" si="54"/>
        <v>0</v>
      </c>
      <c r="DK39" s="197">
        <f t="shared" si="54"/>
        <v>0</v>
      </c>
      <c r="DL39" s="197">
        <f t="shared" si="54"/>
        <v>0</v>
      </c>
      <c r="DM39" s="197">
        <f t="shared" si="54"/>
        <v>0</v>
      </c>
      <c r="DN39" s="197">
        <f t="shared" si="54"/>
        <v>0</v>
      </c>
      <c r="DO39" s="197">
        <f t="shared" si="54"/>
        <v>0</v>
      </c>
      <c r="DP39" s="197">
        <f t="shared" si="54"/>
        <v>0</v>
      </c>
      <c r="DQ39" s="197">
        <f t="shared" si="54"/>
        <v>0</v>
      </c>
      <c r="DR39" s="197">
        <f t="shared" si="54"/>
        <v>0</v>
      </c>
      <c r="DS39" s="197">
        <f t="shared" si="54"/>
        <v>0</v>
      </c>
      <c r="DT39" s="197">
        <f t="shared" si="54"/>
        <v>0</v>
      </c>
    </row>
    <row r="40" spans="2:147" x14ac:dyDescent="0.35">
      <c r="B40" s="197">
        <f t="shared" si="48"/>
        <v>0</v>
      </c>
      <c r="C40" s="197">
        <f t="shared" si="12"/>
        <v>0</v>
      </c>
      <c r="D40">
        <v>18</v>
      </c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DC40" s="197">
        <f t="shared" ref="DC40:DZ40" si="55">IF($C40=1,AU$23,0)</f>
        <v>0</v>
      </c>
      <c r="DD40" s="197">
        <f t="shared" si="55"/>
        <v>0</v>
      </c>
      <c r="DE40" s="197">
        <f t="shared" si="55"/>
        <v>0</v>
      </c>
      <c r="DF40" s="197">
        <f t="shared" si="55"/>
        <v>0</v>
      </c>
      <c r="DG40" s="197">
        <f t="shared" si="55"/>
        <v>0</v>
      </c>
      <c r="DH40" s="197">
        <f t="shared" si="55"/>
        <v>0</v>
      </c>
      <c r="DI40" s="197">
        <f t="shared" si="55"/>
        <v>0</v>
      </c>
      <c r="DJ40" s="197">
        <f t="shared" si="55"/>
        <v>0</v>
      </c>
      <c r="DK40" s="197">
        <f t="shared" si="55"/>
        <v>0</v>
      </c>
      <c r="DL40" s="197">
        <f t="shared" si="55"/>
        <v>0</v>
      </c>
      <c r="DM40" s="197">
        <f t="shared" si="55"/>
        <v>0</v>
      </c>
      <c r="DN40" s="197">
        <f t="shared" si="55"/>
        <v>0</v>
      </c>
      <c r="DO40" s="197">
        <f t="shared" si="55"/>
        <v>0</v>
      </c>
      <c r="DP40" s="197">
        <f t="shared" si="55"/>
        <v>0</v>
      </c>
      <c r="DQ40" s="197">
        <f t="shared" si="55"/>
        <v>0</v>
      </c>
      <c r="DR40" s="197">
        <f t="shared" si="55"/>
        <v>0</v>
      </c>
      <c r="DS40" s="197">
        <f t="shared" si="55"/>
        <v>0</v>
      </c>
      <c r="DT40" s="197">
        <f t="shared" si="55"/>
        <v>0</v>
      </c>
      <c r="DU40" s="197">
        <f t="shared" si="55"/>
        <v>0</v>
      </c>
      <c r="DV40" s="197">
        <f t="shared" si="55"/>
        <v>0</v>
      </c>
      <c r="DW40" s="197">
        <f t="shared" si="55"/>
        <v>0</v>
      </c>
      <c r="DX40" s="197">
        <f t="shared" si="55"/>
        <v>0</v>
      </c>
      <c r="DY40" s="197">
        <f t="shared" si="55"/>
        <v>0</v>
      </c>
      <c r="DZ40" s="197">
        <f t="shared" si="55"/>
        <v>0</v>
      </c>
    </row>
    <row r="41" spans="2:147" x14ac:dyDescent="0.35">
      <c r="B41" s="197">
        <f t="shared" si="48"/>
        <v>0</v>
      </c>
      <c r="C41" s="197">
        <f t="shared" si="12"/>
        <v>0</v>
      </c>
      <c r="D41">
        <v>19</v>
      </c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DI41" s="197">
        <f t="shared" ref="DI41:EF41" si="56">IF($C41=1,BA$23,0)</f>
        <v>0</v>
      </c>
      <c r="DJ41" s="197">
        <f t="shared" si="56"/>
        <v>0</v>
      </c>
      <c r="DK41" s="197">
        <f t="shared" si="56"/>
        <v>0</v>
      </c>
      <c r="DL41" s="197">
        <f t="shared" si="56"/>
        <v>0</v>
      </c>
      <c r="DM41" s="197">
        <f t="shared" si="56"/>
        <v>0</v>
      </c>
      <c r="DN41" s="197">
        <f t="shared" si="56"/>
        <v>0</v>
      </c>
      <c r="DO41" s="197">
        <f t="shared" si="56"/>
        <v>0</v>
      </c>
      <c r="DP41" s="197">
        <f t="shared" si="56"/>
        <v>0</v>
      </c>
      <c r="DQ41" s="197">
        <f t="shared" si="56"/>
        <v>0</v>
      </c>
      <c r="DR41" s="197">
        <f t="shared" si="56"/>
        <v>0</v>
      </c>
      <c r="DS41" s="197">
        <f t="shared" si="56"/>
        <v>0</v>
      </c>
      <c r="DT41" s="197">
        <f t="shared" si="56"/>
        <v>0</v>
      </c>
      <c r="DU41" s="197">
        <f t="shared" si="56"/>
        <v>0</v>
      </c>
      <c r="DV41" s="197">
        <f t="shared" si="56"/>
        <v>0</v>
      </c>
      <c r="DW41" s="197">
        <f t="shared" si="56"/>
        <v>0</v>
      </c>
      <c r="DX41" s="197">
        <f t="shared" si="56"/>
        <v>0</v>
      </c>
      <c r="DY41" s="197">
        <f t="shared" si="56"/>
        <v>0</v>
      </c>
      <c r="DZ41" s="197">
        <f t="shared" si="56"/>
        <v>0</v>
      </c>
      <c r="EA41" s="197">
        <f t="shared" si="56"/>
        <v>0</v>
      </c>
      <c r="EB41" s="197">
        <f t="shared" si="56"/>
        <v>0</v>
      </c>
      <c r="EC41" s="197">
        <f t="shared" si="56"/>
        <v>0</v>
      </c>
      <c r="ED41" s="197">
        <f t="shared" si="56"/>
        <v>0</v>
      </c>
      <c r="EE41" s="197">
        <f t="shared" si="56"/>
        <v>0</v>
      </c>
      <c r="EF41" s="197">
        <f t="shared" si="56"/>
        <v>0</v>
      </c>
    </row>
    <row r="42" spans="2:147" x14ac:dyDescent="0.35">
      <c r="B42" s="197">
        <f t="shared" si="48"/>
        <v>0</v>
      </c>
      <c r="C42" s="197">
        <f t="shared" si="12"/>
        <v>0</v>
      </c>
      <c r="D42">
        <v>20</v>
      </c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DO42" s="197">
        <f t="shared" ref="DO42:EL42" si="57">IF($C42=1,BG$23,0)</f>
        <v>0</v>
      </c>
      <c r="DP42" s="197">
        <f t="shared" si="57"/>
        <v>0</v>
      </c>
      <c r="DQ42" s="197">
        <f t="shared" si="57"/>
        <v>0</v>
      </c>
      <c r="DR42" s="197">
        <f t="shared" si="57"/>
        <v>0</v>
      </c>
      <c r="DS42" s="197">
        <f t="shared" si="57"/>
        <v>0</v>
      </c>
      <c r="DT42" s="197">
        <f t="shared" si="57"/>
        <v>0</v>
      </c>
      <c r="DU42" s="197">
        <f t="shared" si="57"/>
        <v>0</v>
      </c>
      <c r="DV42" s="197">
        <f t="shared" si="57"/>
        <v>0</v>
      </c>
      <c r="DW42" s="197">
        <f t="shared" si="57"/>
        <v>0</v>
      </c>
      <c r="DX42" s="197">
        <f t="shared" si="57"/>
        <v>0</v>
      </c>
      <c r="DY42" s="197">
        <f t="shared" si="57"/>
        <v>0</v>
      </c>
      <c r="DZ42" s="197">
        <f t="shared" si="57"/>
        <v>0</v>
      </c>
      <c r="EA42" s="197">
        <f t="shared" si="57"/>
        <v>0</v>
      </c>
      <c r="EB42" s="197">
        <f t="shared" si="57"/>
        <v>0</v>
      </c>
      <c r="EC42" s="197">
        <f t="shared" si="57"/>
        <v>0</v>
      </c>
      <c r="ED42" s="197">
        <f t="shared" si="57"/>
        <v>0</v>
      </c>
      <c r="EE42" s="197">
        <f t="shared" si="57"/>
        <v>0</v>
      </c>
      <c r="EF42" s="197">
        <f t="shared" si="57"/>
        <v>0</v>
      </c>
      <c r="EG42" s="197">
        <f t="shared" si="57"/>
        <v>0</v>
      </c>
      <c r="EH42" s="197">
        <f t="shared" si="57"/>
        <v>0</v>
      </c>
      <c r="EI42" s="197">
        <f t="shared" si="57"/>
        <v>0</v>
      </c>
      <c r="EJ42" s="197">
        <f t="shared" si="57"/>
        <v>0</v>
      </c>
      <c r="EK42" s="197">
        <f t="shared" si="57"/>
        <v>0</v>
      </c>
      <c r="EL42" s="197">
        <f t="shared" si="57"/>
        <v>0</v>
      </c>
    </row>
    <row r="44" spans="2:147" x14ac:dyDescent="0.35">
      <c r="D44" t="s">
        <v>103</v>
      </c>
      <c r="E44" s="197">
        <f t="shared" ref="E44:AJ44" si="58">SUM(E23:E42)</f>
        <v>4438367.1428571427</v>
      </c>
      <c r="F44" s="197">
        <f t="shared" si="58"/>
        <v>4438367.1428571427</v>
      </c>
      <c r="G44" s="197">
        <f t="shared" si="58"/>
        <v>4438367.1428571427</v>
      </c>
      <c r="H44" s="197">
        <f t="shared" si="58"/>
        <v>4438367.1428571427</v>
      </c>
      <c r="I44" s="197">
        <f t="shared" si="58"/>
        <v>4438367.1428571427</v>
      </c>
      <c r="J44" s="197">
        <f t="shared" si="58"/>
        <v>4438367.1428571427</v>
      </c>
      <c r="K44" s="197">
        <f t="shared" si="58"/>
        <v>9029781.4285714291</v>
      </c>
      <c r="L44" s="197">
        <f t="shared" si="58"/>
        <v>9029781.4285714291</v>
      </c>
      <c r="M44" s="197">
        <f t="shared" si="58"/>
        <v>9029781.4285714291</v>
      </c>
      <c r="N44" s="197">
        <f t="shared" si="58"/>
        <v>9029781.4285714291</v>
      </c>
      <c r="O44" s="197">
        <f t="shared" si="58"/>
        <v>9029781.4285714291</v>
      </c>
      <c r="P44" s="197">
        <f t="shared" si="58"/>
        <v>9029781.4285714291</v>
      </c>
      <c r="Q44" s="197">
        <f t="shared" si="58"/>
        <v>15151667.142857142</v>
      </c>
      <c r="R44" s="197">
        <f t="shared" si="58"/>
        <v>15151667.142857142</v>
      </c>
      <c r="S44" s="197">
        <f t="shared" si="58"/>
        <v>15151667.142857142</v>
      </c>
      <c r="T44" s="197">
        <f t="shared" si="58"/>
        <v>15151667.142857142</v>
      </c>
      <c r="U44" s="197">
        <f t="shared" si="58"/>
        <v>21273552.857142858</v>
      </c>
      <c r="V44" s="197">
        <f t="shared" si="58"/>
        <v>21273552.857142858</v>
      </c>
      <c r="W44" s="197">
        <f t="shared" si="58"/>
        <v>27395438.571428567</v>
      </c>
      <c r="X44" s="197">
        <f t="shared" si="58"/>
        <v>29691145.714285709</v>
      </c>
      <c r="Y44" s="197">
        <f t="shared" si="58"/>
        <v>29691145.714285709</v>
      </c>
      <c r="Z44" s="197">
        <f t="shared" si="58"/>
        <v>29691145.714285709</v>
      </c>
      <c r="AA44" s="197">
        <f t="shared" si="58"/>
        <v>38108738.571428567</v>
      </c>
      <c r="AB44" s="197">
        <f t="shared" si="58"/>
        <v>38108738.571428567</v>
      </c>
      <c r="AC44" s="197">
        <f t="shared" si="58"/>
        <v>44230624.285714284</v>
      </c>
      <c r="AD44" s="197">
        <f t="shared" si="58"/>
        <v>47291567.142857142</v>
      </c>
      <c r="AE44" s="197">
        <f t="shared" si="58"/>
        <v>47291567.142857142</v>
      </c>
      <c r="AF44" s="197">
        <f t="shared" si="58"/>
        <v>47291567.142857142</v>
      </c>
      <c r="AG44" s="197">
        <f t="shared" si="58"/>
        <v>55709159.999999993</v>
      </c>
      <c r="AH44" s="197">
        <f t="shared" si="58"/>
        <v>55709159.999999993</v>
      </c>
      <c r="AI44" s="197">
        <f t="shared" si="58"/>
        <v>61831045.714285709</v>
      </c>
      <c r="AJ44" s="197">
        <f t="shared" si="58"/>
        <v>64891988.571428575</v>
      </c>
      <c r="AK44" s="197">
        <f t="shared" ref="AK44:BP44" si="59">SUM(AK23:AK42)</f>
        <v>66422459.999999993</v>
      </c>
      <c r="AL44" s="197">
        <f t="shared" si="59"/>
        <v>66422459.999999993</v>
      </c>
      <c r="AM44" s="197">
        <f t="shared" si="59"/>
        <v>74840052.857142866</v>
      </c>
      <c r="AN44" s="197">
        <f t="shared" si="59"/>
        <v>74840052.857142866</v>
      </c>
      <c r="AO44" s="197">
        <f t="shared" si="59"/>
        <v>82033268.571428582</v>
      </c>
      <c r="AP44" s="197">
        <f t="shared" si="59"/>
        <v>85094211.428571433</v>
      </c>
      <c r="AQ44" s="197">
        <f t="shared" si="59"/>
        <v>86624682.857142866</v>
      </c>
      <c r="AR44" s="197">
        <f t="shared" si="59"/>
        <v>86624682.857142866</v>
      </c>
      <c r="AS44" s="197">
        <f t="shared" si="59"/>
        <v>95042275.714285731</v>
      </c>
      <c r="AT44" s="197">
        <f t="shared" si="59"/>
        <v>95042275.714285731</v>
      </c>
      <c r="AU44" s="197">
        <f t="shared" si="59"/>
        <v>98103218.571428582</v>
      </c>
      <c r="AV44" s="197">
        <f t="shared" si="59"/>
        <v>101164161.42857143</v>
      </c>
      <c r="AW44" s="197">
        <f t="shared" si="59"/>
        <v>102694632.85714285</v>
      </c>
      <c r="AX44" s="197">
        <f t="shared" si="59"/>
        <v>102694632.85714285</v>
      </c>
      <c r="AY44" s="197">
        <f t="shared" si="59"/>
        <v>111112225.71428572</v>
      </c>
      <c r="AZ44" s="197">
        <f t="shared" si="59"/>
        <v>111112225.71428572</v>
      </c>
      <c r="BA44" s="197">
        <f t="shared" si="59"/>
        <v>114173168.57142858</v>
      </c>
      <c r="BB44" s="197">
        <f t="shared" si="59"/>
        <v>117234111.42857143</v>
      </c>
      <c r="BC44" s="197">
        <f t="shared" si="59"/>
        <v>118764582.85714285</v>
      </c>
      <c r="BD44" s="197">
        <f t="shared" si="59"/>
        <v>118764582.85714285</v>
      </c>
      <c r="BE44" s="197">
        <f t="shared" si="59"/>
        <v>127182175.71428572</v>
      </c>
      <c r="BF44" s="197">
        <f t="shared" si="59"/>
        <v>127182175.71428572</v>
      </c>
      <c r="BG44" s="197">
        <f t="shared" si="59"/>
        <v>128712647.14285715</v>
      </c>
      <c r="BH44" s="197">
        <f t="shared" si="59"/>
        <v>133304061.42857143</v>
      </c>
      <c r="BI44" s="197">
        <f t="shared" si="59"/>
        <v>134834532.85714287</v>
      </c>
      <c r="BJ44" s="197">
        <f t="shared" si="59"/>
        <v>134834532.85714287</v>
      </c>
      <c r="BK44" s="197">
        <f t="shared" si="59"/>
        <v>137130240</v>
      </c>
      <c r="BL44" s="197">
        <f t="shared" si="59"/>
        <v>137130240</v>
      </c>
      <c r="BM44" s="197">
        <f t="shared" si="59"/>
        <v>138660711.42857143</v>
      </c>
      <c r="BN44" s="197">
        <f t="shared" si="59"/>
        <v>140956418.5714286</v>
      </c>
      <c r="BO44" s="197">
        <f t="shared" si="59"/>
        <v>142486890.00000003</v>
      </c>
      <c r="BP44" s="197">
        <f t="shared" si="59"/>
        <v>142486890.00000003</v>
      </c>
      <c r="BQ44" s="197">
        <f t="shared" ref="BQ44:CV44" si="60">SUM(BQ23:BQ42)</f>
        <v>143252125.71428573</v>
      </c>
      <c r="BR44" s="197">
        <f t="shared" si="60"/>
        <v>143252125.71428573</v>
      </c>
      <c r="BS44" s="197">
        <f t="shared" si="60"/>
        <v>144782597.14285713</v>
      </c>
      <c r="BT44" s="197">
        <f t="shared" si="60"/>
        <v>146313068.5714286</v>
      </c>
      <c r="BU44" s="197">
        <f t="shared" si="60"/>
        <v>147843540.00000003</v>
      </c>
      <c r="BV44" s="197">
        <f t="shared" si="60"/>
        <v>147843540.00000003</v>
      </c>
      <c r="BW44" s="197">
        <f t="shared" si="60"/>
        <v>148608775.71428573</v>
      </c>
      <c r="BX44" s="197">
        <f t="shared" si="60"/>
        <v>148608775.71428573</v>
      </c>
      <c r="BY44" s="197">
        <f t="shared" si="60"/>
        <v>150139247.14285713</v>
      </c>
      <c r="BZ44" s="197">
        <f t="shared" si="60"/>
        <v>151669718.57142857</v>
      </c>
      <c r="CA44" s="197">
        <f t="shared" si="60"/>
        <v>151669718.57142857</v>
      </c>
      <c r="CB44" s="197">
        <f t="shared" si="60"/>
        <v>159832232.85714287</v>
      </c>
      <c r="CC44" s="197">
        <f t="shared" si="60"/>
        <v>160597468.57142857</v>
      </c>
      <c r="CD44" s="197">
        <f t="shared" si="60"/>
        <v>160597468.57142857</v>
      </c>
      <c r="CE44" s="197">
        <f t="shared" si="60"/>
        <v>161056610</v>
      </c>
      <c r="CF44" s="197">
        <f t="shared" si="60"/>
        <v>162587081.4285714</v>
      </c>
      <c r="CG44" s="197">
        <f t="shared" si="60"/>
        <v>162587081.4285714</v>
      </c>
      <c r="CH44" s="197">
        <f t="shared" si="60"/>
        <v>170749595.71428567</v>
      </c>
      <c r="CI44" s="197">
        <f t="shared" si="60"/>
        <v>171514831.4285714</v>
      </c>
      <c r="CJ44" s="197">
        <f t="shared" si="60"/>
        <v>171514831.4285714</v>
      </c>
      <c r="CK44" s="197">
        <f t="shared" si="60"/>
        <v>140548292.85714287</v>
      </c>
      <c r="CL44" s="197">
        <f t="shared" si="60"/>
        <v>142078764.28571427</v>
      </c>
      <c r="CM44" s="197">
        <f t="shared" si="60"/>
        <v>142078764.28571427</v>
      </c>
      <c r="CN44" s="197">
        <f t="shared" si="60"/>
        <v>150241278.57142854</v>
      </c>
      <c r="CO44" s="197">
        <f t="shared" si="60"/>
        <v>151006514.28571427</v>
      </c>
      <c r="CP44" s="197">
        <f t="shared" si="60"/>
        <v>151006514.28571427</v>
      </c>
      <c r="CQ44" s="197">
        <f t="shared" si="60"/>
        <v>119886928.57142857</v>
      </c>
      <c r="CR44" s="197">
        <f t="shared" si="60"/>
        <v>121417400</v>
      </c>
      <c r="CS44" s="197">
        <f t="shared" si="60"/>
        <v>121417400</v>
      </c>
      <c r="CT44" s="197">
        <f t="shared" si="60"/>
        <v>129579914.28571427</v>
      </c>
      <c r="CU44" s="197">
        <f t="shared" si="60"/>
        <v>130345149.99999999</v>
      </c>
      <c r="CV44" s="197">
        <f t="shared" si="60"/>
        <v>130345149.99999999</v>
      </c>
      <c r="CW44" s="197">
        <f t="shared" ref="CW44:EB44" si="61">SUM(CW23:CW42)</f>
        <v>99225564.285714284</v>
      </c>
      <c r="CX44" s="197">
        <f t="shared" si="61"/>
        <v>99225564.285714284</v>
      </c>
      <c r="CY44" s="197">
        <f t="shared" si="61"/>
        <v>99225564.285714284</v>
      </c>
      <c r="CZ44" s="197">
        <f t="shared" si="61"/>
        <v>107388078.57142855</v>
      </c>
      <c r="DA44" s="197">
        <f t="shared" si="61"/>
        <v>108153314.28571427</v>
      </c>
      <c r="DB44" s="197">
        <f t="shared" si="61"/>
        <v>108153314.28571427</v>
      </c>
      <c r="DC44" s="197">
        <f t="shared" si="61"/>
        <v>77033728.571428567</v>
      </c>
      <c r="DD44" s="197">
        <f t="shared" si="61"/>
        <v>77033728.571428567</v>
      </c>
      <c r="DE44" s="197">
        <f t="shared" si="61"/>
        <v>77033728.571428567</v>
      </c>
      <c r="DF44" s="197">
        <f t="shared" si="61"/>
        <v>85196242.857142836</v>
      </c>
      <c r="DG44" s="197">
        <f t="shared" si="61"/>
        <v>85196242.857142836</v>
      </c>
      <c r="DH44" s="197">
        <f t="shared" si="61"/>
        <v>85196242.857142836</v>
      </c>
      <c r="DI44" s="197">
        <f t="shared" si="61"/>
        <v>54076657.142857134</v>
      </c>
      <c r="DJ44" s="197">
        <f t="shared" si="61"/>
        <v>54076657.142857134</v>
      </c>
      <c r="DK44" s="197">
        <f t="shared" si="61"/>
        <v>54076657.142857134</v>
      </c>
      <c r="DL44" s="197">
        <f t="shared" si="61"/>
        <v>62239171.42857141</v>
      </c>
      <c r="DM44" s="197">
        <f t="shared" si="61"/>
        <v>62239171.42857141</v>
      </c>
      <c r="DN44" s="197">
        <f t="shared" si="61"/>
        <v>62239171.42857141</v>
      </c>
      <c r="DO44" s="197">
        <f t="shared" si="61"/>
        <v>31119585.714285705</v>
      </c>
      <c r="DP44" s="197">
        <f t="shared" si="61"/>
        <v>31119585.714285705</v>
      </c>
      <c r="DQ44" s="197">
        <f t="shared" si="61"/>
        <v>31119585.714285705</v>
      </c>
      <c r="DR44" s="197">
        <f t="shared" si="61"/>
        <v>31119585.714285705</v>
      </c>
      <c r="DS44" s="197">
        <f t="shared" si="61"/>
        <v>31119585.714285705</v>
      </c>
      <c r="DT44" s="197">
        <f t="shared" si="61"/>
        <v>31119585.714285705</v>
      </c>
      <c r="DU44" s="197">
        <f t="shared" si="61"/>
        <v>0</v>
      </c>
      <c r="DV44" s="197">
        <f t="shared" si="61"/>
        <v>0</v>
      </c>
      <c r="DW44" s="197">
        <f t="shared" si="61"/>
        <v>0</v>
      </c>
      <c r="DX44" s="197">
        <f t="shared" si="61"/>
        <v>0</v>
      </c>
      <c r="DY44" s="197">
        <f t="shared" si="61"/>
        <v>0</v>
      </c>
      <c r="DZ44" s="197">
        <f t="shared" si="61"/>
        <v>0</v>
      </c>
      <c r="EA44" s="197">
        <f t="shared" si="61"/>
        <v>0</v>
      </c>
      <c r="EB44" s="197">
        <f t="shared" si="61"/>
        <v>0</v>
      </c>
      <c r="EC44" s="197">
        <f t="shared" ref="EC44:EQ44" si="62">SUM(EC23:EC42)</f>
        <v>0</v>
      </c>
      <c r="ED44" s="197">
        <f t="shared" si="62"/>
        <v>0</v>
      </c>
      <c r="EE44" s="197">
        <f t="shared" si="62"/>
        <v>0</v>
      </c>
      <c r="EF44" s="197">
        <f t="shared" si="62"/>
        <v>0</v>
      </c>
      <c r="EG44" s="197">
        <f t="shared" si="62"/>
        <v>0</v>
      </c>
      <c r="EH44" s="197">
        <f t="shared" si="62"/>
        <v>0</v>
      </c>
      <c r="EI44" s="197">
        <f t="shared" si="62"/>
        <v>0</v>
      </c>
      <c r="EJ44" s="197">
        <f t="shared" si="62"/>
        <v>0</v>
      </c>
      <c r="EK44" s="197">
        <f t="shared" si="62"/>
        <v>0</v>
      </c>
      <c r="EL44" s="197">
        <f t="shared" si="62"/>
        <v>0</v>
      </c>
      <c r="EM44" s="197">
        <f t="shared" si="62"/>
        <v>0</v>
      </c>
      <c r="EN44" s="197">
        <f t="shared" si="62"/>
        <v>0</v>
      </c>
      <c r="EO44" s="197">
        <f t="shared" si="62"/>
        <v>0</v>
      </c>
      <c r="EP44" s="197">
        <f t="shared" si="62"/>
        <v>0</v>
      </c>
      <c r="EQ44" s="197">
        <f t="shared" si="62"/>
        <v>0</v>
      </c>
    </row>
    <row r="47" spans="2:147" x14ac:dyDescent="0.35">
      <c r="K47" s="209"/>
    </row>
    <row r="48" spans="2:147" x14ac:dyDescent="0.35">
      <c r="K48" s="210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9A2D1-C4E6-4BAE-808B-651E039A3C64}">
  <dimension ref="A3:C11"/>
  <sheetViews>
    <sheetView workbookViewId="0">
      <selection activeCell="G17" sqref="G17"/>
    </sheetView>
  </sheetViews>
  <sheetFormatPr defaultRowHeight="14.5" x14ac:dyDescent="0.35"/>
  <cols>
    <col min="1" max="1" width="36" customWidth="1"/>
    <col min="2" max="2" width="26" customWidth="1"/>
    <col min="3" max="3" width="21.453125" customWidth="1"/>
  </cols>
  <sheetData>
    <row r="3" spans="1:3" x14ac:dyDescent="0.35">
      <c r="A3" s="1" t="s">
        <v>0</v>
      </c>
      <c r="B3" s="2" t="s">
        <v>219</v>
      </c>
      <c r="C3" s="292" t="s">
        <v>220</v>
      </c>
    </row>
    <row r="4" spans="1:3" x14ac:dyDescent="0.35">
      <c r="A4" t="s">
        <v>1</v>
      </c>
      <c r="B4" s="5">
        <f>'Dashboard все'!C4</f>
        <v>2566322391.3627601</v>
      </c>
      <c r="C4" s="5">
        <f>'Dashboard (2)'!C4/2</f>
        <v>6794430034.9483032</v>
      </c>
    </row>
    <row r="5" spans="1:3" x14ac:dyDescent="0.35">
      <c r="A5" t="s">
        <v>2</v>
      </c>
      <c r="B5" s="219">
        <f>'Dashboard все'!C5</f>
        <v>0.23954546137630423</v>
      </c>
      <c r="C5" s="219">
        <f>'Dashboard (2)'!C5</f>
        <v>0.15281573189325062</v>
      </c>
    </row>
    <row r="6" spans="1:3" x14ac:dyDescent="0.35">
      <c r="A6" s="3" t="s">
        <v>3</v>
      </c>
      <c r="B6" s="219">
        <f>'Dashboard все'!C6</f>
        <v>0</v>
      </c>
      <c r="C6" s="219">
        <f>'Dashboard (2)'!C6</f>
        <v>-6.3982157868435712</v>
      </c>
    </row>
    <row r="7" spans="1:3" x14ac:dyDescent="0.35">
      <c r="A7" s="3" t="s">
        <v>4</v>
      </c>
      <c r="B7" s="4">
        <f>'Dashboard все'!C7</f>
        <v>0.20999999999999996</v>
      </c>
      <c r="C7" s="4">
        <f>'Dashboard (2)'!C7</f>
        <v>0.20999999999999996</v>
      </c>
    </row>
    <row r="8" spans="1:3" x14ac:dyDescent="0.35">
      <c r="A8" s="3" t="s">
        <v>5</v>
      </c>
      <c r="B8" s="4">
        <f>'Dashboard все'!C8</f>
        <v>15.142247730202417</v>
      </c>
      <c r="C8" s="4" t="e">
        <f>'Dashboard (2)'!C8</f>
        <v>#NUM!</v>
      </c>
    </row>
    <row r="9" spans="1:3" x14ac:dyDescent="0.35">
      <c r="A9" s="3" t="s">
        <v>6</v>
      </c>
      <c r="B9" s="5">
        <f>'Dashboard все'!C9</f>
        <v>1877744404.3243635</v>
      </c>
      <c r="C9" s="5">
        <f>'Dashboard (2)'!C9/2</f>
        <v>-15659444035.61344</v>
      </c>
    </row>
    <row r="10" spans="1:3" x14ac:dyDescent="0.35">
      <c r="A10" s="6" t="s">
        <v>7</v>
      </c>
      <c r="B10" s="294">
        <f>'Dashboard все'!C10</f>
        <v>1</v>
      </c>
      <c r="C10" s="294" t="e">
        <f>'Dashboard (2)'!C10</f>
        <v>#N/A</v>
      </c>
    </row>
    <row r="11" spans="1:3" x14ac:dyDescent="0.35">
      <c r="A11" s="6" t="s">
        <v>8</v>
      </c>
      <c r="B11" s="294">
        <f>'Dashboard все'!C11</f>
        <v>1</v>
      </c>
      <c r="C11" s="294" t="e">
        <f>'Dashboard (2)'!C11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СравнениеPnl </vt:lpstr>
      <vt:lpstr>Сравнение</vt:lpstr>
      <vt:lpstr>Сравнительная</vt:lpstr>
      <vt:lpstr>Dashboard все</vt:lpstr>
      <vt:lpstr>PnL все</vt:lpstr>
      <vt:lpstr>Dashboard2-8</vt:lpstr>
      <vt:lpstr>PnL2-8</vt:lpstr>
      <vt:lpstr>DCF</vt:lpstr>
      <vt:lpstr>Цена</vt:lpstr>
      <vt:lpstr>Sensitivity</vt:lpstr>
      <vt:lpstr>Dashboard (с перегор)</vt:lpstr>
      <vt:lpstr>PnL (с перегор)</vt:lpstr>
      <vt:lpstr>Credit</vt:lpstr>
      <vt:lpstr>Графики</vt:lpstr>
      <vt:lpstr>НДС расчет</vt:lpstr>
      <vt:lpstr>Sales</vt:lpstr>
      <vt:lpstr>Costs</vt:lpstr>
      <vt:lpstr>шахматка</vt:lpstr>
      <vt:lpstr>коэф</vt:lpstr>
      <vt:lpstr>база офис</vt:lpstr>
      <vt:lpstr>база коммерция</vt:lpstr>
      <vt:lpstr>Лист3</vt:lpstr>
      <vt:lpstr>DCF year</vt:lpstr>
      <vt:lpstr>Dashboard (2)</vt:lpstr>
      <vt:lpstr>PnL (2)</vt:lpstr>
      <vt:lpstr>Сравнение2</vt:lpstr>
      <vt:lpstr>DCF (2)</vt:lpstr>
      <vt:lpstr>Графики (2)</vt:lpstr>
      <vt:lpstr>Costs (2)</vt:lpstr>
      <vt:lpstr>черн</vt:lpstr>
      <vt:lpstr>Итог Сцен.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a.rakhmetullayev</dc:creator>
  <cp:keywords/>
  <dc:description/>
  <cp:lastModifiedBy>Rakhmetullayev Aidos</cp:lastModifiedBy>
  <cp:revision/>
  <dcterms:created xsi:type="dcterms:W3CDTF">2025-06-05T05:54:33Z</dcterms:created>
  <dcterms:modified xsi:type="dcterms:W3CDTF">2026-06-24T05:53:07Z</dcterms:modified>
  <cp:category/>
  <cp:contentStatus/>
</cp:coreProperties>
</file>